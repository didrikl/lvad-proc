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Objects="none"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9 - LVAD6\Noted\"/>
    </mc:Choice>
  </mc:AlternateContent>
  <xr:revisionPtr revIDLastSave="0" documentId="13_ncr:1_{C4D0CE2A-8904-4168-809E-92E52EAFF780}"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s>
  <definedNames>
    <definedName name="Controlled_VarNames">'Recording notes'!$J$2:$Q$2</definedName>
    <definedName name="Experiment_Info">Description!$B$3:$C$10</definedName>
    <definedName name="Header_VarNames" comment="Define which row that contains header info. The whole row is used, due to flexibility purposes">'Recording notes'!$A$2:$AL$2</definedName>
    <definedName name="Header_VarUnits">'Recording notes'!$A$3:$AL$3</definedName>
    <definedName name="Measured_VarNames">'Recording notes'!$R$2:$AH$2</definedName>
    <definedName name="Notes" comment="Rectangular area for the notes made, to make it easy and robust for importing notes to e.g. Matlab" localSheetId="0">'Recording notes'!$A$4:$AL$324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94" i="1" l="1"/>
  <c r="Q295" i="1"/>
  <c r="Q296" i="1"/>
  <c r="Q297" i="1"/>
  <c r="Q298" i="1"/>
  <c r="Q299" i="1"/>
  <c r="Q300" i="1"/>
  <c r="Q301" i="1"/>
  <c r="Q283" i="1"/>
  <c r="Q284" i="1"/>
  <c r="Q285" i="1"/>
  <c r="Q286" i="1"/>
  <c r="Q287" i="1"/>
  <c r="Q288" i="1"/>
  <c r="Q289" i="1"/>
  <c r="Q290" i="1"/>
  <c r="Q272" i="1"/>
  <c r="Q273" i="1"/>
  <c r="Q274" i="1"/>
  <c r="Q275" i="1"/>
  <c r="Q276" i="1"/>
  <c r="Q277" i="1"/>
  <c r="Q278" i="1"/>
  <c r="Q279" i="1"/>
  <c r="Q261" i="1"/>
  <c r="Q262" i="1"/>
  <c r="Q263" i="1"/>
  <c r="Q264" i="1"/>
  <c r="Q265" i="1"/>
  <c r="Q266" i="1"/>
  <c r="Q267" i="1"/>
  <c r="N297" i="1"/>
  <c r="M297" i="1"/>
  <c r="D297" i="1"/>
  <c r="N296" i="1"/>
  <c r="M296" i="1"/>
  <c r="D296" i="1"/>
  <c r="N295" i="1"/>
  <c r="M295" i="1"/>
  <c r="D295" i="1"/>
  <c r="N294" i="1"/>
  <c r="M294" i="1"/>
  <c r="D294" i="1"/>
  <c r="N286" i="1"/>
  <c r="M286" i="1"/>
  <c r="D286" i="1"/>
  <c r="N285" i="1"/>
  <c r="M285" i="1"/>
  <c r="D285" i="1"/>
  <c r="N284" i="1"/>
  <c r="M284" i="1"/>
  <c r="D284" i="1"/>
  <c r="N283" i="1"/>
  <c r="M283" i="1"/>
  <c r="D283" i="1"/>
  <c r="N274" i="1"/>
  <c r="M274" i="1"/>
  <c r="D274" i="1"/>
  <c r="D272" i="1"/>
  <c r="M272" i="1"/>
  <c r="N272" i="1"/>
  <c r="N273" i="1"/>
  <c r="M273" i="1"/>
  <c r="D273" i="1"/>
  <c r="D263" i="1"/>
  <c r="M263" i="1"/>
  <c r="N263" i="1"/>
  <c r="N262" i="1"/>
  <c r="M262" i="1"/>
  <c r="D262" i="1"/>
  <c r="N261" i="1"/>
  <c r="M261" i="1"/>
  <c r="D261" i="1"/>
  <c r="N210" i="1"/>
  <c r="M210" i="1"/>
  <c r="D210" i="1"/>
  <c r="N152" i="1" l="1"/>
  <c r="M152" i="1"/>
  <c r="D152" i="1"/>
  <c r="N151" i="1"/>
  <c r="M151" i="1"/>
  <c r="D151" i="1"/>
  <c r="N150" i="1"/>
  <c r="M150" i="1"/>
  <c r="D150" i="1"/>
  <c r="N149" i="1"/>
  <c r="M149" i="1"/>
  <c r="D149" i="1"/>
  <c r="N148" i="1"/>
  <c r="M148" i="1"/>
  <c r="D148" i="1"/>
  <c r="N147" i="1"/>
  <c r="M147" i="1"/>
  <c r="D147" i="1"/>
  <c r="N146" i="1"/>
  <c r="M146" i="1"/>
  <c r="D146" i="1"/>
  <c r="N145" i="1"/>
  <c r="M145" i="1"/>
  <c r="D145" i="1"/>
  <c r="N144" i="1"/>
  <c r="M144" i="1"/>
  <c r="D144" i="1"/>
  <c r="N143" i="1"/>
  <c r="M143" i="1"/>
  <c r="D143" i="1"/>
  <c r="N142" i="1"/>
  <c r="M142" i="1"/>
  <c r="D142" i="1"/>
  <c r="N141" i="1"/>
  <c r="M141" i="1"/>
  <c r="D141" i="1"/>
  <c r="N166" i="1"/>
  <c r="M166" i="1"/>
  <c r="D166" i="1"/>
  <c r="N165" i="1"/>
  <c r="M165" i="1"/>
  <c r="D165" i="1"/>
  <c r="N164" i="1"/>
  <c r="M164" i="1"/>
  <c r="D164" i="1"/>
  <c r="N163" i="1"/>
  <c r="M163" i="1"/>
  <c r="D163" i="1"/>
  <c r="N162" i="1"/>
  <c r="M162" i="1"/>
  <c r="D162" i="1"/>
  <c r="N161" i="1"/>
  <c r="M161" i="1"/>
  <c r="D161" i="1"/>
  <c r="N160" i="1"/>
  <c r="M160" i="1"/>
  <c r="D160" i="1"/>
  <c r="N159" i="1"/>
  <c r="M159" i="1"/>
  <c r="D159" i="1"/>
  <c r="N158" i="1"/>
  <c r="M158" i="1"/>
  <c r="D158" i="1"/>
  <c r="N157" i="1"/>
  <c r="M157" i="1"/>
  <c r="D157" i="1"/>
  <c r="N156" i="1"/>
  <c r="M156" i="1"/>
  <c r="D156" i="1"/>
  <c r="N155" i="1"/>
  <c r="M155" i="1"/>
  <c r="D155" i="1"/>
  <c r="N154" i="1"/>
  <c r="M154" i="1"/>
  <c r="D154" i="1"/>
  <c r="N153" i="1"/>
  <c r="M153" i="1"/>
  <c r="D153" i="1"/>
  <c r="N140" i="1"/>
  <c r="M140" i="1"/>
  <c r="D140" i="1"/>
  <c r="N139" i="1"/>
  <c r="M139" i="1"/>
  <c r="D139" i="1"/>
  <c r="N138" i="1"/>
  <c r="M138" i="1"/>
  <c r="D138" i="1"/>
  <c r="N137" i="1"/>
  <c r="M137" i="1"/>
  <c r="D137" i="1"/>
  <c r="N136" i="1"/>
  <c r="M136" i="1"/>
  <c r="D136" i="1"/>
  <c r="N135" i="1"/>
  <c r="M135" i="1"/>
  <c r="D135" i="1"/>
  <c r="N134" i="1"/>
  <c r="M134" i="1"/>
  <c r="D134" i="1"/>
  <c r="N133" i="1"/>
  <c r="M133" i="1"/>
  <c r="D133" i="1"/>
  <c r="N132" i="1"/>
  <c r="M132" i="1"/>
  <c r="D132" i="1"/>
  <c r="N131" i="1"/>
  <c r="M131" i="1"/>
  <c r="D131" i="1"/>
  <c r="N130" i="1"/>
  <c r="M130" i="1"/>
  <c r="D130" i="1"/>
  <c r="N129" i="1"/>
  <c r="M129" i="1"/>
  <c r="D129" i="1"/>
  <c r="N128" i="1"/>
  <c r="M128" i="1"/>
  <c r="D128" i="1"/>
  <c r="N127" i="1"/>
  <c r="M127" i="1"/>
  <c r="D127" i="1"/>
  <c r="N126" i="1"/>
  <c r="M126" i="1"/>
  <c r="D126" i="1"/>
  <c r="N125" i="1"/>
  <c r="M125" i="1"/>
  <c r="D125" i="1"/>
  <c r="N124" i="1"/>
  <c r="M124" i="1"/>
  <c r="D124" i="1"/>
  <c r="N123" i="1" l="1"/>
  <c r="M123" i="1"/>
  <c r="D123" i="1"/>
  <c r="N109" i="1"/>
  <c r="M109" i="1"/>
  <c r="D109" i="1"/>
  <c r="N209" i="1"/>
  <c r="M209" i="1"/>
  <c r="D209" i="1"/>
  <c r="N208" i="1"/>
  <c r="M208" i="1"/>
  <c r="D208" i="1"/>
  <c r="N207" i="1"/>
  <c r="M207" i="1"/>
  <c r="D207" i="1"/>
  <c r="N206" i="1"/>
  <c r="M206" i="1"/>
  <c r="D206" i="1"/>
  <c r="N205" i="1"/>
  <c r="M205" i="1"/>
  <c r="D205" i="1"/>
  <c r="N204" i="1"/>
  <c r="M204" i="1"/>
  <c r="D204" i="1"/>
  <c r="N203" i="1"/>
  <c r="M203" i="1"/>
  <c r="D203" i="1"/>
  <c r="N202" i="1"/>
  <c r="M202" i="1"/>
  <c r="D202" i="1"/>
  <c r="N201" i="1"/>
  <c r="M201" i="1"/>
  <c r="D201" i="1"/>
  <c r="N200" i="1"/>
  <c r="M200" i="1"/>
  <c r="D200" i="1"/>
  <c r="N199" i="1"/>
  <c r="M199" i="1"/>
  <c r="D199" i="1"/>
  <c r="N198" i="1"/>
  <c r="M198" i="1"/>
  <c r="D198" i="1"/>
  <c r="N197" i="1"/>
  <c r="M197" i="1"/>
  <c r="D197" i="1"/>
  <c r="N196" i="1"/>
  <c r="M196" i="1"/>
  <c r="D196" i="1"/>
  <c r="N195" i="1"/>
  <c r="M195" i="1"/>
  <c r="D195" i="1"/>
  <c r="N194" i="1"/>
  <c r="M194" i="1"/>
  <c r="D194" i="1"/>
  <c r="N193" i="1"/>
  <c r="M193" i="1"/>
  <c r="D193" i="1"/>
  <c r="N192" i="1"/>
  <c r="M192" i="1"/>
  <c r="D192" i="1"/>
  <c r="N191" i="1"/>
  <c r="M191" i="1"/>
  <c r="D191" i="1"/>
  <c r="Q302" i="1" l="1"/>
  <c r="Q303" i="1"/>
  <c r="Q291" i="1"/>
  <c r="Q292" i="1"/>
  <c r="Q280" i="1"/>
  <c r="Q281" i="1"/>
  <c r="Q268" i="1"/>
  <c r="Q269" i="1"/>
  <c r="Q270" i="1"/>
  <c r="Q246" i="1"/>
  <c r="Q247" i="1"/>
  <c r="Q248" i="1"/>
  <c r="Q249" i="1"/>
  <c r="Q250" i="1"/>
  <c r="Q251" i="1"/>
  <c r="Q252" i="1"/>
  <c r="Q253" i="1"/>
  <c r="Q245" i="1"/>
  <c r="Q237" i="1"/>
  <c r="Q238" i="1"/>
  <c r="Q239" i="1"/>
  <c r="Q240" i="1"/>
  <c r="Q241" i="1"/>
  <c r="Q242" i="1"/>
  <c r="Q243" i="1"/>
  <c r="Q236" i="1"/>
  <c r="Q225" i="1"/>
  <c r="Q227" i="1"/>
  <c r="Q228" i="1"/>
  <c r="Q229" i="1"/>
  <c r="Q230" i="1"/>
  <c r="Q231" i="1"/>
  <c r="Q232" i="1"/>
  <c r="Q233" i="1"/>
  <c r="Q234" i="1"/>
  <c r="Q219" i="1"/>
  <c r="Q220" i="1"/>
  <c r="Q221" i="1"/>
  <c r="Q222" i="1"/>
  <c r="Q223" i="1"/>
  <c r="Q224" i="1"/>
  <c r="Q218" i="1"/>
  <c r="N95" i="1"/>
  <c r="M95" i="1"/>
  <c r="D95"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6" i="1"/>
  <c r="D97" i="1"/>
  <c r="D98" i="1"/>
  <c r="D99" i="1"/>
  <c r="D100" i="1"/>
  <c r="D101" i="1"/>
  <c r="D102" i="1"/>
  <c r="D103" i="1"/>
  <c r="D104" i="1"/>
  <c r="D105" i="1"/>
  <c r="D106" i="1"/>
  <c r="D107" i="1"/>
  <c r="D108" i="1"/>
  <c r="D110" i="1"/>
  <c r="D111" i="1"/>
  <c r="D112" i="1"/>
  <c r="D113" i="1"/>
  <c r="D114" i="1"/>
  <c r="D115" i="1"/>
  <c r="D116" i="1"/>
  <c r="D117" i="1"/>
  <c r="D118" i="1"/>
  <c r="D119" i="1"/>
  <c r="D120" i="1"/>
  <c r="D121" i="1"/>
  <c r="D122" i="1"/>
  <c r="D167" i="1"/>
  <c r="D168" i="1"/>
  <c r="D169" i="1"/>
  <c r="D170" i="1"/>
  <c r="D171" i="1"/>
  <c r="D172" i="1"/>
  <c r="D173" i="1"/>
  <c r="D174" i="1"/>
  <c r="D175" i="1"/>
  <c r="D176" i="1"/>
  <c r="D177" i="1"/>
  <c r="D178" i="1"/>
  <c r="D179" i="1"/>
  <c r="D180" i="1"/>
  <c r="D181" i="1"/>
  <c r="D182" i="1"/>
  <c r="D183" i="1"/>
  <c r="D184" i="1"/>
  <c r="D185" i="1"/>
  <c r="D186" i="1"/>
  <c r="D187" i="1"/>
  <c r="D188" i="1"/>
  <c r="D189" i="1"/>
  <c r="D190" i="1"/>
  <c r="D211" i="1"/>
  <c r="D212" i="1"/>
  <c r="D213" i="1"/>
  <c r="D214" i="1"/>
  <c r="D215" i="1"/>
  <c r="D216" i="1"/>
  <c r="D217" i="1"/>
  <c r="D218" i="1"/>
  <c r="D219" i="1"/>
  <c r="D220" i="1"/>
  <c r="D221" i="1"/>
  <c r="D222" i="1"/>
  <c r="D223" i="1"/>
  <c r="D224" i="1"/>
  <c r="D225" i="1"/>
  <c r="D227" i="1"/>
  <c r="D228" i="1"/>
  <c r="D229" i="1"/>
  <c r="D230" i="1"/>
  <c r="D231" i="1"/>
  <c r="D232" i="1"/>
  <c r="D233" i="1"/>
  <c r="D234" i="1"/>
  <c r="D236" i="1"/>
  <c r="D237" i="1"/>
  <c r="D238" i="1"/>
  <c r="D239" i="1"/>
  <c r="D240" i="1"/>
  <c r="D241" i="1"/>
  <c r="D242" i="1"/>
  <c r="D243" i="1"/>
  <c r="D245" i="1"/>
  <c r="D246" i="1"/>
  <c r="D247" i="1"/>
  <c r="D248" i="1"/>
  <c r="D249" i="1"/>
  <c r="D250" i="1"/>
  <c r="D251" i="1"/>
  <c r="D252" i="1"/>
  <c r="D253" i="1"/>
  <c r="D254" i="1"/>
  <c r="D255" i="1"/>
  <c r="D256" i="1"/>
  <c r="D257" i="1"/>
  <c r="D258" i="1"/>
  <c r="D259" i="1"/>
  <c r="D260" i="1"/>
  <c r="D264" i="1"/>
  <c r="D265" i="1"/>
  <c r="D266" i="1"/>
  <c r="D267" i="1"/>
  <c r="D268" i="1"/>
  <c r="D269" i="1"/>
  <c r="D270" i="1"/>
  <c r="D275" i="1"/>
  <c r="D276" i="1"/>
  <c r="D277" i="1"/>
  <c r="D278" i="1"/>
  <c r="D279" i="1"/>
  <c r="D280" i="1"/>
  <c r="D281" i="1"/>
  <c r="D287" i="1"/>
  <c r="D288" i="1"/>
  <c r="D289" i="1"/>
  <c r="D290" i="1"/>
  <c r="D291" i="1"/>
  <c r="D292" i="1"/>
  <c r="D298" i="1"/>
  <c r="D299" i="1"/>
  <c r="D300" i="1"/>
  <c r="D301" i="1"/>
  <c r="D302" i="1"/>
  <c r="D303" i="1"/>
  <c r="D304" i="1"/>
  <c r="D305" i="1"/>
  <c r="D306" i="1"/>
  <c r="D307" i="1"/>
  <c r="D308" i="1"/>
  <c r="D309" i="1"/>
  <c r="D310" i="1"/>
  <c r="D311" i="1"/>
  <c r="D312" i="1"/>
  <c r="D314" i="1"/>
  <c r="D316" i="1"/>
  <c r="D318" i="1"/>
  <c r="D320" i="1"/>
  <c r="D322" i="1"/>
  <c r="D324"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6" i="1"/>
  <c r="M97" i="1"/>
  <c r="M98" i="1"/>
  <c r="M99" i="1"/>
  <c r="M100" i="1"/>
  <c r="M101" i="1"/>
  <c r="M102" i="1"/>
  <c r="M103" i="1"/>
  <c r="M104" i="1"/>
  <c r="M105" i="1"/>
  <c r="M106" i="1"/>
  <c r="M107" i="1"/>
  <c r="M108" i="1"/>
  <c r="M110" i="1"/>
  <c r="M111" i="1"/>
  <c r="M112" i="1"/>
  <c r="M113" i="1"/>
  <c r="M114" i="1"/>
  <c r="M115" i="1"/>
  <c r="M116" i="1"/>
  <c r="M117" i="1"/>
  <c r="M118" i="1"/>
  <c r="M119" i="1"/>
  <c r="M120" i="1"/>
  <c r="M121" i="1"/>
  <c r="M122" i="1"/>
  <c r="M167" i="1"/>
  <c r="M168" i="1"/>
  <c r="M169" i="1"/>
  <c r="M170" i="1"/>
  <c r="M171" i="1"/>
  <c r="M172" i="1"/>
  <c r="M173" i="1"/>
  <c r="M174" i="1"/>
  <c r="M175" i="1"/>
  <c r="M176" i="1"/>
  <c r="M177" i="1"/>
  <c r="M178" i="1"/>
  <c r="M179" i="1"/>
  <c r="M180" i="1"/>
  <c r="M181" i="1"/>
  <c r="M182" i="1"/>
  <c r="M183" i="1"/>
  <c r="M184" i="1"/>
  <c r="M185" i="1"/>
  <c r="M186" i="1"/>
  <c r="M187" i="1"/>
  <c r="M188" i="1"/>
  <c r="M189" i="1"/>
  <c r="M19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4" i="1"/>
  <c r="M265" i="1"/>
  <c r="M266" i="1"/>
  <c r="M267" i="1"/>
  <c r="M268" i="1"/>
  <c r="M269" i="1"/>
  <c r="M270" i="1"/>
  <c r="M271" i="1"/>
  <c r="M275" i="1"/>
  <c r="M276" i="1"/>
  <c r="M277" i="1"/>
  <c r="M278" i="1"/>
  <c r="M279" i="1"/>
  <c r="M280" i="1"/>
  <c r="M281" i="1"/>
  <c r="M282" i="1"/>
  <c r="M287" i="1"/>
  <c r="M288" i="1"/>
  <c r="M289" i="1"/>
  <c r="M290" i="1"/>
  <c r="M291" i="1"/>
  <c r="M292" i="1"/>
  <c r="M293"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6" i="1"/>
  <c r="N97" i="1"/>
  <c r="N98" i="1"/>
  <c r="N99" i="1"/>
  <c r="N100" i="1"/>
  <c r="N101" i="1"/>
  <c r="N102" i="1"/>
  <c r="N103" i="1"/>
  <c r="N104" i="1"/>
  <c r="N105" i="1"/>
  <c r="N106" i="1"/>
  <c r="N107" i="1"/>
  <c r="N108" i="1"/>
  <c r="N110" i="1"/>
  <c r="N111" i="1"/>
  <c r="N112" i="1"/>
  <c r="N113" i="1"/>
  <c r="N114" i="1"/>
  <c r="N115" i="1"/>
  <c r="N116" i="1"/>
  <c r="N117" i="1"/>
  <c r="N118" i="1"/>
  <c r="N119" i="1"/>
  <c r="N120" i="1"/>
  <c r="N121" i="1"/>
  <c r="N122" i="1"/>
  <c r="N167" i="1"/>
  <c r="N168" i="1"/>
  <c r="N169" i="1"/>
  <c r="N170" i="1"/>
  <c r="N171" i="1"/>
  <c r="N172" i="1"/>
  <c r="N173" i="1"/>
  <c r="N174" i="1"/>
  <c r="N175" i="1"/>
  <c r="N176" i="1"/>
  <c r="N177" i="1"/>
  <c r="N178" i="1"/>
  <c r="N179" i="1"/>
  <c r="N180" i="1"/>
  <c r="N181" i="1"/>
  <c r="N182" i="1"/>
  <c r="N183" i="1"/>
  <c r="N184" i="1"/>
  <c r="N185" i="1"/>
  <c r="N186" i="1"/>
  <c r="N187" i="1"/>
  <c r="N188" i="1"/>
  <c r="N189" i="1"/>
  <c r="N19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4" i="1"/>
  <c r="N265" i="1"/>
  <c r="N266" i="1"/>
  <c r="N267" i="1"/>
  <c r="N268" i="1"/>
  <c r="N269" i="1"/>
  <c r="N270" i="1"/>
  <c r="N271" i="1"/>
  <c r="N275" i="1"/>
  <c r="N276" i="1"/>
  <c r="N277" i="1"/>
  <c r="N278" i="1"/>
  <c r="N279" i="1"/>
  <c r="N280" i="1"/>
  <c r="N281" i="1"/>
  <c r="N282" i="1"/>
  <c r="N287" i="1"/>
  <c r="N288" i="1"/>
  <c r="N289" i="1"/>
  <c r="N290" i="1"/>
  <c r="N291" i="1"/>
  <c r="N292" i="1"/>
  <c r="N293"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4" i="1"/>
  <c r="N5" i="1"/>
  <c r="N6" i="1"/>
  <c r="N7" i="1"/>
  <c r="N8" i="1"/>
  <c r="N9" i="1"/>
  <c r="N10" i="1"/>
  <c r="N11" i="1"/>
  <c r="N12" i="1"/>
  <c r="N13" i="1"/>
  <c r="N14" i="1"/>
  <c r="N15" i="1"/>
  <c r="N16" i="1"/>
  <c r="C9" i="4"/>
  <c r="C1" i="6" s="1"/>
  <c r="C8" i="4"/>
  <c r="G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<sst xmlns="http://schemas.openxmlformats.org/spreadsheetml/2006/main" count="2328" uniqueCount="372">
  <si>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</si>
  <si>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</si>
  <si>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</si>
  <si>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</si>
  <si>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</si>
  <si>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</si>
  <si>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</si>
  <si>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</si>
  <si>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</si>
  <si>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</si>
  <si>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</si>
  <si>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</si>
  <si>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</si>
  <si>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</si>
  <si>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</si>
  <si>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</si>
  <si>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</si>
  <si>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</si>
  <si>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</si>
  <si>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</si>
  <si>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</si>
  <si>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</si>
  <si>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</si>
  <si>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</si>
  <si>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</si>
  <si>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</si>
  <si>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</si>
  <si>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</si>
  <si>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</si>
  <si>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</si>
  <si>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</si>
  <si>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</si>
  <si>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</si>
  <si>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</si>
  <si>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</si>
  <si>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</si>
  <si>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</si>
  <si>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</si>
  <si>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</si>
  <si>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</si>
  <si>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</si>
  <si>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</si>
  <si>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</si>
  <si>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</si>
  <si>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</si>
  <si>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</si>
  <si>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</si>
  <si>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</si>
  <si>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</si>
  <si>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</si>
  <si>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</si>
  <si>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</si>
  <si>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</si>
  <si>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</si>
  <si>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</si>
  <si>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</si>
  <si>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</si>
  <si>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</si>
  <si>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</si>
  <si>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</si>
  <si>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</si>
  <si>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</si>
  <si>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</si>
  <si>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</si>
  <si>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</si>
  <si>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</si>
  <si>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</si>
  <si>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</si>
  <si>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</si>
  <si>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</si>
  <si>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</si>
  <si>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</si>
  <si>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</si>
  <si>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</si>
  <si>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</si>
  <si>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</si>
  <si>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</si>
  <si>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</si>
  <si>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</si>
  <si>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</si>
  <si>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</si>
  <si>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</si>
  <si>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</si>
  <si>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</si>
  <si>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</si>
  <si>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</si>
  <si>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</si>
  <si>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</si>
  <si>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</si>
  <si>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</si>
  <si>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</si>
  <si>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</si>
  <si>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</si>
  <si>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</si>
  <si>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</si>
  <si>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</si>
  <si>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</si>
  <si>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</si>
  <si>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</si>
  <si>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</si>
  <si>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</si>
  <si>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</si>
  <si>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</si>
  <si>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</si>
  <si>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</si>
  <si>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Sequence end</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</si>
  <si>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</si>
  <si>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</si>
  <si>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</si>
  <si>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</si>
  <si>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</si>
  <si>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</si>
  <si>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</si>
  <si>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</si>
  <si>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</si>
  <si>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</si>
  <si>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</si>
  <si>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</si>
  <si>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</si>
  <si>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</si>
  <si>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</si>
  <si>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</si>
  <si>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</si>
  <si>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</si>
  <si>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</si>
  <si>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</si>
  <si>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</si>
  <si>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</si>
  <si>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</si>
  <si>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</si>
  <si>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</si>
  <si>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</si>
  <si>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</si>
  <si>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</si>
  <si>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</si>
  <si>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PCI, 2mm x 28mm**</t>
  </si>
  <si>
    <t>20 ATM**</t>
  </si>
  <si>
    <t>Pilot</t>
  </si>
  <si>
    <t>Hands on</t>
  </si>
  <si>
    <t>Possible manual disturbances</t>
  </si>
  <si>
    <t>In-vitro, 5% glucose solution</t>
  </si>
  <si>
    <t>PCI, 2.5mm x 8mm</t>
  </si>
  <si>
    <t>C-2</t>
  </si>
  <si>
    <t>Regular</t>
  </si>
  <si>
    <t>Other, text note</t>
  </si>
  <si>
    <t>Described as text note</t>
  </si>
  <si>
    <t>In-vitro, human blood</t>
  </si>
  <si>
    <t>PCI, 4mm x 20mm*</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</si>
  <si>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</si>
  <si>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</si>
  <si>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</si>
  <si>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</si>
  <si>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</si>
  <si>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</si>
  <si>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</si>
  <si>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</si>
  <si>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</si>
  <si>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</si>
  <si>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</si>
  <si>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</si>
  <si>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</si>
  <si>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</si>
  <si>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</si>
  <si>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</si>
  <si>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</si>
  <si>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</si>
  <si>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</si>
  <si>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</si>
  <si>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</si>
  <si>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</si>
  <si>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</si>
  <si>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</si>
  <si>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</si>
  <si>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</si>
  <si>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</si>
  <si>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</si>
  <si>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</si>
  <si>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</si>
  <si>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</si>
  <si>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</si>
  <si>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</si>
  <si>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</si>
  <si>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</si>
  <si>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Recording, end</t>
  </si>
  <si>
    <t>End of recording interval</t>
  </si>
  <si>
    <t>Start of recording interval</t>
  </si>
  <si>
    <t>* RBP</t>
  </si>
  <si>
    <t>System flush</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</si>
  <si>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</si>
  <si>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</si>
  <si>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</si>
  <si>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</si>
  <si>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</si>
  <si>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</si>
  <si>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</si>
  <si>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</si>
  <si>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</si>
  <si>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</si>
  <si>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</si>
  <si>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</si>
  <si>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</si>
  <si>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</si>
  <si>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</si>
  <si>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</si>
  <si>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</si>
  <si>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</si>
  <si>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</si>
  <si>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</si>
  <si>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</si>
  <si>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</si>
  <si>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</si>
  <si>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</si>
  <si>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</si>
  <si>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</si>
  <si>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</si>
  <si>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</si>
  <si>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</si>
  <si>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</si>
  <si>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</si>
  <si>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</si>
  <si>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</si>
  <si>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</si>
  <si>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</si>
  <si>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</si>
  <si>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</si>
  <si>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</si>
  <si>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</si>
  <si>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</si>
  <si>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</si>
  <si>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</si>
  <si>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</si>
  <si>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</si>
  <si>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</si>
  <si>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</si>
  <si>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</si>
  <si>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</si>
  <si>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</si>
  <si>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</si>
  <si>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</si>
  <si>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</si>
  <si>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</si>
  <si>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</si>
  <si>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</si>
  <si>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</si>
  <si>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</si>
  <si>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</si>
  <si>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</si>
  <si>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</si>
  <si>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</si>
  <si>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</si>
  <si>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</si>
  <si>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</si>
  <si>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</si>
  <si>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</si>
  <si>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</si>
  <si>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</si>
  <si>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</si>
  <si>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</si>
  <si>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</si>
  <si>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</si>
  <si>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</si>
  <si>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</si>
  <si>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</si>
  <si>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</si>
  <si>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</si>
  <si>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</si>
  <si>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</si>
  <si>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</si>
  <si>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</si>
  <si>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</si>
  <si>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</si>
  <si>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</si>
  <si>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</si>
  <si>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</si>
  <si>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</si>
  <si>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</si>
  <si>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</si>
  <si>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</si>
  <si>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</si>
  <si>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</si>
  <si>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</si>
  <si>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</si>
  <si>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</si>
  <si>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</si>
  <si>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</si>
  <si>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</si>
  <si>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</si>
  <si>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</si>
  <si>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</si>
  <si>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</si>
  <si>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</si>
  <si>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</si>
  <si>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</si>
  <si>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</si>
  <si>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</si>
  <si>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</si>
  <si>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</si>
  <si>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</si>
  <si>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</si>
  <si>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</si>
  <si>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</si>
  <si>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</si>
  <si>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</si>
  <si>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</si>
  <si>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</si>
  <si>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</si>
  <si>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</si>
  <si>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</si>
  <si>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</si>
  <si>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</si>
  <si>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</si>
  <si>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</si>
  <si>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</si>
  <si>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</si>
  <si>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</si>
  <si>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</si>
  <si>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</si>
  <si>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</si>
  <si>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</si>
  <si>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</si>
  <si>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</si>
  <si>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</si>
  <si>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</si>
  <si>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Deflation, slow</t>
  </si>
  <si>
    <t>Sequence start</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</si>
  <si>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</si>
  <si>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</si>
  <si>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</si>
  <si>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</si>
  <si>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</si>
  <si>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</si>
  <si>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Some tiny hands on</t>
  </si>
  <si>
    <t>Flow and power are interpolation</t>
  </si>
  <si>
    <t>Was actually 18 ATM</t>
  </si>
  <si>
    <t>Tiny hands on at ~48 sec</t>
  </si>
  <si>
    <t>Not recorded on film</t>
  </si>
  <si>
    <t>Drift down to 19 ATM</t>
  </si>
  <si>
    <t>File tag: F2</t>
  </si>
  <si>
    <t>Small adjustmed in position</t>
  </si>
  <si>
    <t>File tag: F3</t>
  </si>
  <si>
    <t>Small hands on 30-40 sec</t>
  </si>
  <si>
    <t>Catheter bursted</t>
  </si>
  <si>
    <t>19 ATM</t>
  </si>
  <si>
    <t>File tag: F5</t>
  </si>
  <si>
    <t>File tag: F6</t>
  </si>
  <si>
    <t>Inflation, rapid</t>
  </si>
  <si>
    <t>Inflation, slow</t>
  </si>
  <si>
    <t>Unclassified hands on</t>
  </si>
  <si>
    <t>Hands on to move catheter slightly further out</t>
  </si>
  <si>
    <t>Check calibration and  that balloon is empty</t>
  </si>
  <si>
    <t>SystemM time: 37 sec ahead</t>
  </si>
  <si>
    <t>File tag: F7
SystemM time in sync</t>
  </si>
  <si>
    <t>Some hands on</t>
  </si>
  <si>
    <t>2.0 Rev</t>
  </si>
  <si>
    <t>Retake segment</t>
  </si>
  <si>
    <t>1.5 rev.</t>
  </si>
  <si>
    <t>File tag: F8</t>
  </si>
  <si>
    <t>Some minor hands on at the end of interval</t>
  </si>
  <si>
    <t>Change of water after RHC catheter bursted, and to flush any dye remnants from LVAD</t>
  </si>
  <si>
    <t>File tag: F9</t>
  </si>
  <si>
    <t>File tag: F10</t>
  </si>
  <si>
    <t>drift down to 0.88 L/min</t>
  </si>
  <si>
    <t>File tag: F11</t>
  </si>
  <si>
    <t>preload incr.</t>
  </si>
  <si>
    <t>~10% Q red.</t>
  </si>
  <si>
    <t>File tag: F12</t>
  </si>
  <si>
    <t>File tag: F13</t>
  </si>
  <si>
    <t>Possible hands on at approx. 1 min 40 sec</t>
  </si>
  <si>
    <t>Had to use strips to avoid air comming in at inlet tube</t>
  </si>
  <si>
    <t>Reference, in vitro</t>
  </si>
  <si>
    <t>System M time: 45 sec ahead</t>
  </si>
  <si>
    <t>File tag: F4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</si>
</sst>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2"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24">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17" xfId="0" applyNumberFormat="1" applyFont="1" applyBorder="1" applyAlignment="1">
      <alignment horizontal="center" vertical="center"/>
    </xf>
    <xf numFmtId="21" fontId="9" fillId="0" borderId="17" xfId="0" applyNumberFormat="1" applyFont="1" applyBorder="1" applyAlignment="1">
      <alignment horizontal="center" vertical="center" wrapText="1"/>
    </xf>
    <xf numFmtId="21" fontId="9" fillId="0" borderId="2" xfId="0" applyNumberFormat="1" applyFont="1" applyBorder="1" applyAlignment="1">
      <alignment horizontal="center" vertical="center"/>
    </xf>
    <xf numFmtId="21" fontId="9" fillId="0" borderId="17" xfId="0" applyNumberFormat="1" applyFont="1" applyBorder="1" applyAlignment="1">
      <alignment horizontal="center" vertical="center" wrapText="1"/>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1" fontId="11" fillId="9" borderId="17" xfId="0" applyNumberFormat="1" applyFont="1" applyFill="1" applyBorder="1" applyAlignment="1">
      <alignment horizontal="center" vertical="center"/>
    </xf>
    <xf numFmtId="21" fontId="9" fillId="0" borderId="25"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cellXfs>
  <cellStyles count="1">
    <cellStyle name="Normal" xfId="0" builtinId="0"/>
  </cellStyles>
  <dxfs count="77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324"/>
  <sheetViews>
    <sheetView showGridLines="0" tabSelected="1" zoomScale="60" zoomScaleNormal="60" workbookViewId="0">
      <selection activeCell="N13" sqref="N13"/>
    </sheetView>
  </sheetViews>
  <sheetFormatPr defaultColWidth="8.88671875" defaultRowHeight="21" x14ac:dyDescent="0.3"/>
  <cols>
    <col min="1" max="1" width="16.109375" style="58" bestFit="1" customWidth="1"/>
    <col min="2" max="2" width="12.44140625" style="58" customWidth="1"/>
    <col min="3" max="3" width="8.88671875" style="81" hidden="1" customWidth="1"/>
    <col min="4" max="4" width="6.88671875" style="81" bestFit="1" customWidth="1"/>
    <col min="5" max="5" width="6.21875" style="81" hidden="1" customWidth="1"/>
    <col min="6" max="6" width="4.5546875" style="81" hidden="1" customWidth="1"/>
    <col min="7" max="7" width="5.109375" style="82" customWidth="1"/>
    <col min="8" max="8" width="24.33203125" style="83" bestFit="1" customWidth="1"/>
    <col min="9" max="9" width="23.44140625" style="83" bestFit="1" customWidth="1"/>
    <col min="10" max="10" width="15.33203125" style="84" hidden="1" customWidth="1"/>
    <col min="11" max="11" width="7.109375" style="82" bestFit="1" customWidth="1"/>
    <col min="12" max="12" width="9.21875" style="85" bestFit="1" customWidth="1"/>
    <col min="13" max="13" width="10.21875" style="86" bestFit="1" customWidth="1"/>
    <col min="14" max="14" width="12.6640625" style="86" customWidth="1"/>
    <col min="15" max="15" width="23.21875" style="86" bestFit="1" customWidth="1"/>
    <col min="16" max="16" width="10.109375" style="82" bestFit="1" customWidth="1"/>
    <col min="17" max="17" width="10.44140625" style="87" bestFit="1" customWidth="1"/>
    <col min="18" max="18" width="10.109375" style="88" hidden="1" customWidth="1"/>
    <col min="19" max="19" width="10.5546875" style="88" hidden="1" customWidth="1"/>
    <col min="20" max="20" width="8.77734375" style="85" hidden="1" customWidth="1"/>
    <col min="21" max="21" width="11" style="88" hidden="1" customWidth="1"/>
    <col min="22" max="22" width="6.88671875" style="89" bestFit="1" customWidth="1"/>
    <col min="23" max="23" width="7.44140625" style="89" bestFit="1" customWidth="1"/>
    <col min="24" max="24" width="9.33203125" style="90" bestFit="1" customWidth="1"/>
    <col min="25" max="27" width="7.6640625" style="91" hidden="1" customWidth="1"/>
    <col min="28" max="30" width="8.77734375" style="91" hidden="1" customWidth="1"/>
    <col min="31" max="31" width="9.77734375" style="91" hidden="1" customWidth="1"/>
    <col min="32" max="32" width="7.6640625" style="91" hidden="1" customWidth="1"/>
    <col min="33" max="33" width="9.21875" style="92" hidden="1" customWidth="1"/>
    <col min="34" max="34" width="5.109375" style="93" hidden="1" customWidth="1"/>
    <col min="35" max="35" width="31.109375" style="94" bestFit="1" customWidth="1"/>
    <col min="36" max="36" width="41" style="94" bestFit="1" customWidth="1"/>
    <col min="37" max="37" width="17" style="95" bestFit="1" customWidth="1"/>
    <col min="38" max="38" width="24.33203125" style="95" bestFit="1" customWidth="1"/>
    <col min="39" max="16384" width="8.88671875" style="58"/>
  </cols>
  <sheetData>
    <row r="1" spans="1:38" s="1" customFormat="1" ht="13.8" x14ac:dyDescent="0.3">
      <c r="C1" s="2"/>
      <c r="D1" s="2"/>
      <c r="E1" s="2"/>
      <c r="F1" s="2"/>
      <c r="G1" s="2"/>
      <c r="H1" s="2"/>
      <c r="I1" s="2"/>
      <c r="J1" s="200" t="s">
        <v>0</v>
      </c>
      <c r="K1" s="200"/>
      <c r="L1" s="200"/>
      <c r="M1" s="200"/>
      <c r="N1" s="200"/>
      <c r="O1" s="200"/>
      <c r="P1" s="200"/>
      <c r="Q1" s="201"/>
      <c r="R1" s="202" t="s">
        <v>1</v>
      </c>
      <c r="S1" s="202"/>
      <c r="T1" s="203" t="s">
        <v>2</v>
      </c>
      <c r="U1" s="204"/>
      <c r="V1" s="202" t="s">
        <v>3</v>
      </c>
      <c r="W1" s="202"/>
      <c r="X1" s="3" t="s">
        <v>4</v>
      </c>
      <c r="Y1" s="202" t="s">
        <v>5</v>
      </c>
      <c r="Z1" s="202"/>
      <c r="AA1" s="202"/>
      <c r="AB1" s="202"/>
      <c r="AC1" s="202"/>
      <c r="AD1" s="202"/>
      <c r="AE1" s="202"/>
      <c r="AF1" s="202"/>
      <c r="AG1" s="205" t="s">
        <v>6</v>
      </c>
      <c r="AH1" s="203"/>
      <c r="AI1" s="198" t="s">
        <v>7</v>
      </c>
      <c r="AJ1" s="199"/>
      <c r="AK1" s="199"/>
      <c r="AL1" s="199"/>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v>44074</v>
      </c>
      <c r="B4" s="190">
        <v>0.51807870370370368</v>
      </c>
      <c r="C4" s="39"/>
      <c r="D4" s="39" t="str">
        <f>IF(I4=Categories!$E$4,VLOOKUP(H4,Categories!$A$4:$C$15,3,FALSE),VLOOKUP(I4,Categories!$E$4:$G$27,3,FALSE))</f>
        <v>-</v>
      </c>
      <c r="E4" s="39"/>
      <c r="F4" s="39"/>
      <c r="G4" s="40" t="s">
        <v>58</v>
      </c>
      <c r="H4" s="41" t="s">
        <v>324</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61</v>
      </c>
      <c r="AK4" s="57"/>
      <c r="AL4" s="57"/>
    </row>
    <row r="5" spans="1:38" ht="31.95" customHeight="1" x14ac:dyDescent="0.3">
      <c r="A5" s="37">
        <v>44074</v>
      </c>
      <c r="B5" s="191">
        <v>0.51930555555555558</v>
      </c>
      <c r="C5" s="39"/>
      <c r="D5" s="39">
        <f>IF(I5=Categories!$E$4,VLOOKUP(H5,Categories!$A$4:$C$15,3,FALSE),VLOOKUP(I5,Categories!$E$4:$G$27,3,FALSE))</f>
        <v>120</v>
      </c>
      <c r="E5" s="39"/>
      <c r="F5" s="39"/>
      <c r="G5" s="40">
        <v>1</v>
      </c>
      <c r="H5" s="41" t="s">
        <v>62</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v>5.5</v>
      </c>
      <c r="W5" s="63">
        <v>5.6</v>
      </c>
      <c r="X5" s="51">
        <v>7.01</v>
      </c>
      <c r="Y5" s="64"/>
      <c r="Z5" s="64"/>
      <c r="AA5" s="64"/>
      <c r="AB5" s="64"/>
      <c r="AC5" s="64"/>
      <c r="AD5" s="64"/>
      <c r="AE5" s="64"/>
      <c r="AF5" s="64"/>
      <c r="AG5" s="51"/>
      <c r="AH5" s="65"/>
      <c r="AI5" s="55" t="s">
        <v>63</v>
      </c>
      <c r="AJ5" s="57" t="s">
        <v>64</v>
      </c>
      <c r="AK5" s="57"/>
      <c r="AL5" s="57" t="s">
        <v>65</v>
      </c>
    </row>
    <row r="6" spans="1:38" ht="31.95" customHeight="1" x14ac:dyDescent="0.3">
      <c r="A6" s="37">
        <v>44074</v>
      </c>
      <c r="B6" s="190">
        <v>0.52082175925925933</v>
      </c>
      <c r="C6" s="39"/>
      <c r="D6" s="39">
        <f>IF(I6=Categories!$E$4,VLOOKUP(H6,Categories!$A$4:$C$15,3,FALSE),VLOOKUP(I6,Categories!$E$4:$G$27,3,FALSE))</f>
        <v>30</v>
      </c>
      <c r="E6" s="39"/>
      <c r="F6" s="39"/>
      <c r="G6" s="40">
        <v>1</v>
      </c>
      <c r="H6" s="41" t="s">
        <v>66</v>
      </c>
      <c r="I6" s="59" t="s">
        <v>67</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67</v>
      </c>
    </row>
    <row r="7" spans="1:38" ht="31.95" customHeight="1" x14ac:dyDescent="0.3">
      <c r="A7" s="37">
        <v>44074</v>
      </c>
      <c r="B7" s="190">
        <v>0.52135416666666667</v>
      </c>
      <c r="C7" s="39"/>
      <c r="D7" s="39">
        <f>IF(I7=Categories!$E$4,VLOOKUP(H7,Categories!$A$4:$C$15,3,FALSE),VLOOKUP(I7,Categories!$E$4:$G$27,3,FALSE))</f>
        <v>120</v>
      </c>
      <c r="E7" s="39"/>
      <c r="F7" s="39"/>
      <c r="G7" s="40">
        <v>1</v>
      </c>
      <c r="H7" s="41" t="s">
        <v>68</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v>4.5999999999999996</v>
      </c>
      <c r="W7" s="63">
        <v>4.0999999999999996</v>
      </c>
      <c r="X7" s="51">
        <v>6.27</v>
      </c>
      <c r="Y7" s="64"/>
      <c r="Z7" s="64"/>
      <c r="AA7" s="64"/>
      <c r="AB7" s="64"/>
      <c r="AC7" s="64"/>
      <c r="AD7" s="64"/>
      <c r="AE7" s="64"/>
      <c r="AF7" s="64"/>
      <c r="AG7" s="51"/>
      <c r="AH7" s="65"/>
      <c r="AI7" s="55"/>
      <c r="AJ7" s="57"/>
      <c r="AK7" s="57"/>
      <c r="AL7" s="57" t="s">
        <v>69</v>
      </c>
    </row>
    <row r="8" spans="1:38" ht="31.95" customHeight="1" x14ac:dyDescent="0.3">
      <c r="A8" s="37">
        <v>44074</v>
      </c>
      <c r="B8" s="190">
        <v>0.52288194444444447</v>
      </c>
      <c r="C8" s="39"/>
      <c r="D8" s="39">
        <f>IF(I8=Categories!$E$4,VLOOKUP(H8,Categories!$A$4:$C$15,3,FALSE),VLOOKUP(I8,Categories!$E$4:$G$27,3,FALSE))</f>
        <v>30</v>
      </c>
      <c r="E8" s="39"/>
      <c r="F8" s="39"/>
      <c r="G8" s="40">
        <v>1</v>
      </c>
      <c r="H8" s="41" t="s">
        <v>66</v>
      </c>
      <c r="I8" s="59" t="s">
        <v>67</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67</v>
      </c>
    </row>
    <row r="9" spans="1:38" ht="31.95" customHeight="1" x14ac:dyDescent="0.3">
      <c r="A9" s="37">
        <v>44074</v>
      </c>
      <c r="B9" s="190">
        <v>0.52328703703703705</v>
      </c>
      <c r="C9" s="39"/>
      <c r="D9" s="39">
        <f>IF(I9=Categories!$E$4,VLOOKUP(H9,Categories!$A$4:$C$15,3,FALSE),VLOOKUP(I9,Categories!$E$4:$G$27,3,FALSE))</f>
        <v>120</v>
      </c>
      <c r="E9" s="39"/>
      <c r="F9" s="39"/>
      <c r="G9" s="40">
        <v>1</v>
      </c>
      <c r="H9" s="41" t="s">
        <v>62</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v>4.0999999999999996</v>
      </c>
      <c r="W9" s="63">
        <v>3</v>
      </c>
      <c r="X9" s="51">
        <v>5.55</v>
      </c>
      <c r="Y9" s="64"/>
      <c r="Z9" s="64"/>
      <c r="AA9" s="64"/>
      <c r="AB9" s="64"/>
      <c r="AC9" s="64"/>
      <c r="AD9" s="64"/>
      <c r="AE9" s="64"/>
      <c r="AF9" s="64"/>
      <c r="AG9" s="51"/>
      <c r="AH9" s="65"/>
      <c r="AI9" s="55"/>
      <c r="AJ9" s="57"/>
      <c r="AK9" s="57"/>
      <c r="AL9" s="57" t="s">
        <v>70</v>
      </c>
    </row>
    <row r="10" spans="1:38" ht="31.95" customHeight="1" x14ac:dyDescent="0.3">
      <c r="A10" s="37">
        <v>44074</v>
      </c>
      <c r="B10" s="190">
        <v>0.52488425925925919</v>
      </c>
      <c r="C10" s="39"/>
      <c r="D10" s="39">
        <f>IF(I10=Categories!$E$4,VLOOKUP(H10,Categories!$A$4:$C$15,3,FALSE),VLOOKUP(I10,Categories!$E$4:$G$27,3,FALSE))</f>
        <v>30</v>
      </c>
      <c r="E10" s="39"/>
      <c r="F10" s="39"/>
      <c r="G10" s="40">
        <v>1</v>
      </c>
      <c r="H10" s="41" t="s">
        <v>66</v>
      </c>
      <c r="I10" s="59" t="s">
        <v>67</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t="s">
        <v>331</v>
      </c>
      <c r="AK10" s="57"/>
      <c r="AL10" s="57" t="s">
        <v>67</v>
      </c>
    </row>
    <row r="11" spans="1:38" ht="31.95" customHeight="1" x14ac:dyDescent="0.3">
      <c r="A11" s="37">
        <v>44074</v>
      </c>
      <c r="B11" s="190">
        <v>0.52545138888888887</v>
      </c>
      <c r="C11" s="39"/>
      <c r="D11" s="39">
        <f>IF(I11=Categories!$E$4,VLOOKUP(H11,Categories!$A$4:$C$15,3,FALSE),VLOOKUP(I11,Categories!$E$4:$G$27,3,FALSE))</f>
        <v>120</v>
      </c>
      <c r="E11" s="39"/>
      <c r="F11" s="39"/>
      <c r="G11" s="40">
        <v>1</v>
      </c>
      <c r="H11" s="41" t="s">
        <v>62</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v>3.4</v>
      </c>
      <c r="W11" s="63">
        <v>2.1</v>
      </c>
      <c r="X11" s="51">
        <v>4.83</v>
      </c>
      <c r="Y11" s="64"/>
      <c r="Z11" s="64"/>
      <c r="AA11" s="64"/>
      <c r="AB11" s="64"/>
      <c r="AC11" s="64"/>
      <c r="AD11" s="64"/>
      <c r="AE11" s="64"/>
      <c r="AF11" s="64"/>
      <c r="AG11" s="51"/>
      <c r="AH11" s="65"/>
      <c r="AI11" s="55"/>
      <c r="AJ11" s="57"/>
      <c r="AK11" s="57"/>
      <c r="AL11" s="57" t="s">
        <v>71</v>
      </c>
    </row>
    <row r="12" spans="1:38" ht="31.95" customHeight="1" x14ac:dyDescent="0.3">
      <c r="A12" s="37">
        <v>44074</v>
      </c>
      <c r="B12" s="190">
        <v>0.5269907407407407</v>
      </c>
      <c r="C12" s="39"/>
      <c r="D12" s="39" t="str">
        <f>IF(I12=Categories!$E$4,VLOOKUP(H12,Categories!$A$4:$C$15,3,FALSE),VLOOKUP(I12,Categories!$E$4:$G$27,3,FALSE))</f>
        <v>-</v>
      </c>
      <c r="E12" s="39"/>
      <c r="F12" s="39"/>
      <c r="G12" s="40" t="s">
        <v>58</v>
      </c>
      <c r="H12" s="41" t="s">
        <v>72</v>
      </c>
      <c r="I12" s="59" t="s">
        <v>73</v>
      </c>
      <c r="J12" s="42"/>
      <c r="K12" s="60">
        <v>2200</v>
      </c>
      <c r="L12" s="43">
        <v>1</v>
      </c>
      <c r="M12" s="44">
        <f>IFERROR(VLOOKUP(VLOOKUP(O12,O12,1,1),Categories!$K$4:$V$17,2+VLOOKUP(L12,L12,1,FALSE),FALSE),"-"  )</f>
        <v>0.9</v>
      </c>
      <c r="N12" s="44" t="str">
        <f>IFERROR(VLOOKUP(VLOOKUP(O12,O12,1,1),Categories!$K$3:$V$17,7+VLOOKUP(L12,L12,1,FALSE),FALSE),"-")</f>
        <v>0 ATM</v>
      </c>
      <c r="O12" s="45" t="s">
        <v>75</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v>44074</v>
      </c>
      <c r="B13" s="190">
        <v>0.53900462962962969</v>
      </c>
      <c r="C13" s="39"/>
      <c r="D13" s="39">
        <f>IF(I13=Categories!$E$4,VLOOKUP(H13,Categories!$A$4:$C$15,3,FALSE),VLOOKUP(I13,Categories!$E$4:$G$27,3,FALSE))</f>
        <v>120</v>
      </c>
      <c r="E13" s="39"/>
      <c r="F13" s="39"/>
      <c r="G13" s="40">
        <v>2</v>
      </c>
      <c r="H13" s="41" t="s">
        <v>62</v>
      </c>
      <c r="I13" s="59" t="s">
        <v>58</v>
      </c>
      <c r="J13" s="42"/>
      <c r="K13" s="60">
        <v>2200</v>
      </c>
      <c r="L13" s="43">
        <v>1</v>
      </c>
      <c r="M13" s="44">
        <f>IFERROR(VLOOKUP(VLOOKUP(O13,O13,1,1),Categories!$K$4:$V$17,2+VLOOKUP(L13,L13,1,FALSE),FALSE),"-"  )</f>
        <v>0.9</v>
      </c>
      <c r="N13" s="44" t="str">
        <f>IFERROR(VLOOKUP(VLOOKUP(O13,O13,1,1),Categories!$K$3:$V$17,7+VLOOKUP(L13,L13,1,FALSE),FALSE),"-")</f>
        <v>0 ATM</v>
      </c>
      <c r="O13" s="45" t="s">
        <v>75</v>
      </c>
      <c r="P13" s="46" t="s">
        <v>58</v>
      </c>
      <c r="Q13" s="47" t="s">
        <v>58</v>
      </c>
      <c r="R13" s="61"/>
      <c r="S13" s="61"/>
      <c r="T13" s="62"/>
      <c r="U13" s="61"/>
      <c r="V13" s="63">
        <v>3.4</v>
      </c>
      <c r="W13" s="63">
        <v>2.1</v>
      </c>
      <c r="X13" s="51">
        <v>4.79</v>
      </c>
      <c r="Y13" s="64"/>
      <c r="Z13" s="64"/>
      <c r="AA13" s="64"/>
      <c r="AB13" s="64"/>
      <c r="AC13" s="64"/>
      <c r="AD13" s="64"/>
      <c r="AE13" s="64"/>
      <c r="AF13" s="64"/>
      <c r="AG13" s="51"/>
      <c r="AH13" s="65"/>
      <c r="AI13" s="55"/>
      <c r="AJ13" s="57"/>
      <c r="AK13" s="57"/>
      <c r="AL13" s="57"/>
    </row>
    <row r="14" spans="1:38" ht="31.95" customHeight="1" x14ac:dyDescent="0.3">
      <c r="A14" s="37">
        <v>44074</v>
      </c>
      <c r="B14" s="190">
        <v>0.54047453703703707</v>
      </c>
      <c r="C14" s="39"/>
      <c r="D14" s="39">
        <f>IF(I14=Categories!$E$4,VLOOKUP(H14,Categories!$A$4:$C$15,3,FALSE),VLOOKUP(I14,Categories!$E$4:$G$27,3,FALSE))</f>
        <v>30</v>
      </c>
      <c r="E14" s="39"/>
      <c r="F14" s="39"/>
      <c r="G14" s="40">
        <v>2</v>
      </c>
      <c r="H14" s="41" t="s">
        <v>66</v>
      </c>
      <c r="I14" s="59" t="s">
        <v>345</v>
      </c>
      <c r="J14" s="42"/>
      <c r="K14" s="60">
        <v>2200</v>
      </c>
      <c r="L14" s="43">
        <v>2</v>
      </c>
      <c r="M14" s="44">
        <f>IFERROR(VLOOKUP(VLOOKUP(O14,O14,1,1),Categories!$K$4:$V$17,2+VLOOKUP(L14,L14,1,FALSE),FALSE),"-"  )</f>
        <v>4.3099999999999996</v>
      </c>
      <c r="N14" s="44" t="str">
        <f>IFERROR(VLOOKUP(VLOOKUP(O14,O14,1,1),Categories!$K$3:$V$17,7+VLOOKUP(L14,L14,1,FALSE),FALSE),"-")</f>
        <v>8 ATM</v>
      </c>
      <c r="O14" s="45" t="s">
        <v>75</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v>44074</v>
      </c>
      <c r="B15" s="192">
        <v>0.54093749999999996</v>
      </c>
      <c r="C15" s="39"/>
      <c r="D15" s="39">
        <f>IF(I15=Categories!$E$4,VLOOKUP(H15,Categories!$A$4:$C$15,3,FALSE),VLOOKUP(I15,Categories!$E$4:$G$27,3,FALSE))</f>
        <v>120</v>
      </c>
      <c r="E15" s="39"/>
      <c r="F15" s="39"/>
      <c r="G15" s="40">
        <v>2</v>
      </c>
      <c r="H15" s="41" t="s">
        <v>62</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75</v>
      </c>
      <c r="P15" s="46" t="s">
        <v>58</v>
      </c>
      <c r="Q15" s="47" t="s">
        <v>58</v>
      </c>
      <c r="R15" s="48"/>
      <c r="S15" s="48"/>
      <c r="T15" s="49"/>
      <c r="U15" s="61"/>
      <c r="V15" s="50">
        <v>3.4</v>
      </c>
      <c r="W15" s="50">
        <v>2.1</v>
      </c>
      <c r="X15" s="53"/>
      <c r="Y15" s="52"/>
      <c r="Z15" s="52"/>
      <c r="AA15" s="52"/>
      <c r="AB15" s="52"/>
      <c r="AC15" s="52"/>
      <c r="AD15" s="52"/>
      <c r="AE15" s="52"/>
      <c r="AF15" s="52"/>
      <c r="AG15" s="53"/>
      <c r="AH15" s="54"/>
      <c r="AI15" s="55"/>
      <c r="AJ15" s="56" t="s">
        <v>332</v>
      </c>
      <c r="AK15" s="57"/>
      <c r="AL15" s="57"/>
    </row>
    <row r="16" spans="1:38" ht="31.95" customHeight="1" x14ac:dyDescent="0.3">
      <c r="A16" s="66">
        <v>44074</v>
      </c>
      <c r="B16" s="192">
        <v>0.54253472222222221</v>
      </c>
      <c r="C16" s="39"/>
      <c r="D16" s="39">
        <f>IF(I16=Categories!$E$4,VLOOKUP(H16,Categories!$A$4:$C$15,3,FALSE),VLOOKUP(I16,Categories!$E$4:$G$27,3,FALSE))</f>
        <v>30</v>
      </c>
      <c r="E16" s="39"/>
      <c r="F16" s="39"/>
      <c r="G16" s="40">
        <v>2</v>
      </c>
      <c r="H16" s="41" t="s">
        <v>66</v>
      </c>
      <c r="I16" s="59" t="s">
        <v>345</v>
      </c>
      <c r="J16" s="42"/>
      <c r="K16" s="60">
        <v>2200</v>
      </c>
      <c r="L16" s="43">
        <v>3</v>
      </c>
      <c r="M16" s="44">
        <f>IFERROR(VLOOKUP(VLOOKUP(O16,O16,1,1),Categories!$K$4:$V$17,2+VLOOKUP(L16,L16,1,FALSE),FALSE),"-"  )</f>
        <v>4.7300000000000004</v>
      </c>
      <c r="N16" s="44" t="str">
        <f>IFERROR(VLOOKUP(VLOOKUP(O16,O16,1,1),Categories!$K$3:$V$17,7+VLOOKUP(L16,L16,1,FALSE),FALSE),"-")</f>
        <v>20 ATM*</v>
      </c>
      <c r="O16" s="45" t="s">
        <v>75</v>
      </c>
      <c r="P16" s="46" t="s">
        <v>58</v>
      </c>
      <c r="Q16" s="47" t="s">
        <v>58</v>
      </c>
      <c r="R16" s="48"/>
      <c r="S16" s="48"/>
      <c r="T16" s="49"/>
      <c r="U16" s="61"/>
      <c r="V16" s="50"/>
      <c r="W16" s="50"/>
      <c r="X16" s="53"/>
      <c r="Y16" s="52"/>
      <c r="Z16" s="52"/>
      <c r="AA16" s="52"/>
      <c r="AB16" s="52"/>
      <c r="AC16" s="52"/>
      <c r="AD16" s="52"/>
      <c r="AE16" s="52"/>
      <c r="AF16" s="52"/>
      <c r="AG16" s="53"/>
      <c r="AH16" s="54"/>
      <c r="AI16" s="55"/>
      <c r="AJ16" s="56" t="s">
        <v>333</v>
      </c>
      <c r="AK16" s="57"/>
      <c r="AL16" s="69"/>
    </row>
    <row r="17" spans="1:38" ht="31.95" customHeight="1" x14ac:dyDescent="0.3">
      <c r="A17" s="66">
        <v>44074</v>
      </c>
      <c r="B17" s="192">
        <v>0.54311342592592593</v>
      </c>
      <c r="C17" s="39"/>
      <c r="D17" s="39">
        <f>IF(I17=Categories!$E$4,VLOOKUP(H17,Categories!$A$4:$C$15,3,FALSE),VLOOKUP(I17,Categories!$E$4:$G$27,3,FALSE))</f>
        <v>120</v>
      </c>
      <c r="E17" s="39"/>
      <c r="F17" s="39"/>
      <c r="G17" s="40">
        <v>2</v>
      </c>
      <c r="H17" s="41" t="s">
        <v>62</v>
      </c>
      <c r="I17" s="68" t="s">
        <v>58</v>
      </c>
      <c r="J17" s="42"/>
      <c r="K17" s="60">
        <v>2200</v>
      </c>
      <c r="L17" s="43">
        <v>3</v>
      </c>
      <c r="M17" s="44">
        <f>IFERROR(VLOOKUP(VLOOKUP(O17,O17,1,1),Categories!$K$4:$V$17,2+VLOOKUP(L17,L17,1,FALSE),FALSE),"-"  )</f>
        <v>4.7300000000000004</v>
      </c>
      <c r="N17" s="44" t="str">
        <f>IFERROR(VLOOKUP(VLOOKUP(O17,O17,1,1),Categories!$K$3:$V$17,7+VLOOKUP(L17,L17,1,FALSE),FALSE),"-")</f>
        <v>20 ATM*</v>
      </c>
      <c r="O17" s="45" t="s">
        <v>75</v>
      </c>
      <c r="P17" s="46" t="s">
        <v>58</v>
      </c>
      <c r="Q17" s="47" t="s">
        <v>58</v>
      </c>
      <c r="R17" s="48"/>
      <c r="S17" s="48"/>
      <c r="T17" s="49"/>
      <c r="U17" s="61"/>
      <c r="V17" s="50">
        <v>3.4</v>
      </c>
      <c r="W17" s="50">
        <v>2.1</v>
      </c>
      <c r="X17" s="53">
        <v>4.78</v>
      </c>
      <c r="Y17" s="52"/>
      <c r="Z17" s="52"/>
      <c r="AA17" s="52"/>
      <c r="AB17" s="52"/>
      <c r="AC17" s="52"/>
      <c r="AD17" s="52"/>
      <c r="AE17" s="52"/>
      <c r="AF17" s="52"/>
      <c r="AG17" s="53"/>
      <c r="AH17" s="54"/>
      <c r="AI17" s="55"/>
      <c r="AJ17" s="56" t="s">
        <v>333</v>
      </c>
      <c r="AK17" s="57"/>
      <c r="AL17" s="57"/>
    </row>
    <row r="18" spans="1:38" ht="31.95" customHeight="1" x14ac:dyDescent="0.3">
      <c r="A18" s="66">
        <v>44074</v>
      </c>
      <c r="B18" s="192">
        <v>0.54462962962962969</v>
      </c>
      <c r="C18" s="39"/>
      <c r="D18" s="39">
        <f>IF(I18=Categories!$E$4,VLOOKUP(H18,Categories!$A$4:$C$15,3,FALSE),VLOOKUP(I18,Categories!$E$4:$G$27,3,FALSE))</f>
        <v>30</v>
      </c>
      <c r="E18" s="39"/>
      <c r="F18" s="39"/>
      <c r="G18" s="40">
        <v>2</v>
      </c>
      <c r="H18" s="41" t="s">
        <v>66</v>
      </c>
      <c r="I18" s="59" t="s">
        <v>322</v>
      </c>
      <c r="J18" s="42"/>
      <c r="K18" s="60">
        <v>2200</v>
      </c>
      <c r="L18" s="43">
        <v>1</v>
      </c>
      <c r="M18" s="44">
        <f>IFERROR(VLOOKUP(VLOOKUP(O18,O18,1,1),Categories!$K$4:$V$17,2+VLOOKUP(L18,L18,1,FALSE),FALSE),"-"  )</f>
        <v>0.9</v>
      </c>
      <c r="N18" s="44" t="str">
        <f>IFERROR(VLOOKUP(VLOOKUP(O18,O18,1,1),Categories!$K$3:$V$17,7+VLOOKUP(L18,L18,1,FALSE),FALSE),"-")</f>
        <v>0 ATM</v>
      </c>
      <c r="O18" s="45" t="s">
        <v>75</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v>44074</v>
      </c>
      <c r="B19" s="192">
        <v>0.54505787037037035</v>
      </c>
      <c r="C19" s="39"/>
      <c r="D19" s="39">
        <f>IF(I19=Categories!$E$4,VLOOKUP(H19,Categories!$A$4:$C$15,3,FALSE),VLOOKUP(I19,Categories!$E$4:$G$27,3,FALSE))</f>
        <v>60</v>
      </c>
      <c r="E19" s="39"/>
      <c r="F19" s="39"/>
      <c r="G19" s="40">
        <v>2</v>
      </c>
      <c r="H19" s="41" t="s">
        <v>78</v>
      </c>
      <c r="I19" s="68" t="s">
        <v>58</v>
      </c>
      <c r="J19" s="42"/>
      <c r="K19" s="60">
        <v>2200</v>
      </c>
      <c r="L19" s="43">
        <v>1</v>
      </c>
      <c r="M19" s="44">
        <f>IFERROR(VLOOKUP(VLOOKUP(O19,O19,1,1),Categories!$K$4:$V$17,2+VLOOKUP(L19,L19,1,FALSE),FALSE),"-"  )</f>
        <v>0.9</v>
      </c>
      <c r="N19" s="44" t="str">
        <f>IFERROR(VLOOKUP(VLOOKUP(O19,O19,1,1),Categories!$K$3:$V$17,7+VLOOKUP(L19,L19,1,FALSE),FALSE),"-")</f>
        <v>0 ATM</v>
      </c>
      <c r="O19" s="45" t="s">
        <v>75</v>
      </c>
      <c r="P19" s="46" t="s">
        <v>58</v>
      </c>
      <c r="Q19" s="47" t="s">
        <v>58</v>
      </c>
      <c r="R19" s="48"/>
      <c r="S19" s="48"/>
      <c r="T19" s="49"/>
      <c r="U19" s="61"/>
      <c r="V19" s="50">
        <v>3.4</v>
      </c>
      <c r="W19" s="50">
        <v>2.1</v>
      </c>
      <c r="X19" s="53">
        <v>4.79</v>
      </c>
      <c r="Y19" s="52"/>
      <c r="Z19" s="52"/>
      <c r="AA19" s="52"/>
      <c r="AB19" s="52"/>
      <c r="AC19" s="52"/>
      <c r="AD19" s="52"/>
      <c r="AE19" s="52"/>
      <c r="AF19" s="52"/>
      <c r="AG19" s="53"/>
      <c r="AH19" s="54"/>
      <c r="AI19" s="55"/>
      <c r="AJ19" s="56"/>
      <c r="AK19" s="57"/>
      <c r="AL19" s="57"/>
    </row>
    <row r="20" spans="1:38" ht="31.95" customHeight="1" x14ac:dyDescent="0.3">
      <c r="A20" s="66">
        <v>44074</v>
      </c>
      <c r="B20" s="192">
        <v>0.54594907407407411</v>
      </c>
      <c r="C20" s="39"/>
      <c r="D20" s="39">
        <f>IF(I20=Categories!$E$4,VLOOKUP(H20,Categories!$A$4:$C$15,3,FALSE),VLOOKUP(I20,Categories!$E$4:$G$27,3,FALSE))</f>
        <v>30</v>
      </c>
      <c r="E20" s="39"/>
      <c r="F20" s="39"/>
      <c r="G20" s="40" t="s">
        <v>58</v>
      </c>
      <c r="H20" s="41" t="s">
        <v>72</v>
      </c>
      <c r="I20" s="59" t="s">
        <v>67</v>
      </c>
      <c r="J20" s="42"/>
      <c r="K20" s="60">
        <v>2500</v>
      </c>
      <c r="L20" s="43">
        <v>1</v>
      </c>
      <c r="M20" s="44">
        <f>IFERROR(VLOOKUP(VLOOKUP(O20,O20,1,1),Categories!$K$4:$V$17,2+VLOOKUP(L20,L20,1,FALSE),FALSE),"-"  )</f>
        <v>0.9</v>
      </c>
      <c r="N20" s="44" t="str">
        <f>IFERROR(VLOOKUP(VLOOKUP(O20,O20,1,1),Categories!$K$3:$V$17,7+VLOOKUP(L20,L20,1,FALSE),FALSE),"-")</f>
        <v>0 ATM</v>
      </c>
      <c r="O20" s="45" t="s">
        <v>75</v>
      </c>
      <c r="P20" s="46" t="s">
        <v>58</v>
      </c>
      <c r="Q20" s="47" t="s">
        <v>58</v>
      </c>
      <c r="R20" s="48"/>
      <c r="S20" s="48"/>
      <c r="T20" s="49"/>
      <c r="U20" s="61"/>
      <c r="V20" s="50"/>
      <c r="W20" s="50"/>
      <c r="X20" s="53"/>
      <c r="Y20" s="52"/>
      <c r="Z20" s="52"/>
      <c r="AA20" s="52"/>
      <c r="AB20" s="52"/>
      <c r="AC20" s="52"/>
      <c r="AD20" s="52"/>
      <c r="AE20" s="52"/>
      <c r="AF20" s="52"/>
      <c r="AG20" s="53"/>
      <c r="AH20" s="54"/>
      <c r="AI20" s="55" t="s">
        <v>63</v>
      </c>
      <c r="AJ20" s="57" t="s">
        <v>337</v>
      </c>
      <c r="AK20" s="57"/>
      <c r="AL20" s="57"/>
    </row>
    <row r="21" spans="1:38" ht="31.95" customHeight="1" x14ac:dyDescent="0.3">
      <c r="A21" s="37">
        <v>44074</v>
      </c>
      <c r="B21" s="190">
        <v>0.5505902777777778</v>
      </c>
      <c r="C21" s="39"/>
      <c r="D21" s="39">
        <f>IF(I21=Categories!$E$4,VLOOKUP(H21,Categories!$A$4:$C$15,3,FALSE),VLOOKUP(I21,Categories!$E$4:$G$27,3,FALSE))</f>
        <v>120</v>
      </c>
      <c r="E21" s="39"/>
      <c r="F21" s="39"/>
      <c r="G21" s="40">
        <v>3</v>
      </c>
      <c r="H21" s="41" t="s">
        <v>62</v>
      </c>
      <c r="I21" s="59" t="s">
        <v>58</v>
      </c>
      <c r="J21" s="42"/>
      <c r="K21" s="60">
        <v>2500</v>
      </c>
      <c r="L21" s="43">
        <v>1</v>
      </c>
      <c r="M21" s="44">
        <f>IFERROR(VLOOKUP(VLOOKUP(O21,O21,1,1),Categories!$K$4:$V$17,2+VLOOKUP(L21,L21,1,FALSE),FALSE),"-"  )</f>
        <v>0.9</v>
      </c>
      <c r="N21" s="44" t="str">
        <f>IFERROR(VLOOKUP(VLOOKUP(O21,O21,1,1),Categories!$K$3:$V$17,7+VLOOKUP(L21,L21,1,FALSE),FALSE),"-")</f>
        <v>0 ATM</v>
      </c>
      <c r="O21" s="45" t="s">
        <v>75</v>
      </c>
      <c r="P21" s="46" t="s">
        <v>58</v>
      </c>
      <c r="Q21" s="47" t="s">
        <v>58</v>
      </c>
      <c r="R21" s="61"/>
      <c r="S21" s="61"/>
      <c r="T21" s="62"/>
      <c r="U21" s="61"/>
      <c r="V21" s="63">
        <v>4.0999999999999996</v>
      </c>
      <c r="W21" s="63">
        <v>3</v>
      </c>
      <c r="X21" s="51">
        <v>5.5</v>
      </c>
      <c r="Y21" s="64"/>
      <c r="Z21" s="64"/>
      <c r="AA21" s="64"/>
      <c r="AB21" s="64"/>
      <c r="AC21" s="64"/>
      <c r="AD21" s="64"/>
      <c r="AE21" s="64"/>
      <c r="AF21" s="64"/>
      <c r="AG21" s="51"/>
      <c r="AH21" s="65"/>
      <c r="AI21" s="55"/>
      <c r="AJ21" s="57"/>
      <c r="AK21" s="57"/>
      <c r="AL21" s="57"/>
    </row>
    <row r="22" spans="1:38" ht="31.95" customHeight="1" x14ac:dyDescent="0.3">
      <c r="A22" s="37">
        <v>44074</v>
      </c>
      <c r="B22" s="190">
        <v>0.55201388888888892</v>
      </c>
      <c r="C22" s="39"/>
      <c r="D22" s="39">
        <f>IF(I22=Categories!$E$4,VLOOKUP(H22,Categories!$A$4:$C$15,3,FALSE),VLOOKUP(I22,Categories!$E$4:$G$27,3,FALSE))</f>
        <v>30</v>
      </c>
      <c r="E22" s="39"/>
      <c r="F22" s="39"/>
      <c r="G22" s="40">
        <v>3</v>
      </c>
      <c r="H22" s="41" t="s">
        <v>66</v>
      </c>
      <c r="I22" s="59" t="s">
        <v>345</v>
      </c>
      <c r="J22" s="42"/>
      <c r="K22" s="60">
        <v>2500</v>
      </c>
      <c r="L22" s="43">
        <v>2</v>
      </c>
      <c r="M22" s="44">
        <f>IFERROR(VLOOKUP(VLOOKUP(O22,O22,1,1),Categories!$K$4:$V$17,2+VLOOKUP(L22,L22,1,FALSE),FALSE),"-"  )</f>
        <v>4.3099999999999996</v>
      </c>
      <c r="N22" s="44" t="str">
        <f>IFERROR(VLOOKUP(VLOOKUP(O22,O22,1,1),Categories!$K$3:$V$17,7+VLOOKUP(L22,L22,1,FALSE),FALSE),"-")</f>
        <v>8 ATM</v>
      </c>
      <c r="O22" s="45" t="s">
        <v>75</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v>44074</v>
      </c>
      <c r="B23" s="192">
        <v>0.55239583333333331</v>
      </c>
      <c r="C23" s="39"/>
      <c r="D23" s="39">
        <f>IF(I23=Categories!$E$4,VLOOKUP(H23,Categories!$A$4:$C$15,3,FALSE),VLOOKUP(I23,Categories!$E$4:$G$27,3,FALSE))</f>
        <v>120</v>
      </c>
      <c r="E23" s="39"/>
      <c r="F23" s="39"/>
      <c r="G23" s="40">
        <v>3</v>
      </c>
      <c r="H23" s="41" t="s">
        <v>62</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75</v>
      </c>
      <c r="P23" s="46" t="s">
        <v>58</v>
      </c>
      <c r="Q23" s="47" t="s">
        <v>58</v>
      </c>
      <c r="R23" s="48"/>
      <c r="S23" s="48"/>
      <c r="T23" s="49"/>
      <c r="U23" s="61"/>
      <c r="V23" s="50">
        <v>4.0999999999999996</v>
      </c>
      <c r="W23" s="50">
        <v>3</v>
      </c>
      <c r="X23" s="53">
        <v>5.5</v>
      </c>
      <c r="Y23" s="52"/>
      <c r="Z23" s="52"/>
      <c r="AA23" s="52"/>
      <c r="AB23" s="52"/>
      <c r="AC23" s="52"/>
      <c r="AD23" s="52"/>
      <c r="AE23" s="52"/>
      <c r="AF23" s="52"/>
      <c r="AG23" s="53"/>
      <c r="AH23" s="54"/>
      <c r="AI23" s="55"/>
      <c r="AJ23" s="56"/>
      <c r="AK23" s="57"/>
      <c r="AL23" s="57"/>
    </row>
    <row r="24" spans="1:38" ht="31.95" customHeight="1" x14ac:dyDescent="0.3">
      <c r="A24" s="66">
        <v>44074</v>
      </c>
      <c r="B24" s="192">
        <v>0.55396990740740737</v>
      </c>
      <c r="C24" s="39"/>
      <c r="D24" s="39">
        <f>IF(I24=Categories!$E$4,VLOOKUP(H24,Categories!$A$4:$C$15,3,FALSE),VLOOKUP(I24,Categories!$E$4:$G$27,3,FALSE))</f>
        <v>30</v>
      </c>
      <c r="E24" s="39"/>
      <c r="F24" s="39"/>
      <c r="G24" s="40">
        <v>3</v>
      </c>
      <c r="H24" s="41" t="s">
        <v>66</v>
      </c>
      <c r="I24" s="59" t="s">
        <v>345</v>
      </c>
      <c r="J24" s="42"/>
      <c r="K24" s="60">
        <v>2500</v>
      </c>
      <c r="L24" s="43">
        <v>3</v>
      </c>
      <c r="M24" s="44">
        <f>IFERROR(VLOOKUP(VLOOKUP(O24,O24,1,1),Categories!$K$4:$V$17,2+VLOOKUP(L24,L24,1,FALSE),FALSE),"-"  )</f>
        <v>4.7300000000000004</v>
      </c>
      <c r="N24" s="44" t="str">
        <f>IFERROR(VLOOKUP(VLOOKUP(O24,O24,1,1),Categories!$K$3:$V$17,7+VLOOKUP(L24,L24,1,FALSE),FALSE),"-")</f>
        <v>20 ATM*</v>
      </c>
      <c r="O24" s="45" t="s">
        <v>75</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v>44074</v>
      </c>
      <c r="B25" s="192">
        <v>0.55436342592592591</v>
      </c>
      <c r="C25" s="39"/>
      <c r="D25" s="39">
        <f>IF(I25=Categories!$E$4,VLOOKUP(H25,Categories!$A$4:$C$15,3,FALSE),VLOOKUP(I25,Categories!$E$4:$G$27,3,FALSE))</f>
        <v>120</v>
      </c>
      <c r="E25" s="39"/>
      <c r="F25" s="39"/>
      <c r="G25" s="40">
        <v>3</v>
      </c>
      <c r="H25" s="41" t="s">
        <v>62</v>
      </c>
      <c r="I25" s="68" t="s">
        <v>58</v>
      </c>
      <c r="J25" s="42"/>
      <c r="K25" s="60">
        <v>2500</v>
      </c>
      <c r="L25" s="43">
        <v>3</v>
      </c>
      <c r="M25" s="44">
        <f>IFERROR(VLOOKUP(VLOOKUP(O25,O25,1,1),Categories!$K$4:$V$17,2+VLOOKUP(L25,L25,1,FALSE),FALSE),"-"  )</f>
        <v>4.7300000000000004</v>
      </c>
      <c r="N25" s="44" t="str">
        <f>IFERROR(VLOOKUP(VLOOKUP(O25,O25,1,1),Categories!$K$3:$V$17,7+VLOOKUP(L25,L25,1,FALSE),FALSE),"-")</f>
        <v>20 ATM*</v>
      </c>
      <c r="O25" s="45" t="s">
        <v>75</v>
      </c>
      <c r="P25" s="46" t="s">
        <v>58</v>
      </c>
      <c r="Q25" s="47" t="s">
        <v>58</v>
      </c>
      <c r="R25" s="48"/>
      <c r="S25" s="48"/>
      <c r="T25" s="49"/>
      <c r="U25" s="61"/>
      <c r="V25" s="50">
        <v>4.0999999999999996</v>
      </c>
      <c r="W25" s="50">
        <v>3</v>
      </c>
      <c r="X25" s="53">
        <v>5.5</v>
      </c>
      <c r="Y25" s="52"/>
      <c r="Z25" s="52"/>
      <c r="AA25" s="52"/>
      <c r="AB25" s="52"/>
      <c r="AC25" s="52"/>
      <c r="AD25" s="52"/>
      <c r="AE25" s="52"/>
      <c r="AF25" s="52"/>
      <c r="AG25" s="53"/>
      <c r="AH25" s="54"/>
      <c r="AI25" s="55"/>
      <c r="AJ25" s="56" t="s">
        <v>334</v>
      </c>
      <c r="AK25" s="57"/>
      <c r="AL25" s="57"/>
    </row>
    <row r="26" spans="1:38" ht="31.95" customHeight="1" x14ac:dyDescent="0.3">
      <c r="A26" s="66">
        <v>44074</v>
      </c>
      <c r="B26" s="192">
        <v>0.55593749999999997</v>
      </c>
      <c r="C26" s="39"/>
      <c r="D26" s="39">
        <f>IF(I26=Categories!$E$4,VLOOKUP(H26,Categories!$A$4:$C$15,3,FALSE),VLOOKUP(I26,Categories!$E$4:$G$27,3,FALSE))</f>
        <v>30</v>
      </c>
      <c r="E26" s="39"/>
      <c r="F26" s="39"/>
      <c r="G26" s="40">
        <v>3</v>
      </c>
      <c r="H26" s="41" t="s">
        <v>66</v>
      </c>
      <c r="I26" s="59" t="s">
        <v>322</v>
      </c>
      <c r="J26" s="42"/>
      <c r="K26" s="60">
        <v>2500</v>
      </c>
      <c r="L26" s="43">
        <v>1</v>
      </c>
      <c r="M26" s="44">
        <f>IFERROR(VLOOKUP(VLOOKUP(O26,O26,1,1),Categories!$K$4:$V$17,2+VLOOKUP(L26,L26,1,FALSE),FALSE),"-"  )</f>
        <v>0.9</v>
      </c>
      <c r="N26" s="44" t="str">
        <f>IFERROR(VLOOKUP(VLOOKUP(O26,O26,1,1),Categories!$K$3:$V$17,7+VLOOKUP(L26,L26,1,FALSE),FALSE),"-")</f>
        <v>0 ATM</v>
      </c>
      <c r="O26" s="45" t="s">
        <v>75</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v>44074</v>
      </c>
      <c r="B27" s="192">
        <v>0.55653935185185188</v>
      </c>
      <c r="C27" s="39"/>
      <c r="D27" s="39">
        <f>IF(I27=Categories!$E$4,VLOOKUP(H27,Categories!$A$4:$C$15,3,FALSE),VLOOKUP(I27,Categories!$E$4:$G$27,3,FALSE))</f>
        <v>60</v>
      </c>
      <c r="E27" s="39"/>
      <c r="F27" s="39"/>
      <c r="G27" s="40">
        <v>3</v>
      </c>
      <c r="H27" s="41" t="s">
        <v>78</v>
      </c>
      <c r="I27" s="68" t="s">
        <v>58</v>
      </c>
      <c r="J27" s="42"/>
      <c r="K27" s="60">
        <v>2500</v>
      </c>
      <c r="L27" s="43">
        <v>1</v>
      </c>
      <c r="M27" s="44">
        <f>IFERROR(VLOOKUP(VLOOKUP(O27,O27,1,1),Categories!$K$4:$V$17,2+VLOOKUP(L27,L27,1,FALSE),FALSE),"-"  )</f>
        <v>0.9</v>
      </c>
      <c r="N27" s="44" t="str">
        <f>IFERROR(VLOOKUP(VLOOKUP(O27,O27,1,1),Categories!$K$3:$V$17,7+VLOOKUP(L27,L27,1,FALSE),FALSE),"-")</f>
        <v>0 ATM</v>
      </c>
      <c r="O27" s="45" t="s">
        <v>75</v>
      </c>
      <c r="P27" s="46" t="s">
        <v>58</v>
      </c>
      <c r="Q27" s="47" t="s">
        <v>58</v>
      </c>
      <c r="R27" s="48"/>
      <c r="S27" s="48"/>
      <c r="T27" s="49"/>
      <c r="U27" s="61"/>
      <c r="V27" s="50">
        <v>4.2</v>
      </c>
      <c r="W27" s="50">
        <v>3</v>
      </c>
      <c r="X27" s="53">
        <v>5.5</v>
      </c>
      <c r="Y27" s="52"/>
      <c r="Z27" s="52"/>
      <c r="AA27" s="52"/>
      <c r="AB27" s="52"/>
      <c r="AC27" s="52"/>
      <c r="AD27" s="52"/>
      <c r="AE27" s="52"/>
      <c r="AF27" s="52"/>
      <c r="AG27" s="53"/>
      <c r="AH27" s="54"/>
      <c r="AI27" s="55"/>
      <c r="AJ27" s="56"/>
      <c r="AK27" s="57"/>
      <c r="AL27" s="57"/>
    </row>
    <row r="28" spans="1:38" ht="31.95" customHeight="1" x14ac:dyDescent="0.3">
      <c r="A28" s="66">
        <v>44074</v>
      </c>
      <c r="B28" s="192">
        <v>0.55746527777777777</v>
      </c>
      <c r="C28" s="39"/>
      <c r="D28" s="39">
        <f>IF(I28=Categories!$E$4,VLOOKUP(H28,Categories!$A$4:$C$15,3,FALSE),VLOOKUP(I28,Categories!$E$4:$G$27,3,FALSE))</f>
        <v>30</v>
      </c>
      <c r="E28" s="39"/>
      <c r="F28" s="39"/>
      <c r="G28" s="40" t="s">
        <v>58</v>
      </c>
      <c r="H28" s="41" t="s">
        <v>66</v>
      </c>
      <c r="I28" s="59" t="s">
        <v>67</v>
      </c>
      <c r="J28" s="42"/>
      <c r="K28" s="60">
        <v>2800</v>
      </c>
      <c r="L28" s="43">
        <v>1</v>
      </c>
      <c r="M28" s="44">
        <f>IFERROR(VLOOKUP(VLOOKUP(O28,O28,1,1),Categories!$K$4:$V$17,2+VLOOKUP(L28,L28,1,FALSE),FALSE),"-"  )</f>
        <v>0.9</v>
      </c>
      <c r="N28" s="44" t="str">
        <f>IFERROR(VLOOKUP(VLOOKUP(O28,O28,1,1),Categories!$K$3:$V$17,7+VLOOKUP(L28,L28,1,FALSE),FALSE),"-")</f>
        <v>0 ATM</v>
      </c>
      <c r="O28" s="45" t="s">
        <v>75</v>
      </c>
      <c r="P28" s="46" t="s">
        <v>58</v>
      </c>
      <c r="Q28" s="47" t="s">
        <v>58</v>
      </c>
      <c r="R28" s="48"/>
      <c r="S28" s="48"/>
      <c r="T28" s="49"/>
      <c r="U28" s="61"/>
      <c r="V28" s="50"/>
      <c r="W28" s="50"/>
      <c r="X28" s="53"/>
      <c r="Y28" s="52"/>
      <c r="Z28" s="52"/>
      <c r="AA28" s="52"/>
      <c r="AB28" s="52"/>
      <c r="AC28" s="52"/>
      <c r="AD28" s="52"/>
      <c r="AE28" s="52"/>
      <c r="AF28" s="52"/>
      <c r="AG28" s="53"/>
      <c r="AH28" s="54"/>
      <c r="AI28" s="55"/>
      <c r="AJ28" s="57"/>
      <c r="AK28" s="57"/>
      <c r="AL28" s="57"/>
    </row>
    <row r="29" spans="1:38" ht="31.95" customHeight="1" x14ac:dyDescent="0.3">
      <c r="A29" s="37">
        <v>44074</v>
      </c>
      <c r="B29" s="190">
        <v>0.55789351851851854</v>
      </c>
      <c r="C29" s="39"/>
      <c r="D29" s="39">
        <f>IF(I29=Categories!$E$4,VLOOKUP(H29,Categories!$A$4:$C$15,3,FALSE),VLOOKUP(I29,Categories!$E$4:$G$27,3,FALSE))</f>
        <v>120</v>
      </c>
      <c r="E29" s="39"/>
      <c r="F29" s="39"/>
      <c r="G29" s="40">
        <v>4</v>
      </c>
      <c r="H29" s="41" t="s">
        <v>62</v>
      </c>
      <c r="I29" s="59" t="s">
        <v>58</v>
      </c>
      <c r="J29" s="42"/>
      <c r="K29" s="60">
        <v>2800</v>
      </c>
      <c r="L29" s="43">
        <v>1</v>
      </c>
      <c r="M29" s="44">
        <f>IFERROR(VLOOKUP(VLOOKUP(O29,O29,1,1),Categories!$K$4:$V$17,2+VLOOKUP(L29,L29,1,FALSE),FALSE),"-"  )</f>
        <v>0.9</v>
      </c>
      <c r="N29" s="44" t="str">
        <f>IFERROR(VLOOKUP(VLOOKUP(O29,O29,1,1),Categories!$K$3:$V$17,7+VLOOKUP(L29,L29,1,FALSE),FALSE),"-")</f>
        <v>0 ATM</v>
      </c>
      <c r="O29" s="45" t="s">
        <v>75</v>
      </c>
      <c r="P29" s="46" t="s">
        <v>58</v>
      </c>
      <c r="Q29" s="47" t="s">
        <v>58</v>
      </c>
      <c r="R29" s="61"/>
      <c r="S29" s="61"/>
      <c r="T29" s="62"/>
      <c r="U29" s="61"/>
      <c r="V29" s="63">
        <v>4.7</v>
      </c>
      <c r="W29" s="63">
        <v>4.0999999999999996</v>
      </c>
      <c r="X29" s="51"/>
      <c r="Y29" s="64"/>
      <c r="Z29" s="64"/>
      <c r="AA29" s="64"/>
      <c r="AB29" s="64"/>
      <c r="AC29" s="64"/>
      <c r="AD29" s="64"/>
      <c r="AE29" s="64"/>
      <c r="AF29" s="64"/>
      <c r="AG29" s="51"/>
      <c r="AH29" s="65"/>
      <c r="AI29" s="55" t="s">
        <v>79</v>
      </c>
      <c r="AJ29" s="56" t="s">
        <v>335</v>
      </c>
      <c r="AK29" s="57"/>
      <c r="AL29" s="57"/>
    </row>
    <row r="30" spans="1:38" ht="31.95" customHeight="1" x14ac:dyDescent="0.3">
      <c r="A30" s="37">
        <v>44074</v>
      </c>
      <c r="B30" s="190">
        <v>0.55956018518518513</v>
      </c>
      <c r="C30" s="39"/>
      <c r="D30" s="39">
        <f>IF(I30=Categories!$E$4,VLOOKUP(H30,Categories!$A$4:$C$15,3,FALSE),VLOOKUP(I30,Categories!$E$4:$G$27,3,FALSE))</f>
        <v>30</v>
      </c>
      <c r="E30" s="39"/>
      <c r="F30" s="39"/>
      <c r="G30" s="40">
        <v>4</v>
      </c>
      <c r="H30" s="41" t="s">
        <v>66</v>
      </c>
      <c r="I30" s="59" t="s">
        <v>345</v>
      </c>
      <c r="J30" s="42"/>
      <c r="K30" s="60">
        <v>2800</v>
      </c>
      <c r="L30" s="43">
        <v>2</v>
      </c>
      <c r="M30" s="44">
        <f>IFERROR(VLOOKUP(VLOOKUP(O30,O30,1,1),Categories!$K$4:$V$17,2+VLOOKUP(L30,L30,1,FALSE),FALSE),"-"  )</f>
        <v>4.3099999999999996</v>
      </c>
      <c r="N30" s="44" t="str">
        <f>IFERROR(VLOOKUP(VLOOKUP(O30,O30,1,1),Categories!$K$3:$V$17,7+VLOOKUP(L30,L30,1,FALSE),FALSE),"-")</f>
        <v>8 ATM</v>
      </c>
      <c r="O30" s="45" t="s">
        <v>75</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v>44074</v>
      </c>
      <c r="B31" s="192">
        <v>0.5599884259259259</v>
      </c>
      <c r="C31" s="39"/>
      <c r="D31" s="39">
        <f>IF(I31=Categories!$E$4,VLOOKUP(H31,Categories!$A$4:$C$15,3,FALSE),VLOOKUP(I31,Categories!$E$4:$G$27,3,FALSE))</f>
        <v>120</v>
      </c>
      <c r="E31" s="39"/>
      <c r="F31" s="39"/>
      <c r="G31" s="40">
        <v>4</v>
      </c>
      <c r="H31" s="41" t="s">
        <v>62</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75</v>
      </c>
      <c r="P31" s="46" t="s">
        <v>58</v>
      </c>
      <c r="Q31" s="47" t="s">
        <v>58</v>
      </c>
      <c r="R31" s="48"/>
      <c r="S31" s="48"/>
      <c r="T31" s="49"/>
      <c r="U31" s="61"/>
      <c r="V31" s="50">
        <v>4.7</v>
      </c>
      <c r="W31" s="50">
        <v>4.0999999999999996</v>
      </c>
      <c r="X31" s="53">
        <v>6.21</v>
      </c>
      <c r="Y31" s="52"/>
      <c r="Z31" s="52"/>
      <c r="AA31" s="52"/>
      <c r="AB31" s="52"/>
      <c r="AC31" s="52"/>
      <c r="AD31" s="52"/>
      <c r="AE31" s="52"/>
      <c r="AF31" s="52"/>
      <c r="AG31" s="53"/>
      <c r="AH31" s="54"/>
      <c r="AI31" s="55" t="s">
        <v>79</v>
      </c>
      <c r="AJ31" s="56" t="s">
        <v>335</v>
      </c>
      <c r="AK31" s="57"/>
      <c r="AL31" s="57"/>
    </row>
    <row r="32" spans="1:38" ht="31.95" customHeight="1" x14ac:dyDescent="0.3">
      <c r="A32" s="66">
        <v>44074</v>
      </c>
      <c r="B32" s="192">
        <v>0.56144675925925924</v>
      </c>
      <c r="C32" s="39"/>
      <c r="D32" s="39">
        <f>IF(I32=Categories!$E$4,VLOOKUP(H32,Categories!$A$4:$C$15,3,FALSE),VLOOKUP(I32,Categories!$E$4:$G$27,3,FALSE))</f>
        <v>30</v>
      </c>
      <c r="E32" s="39"/>
      <c r="F32" s="39"/>
      <c r="G32" s="40">
        <v>4</v>
      </c>
      <c r="H32" s="41" t="s">
        <v>66</v>
      </c>
      <c r="I32" s="59" t="s">
        <v>345</v>
      </c>
      <c r="J32" s="42"/>
      <c r="K32" s="60">
        <v>2800</v>
      </c>
      <c r="L32" s="43">
        <v>3</v>
      </c>
      <c r="M32" s="44">
        <f>IFERROR(VLOOKUP(VLOOKUP(O32,O32,1,1),Categories!$K$4:$V$17,2+VLOOKUP(L32,L32,1,FALSE),FALSE),"-"  )</f>
        <v>4.7300000000000004</v>
      </c>
      <c r="N32" s="44" t="str">
        <f>IFERROR(VLOOKUP(VLOOKUP(O32,O32,1,1),Categories!$K$3:$V$17,7+VLOOKUP(L32,L32,1,FALSE),FALSE),"-")</f>
        <v>20 ATM*</v>
      </c>
      <c r="O32" s="45" t="s">
        <v>75</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v>44074</v>
      </c>
      <c r="B33" s="192">
        <v>0.56194444444444447</v>
      </c>
      <c r="C33" s="39"/>
      <c r="D33" s="39">
        <f>IF(I33=Categories!$E$4,VLOOKUP(H33,Categories!$A$4:$C$15,3,FALSE),VLOOKUP(I33,Categories!$E$4:$G$27,3,FALSE))</f>
        <v>120</v>
      </c>
      <c r="E33" s="39"/>
      <c r="F33" s="39"/>
      <c r="G33" s="40">
        <v>4</v>
      </c>
      <c r="H33" s="41" t="s">
        <v>62</v>
      </c>
      <c r="I33" s="68" t="s">
        <v>58</v>
      </c>
      <c r="J33" s="42"/>
      <c r="K33" s="60">
        <v>2800</v>
      </c>
      <c r="L33" s="43">
        <v>3</v>
      </c>
      <c r="M33" s="44">
        <f>IFERROR(VLOOKUP(VLOOKUP(O33,O33,1,1),Categories!$K$4:$V$17,2+VLOOKUP(L33,L33,1,FALSE),FALSE),"-"  )</f>
        <v>4.7300000000000004</v>
      </c>
      <c r="N33" s="44" t="str">
        <f>IFERROR(VLOOKUP(VLOOKUP(O33,O33,1,1),Categories!$K$3:$V$17,7+VLOOKUP(L33,L33,1,FALSE),FALSE),"-")</f>
        <v>20 ATM*</v>
      </c>
      <c r="O33" s="45" t="s">
        <v>75</v>
      </c>
      <c r="P33" s="46" t="s">
        <v>58</v>
      </c>
      <c r="Q33" s="47" t="s">
        <v>58</v>
      </c>
      <c r="R33" s="48"/>
      <c r="S33" s="48"/>
      <c r="T33" s="49"/>
      <c r="U33" s="61"/>
      <c r="V33" s="50">
        <v>4.5999999999999996</v>
      </c>
      <c r="W33" s="50">
        <v>4.0999999999999996</v>
      </c>
      <c r="X33" s="53"/>
      <c r="Y33" s="52"/>
      <c r="Z33" s="52"/>
      <c r="AA33" s="52"/>
      <c r="AB33" s="52"/>
      <c r="AC33" s="52"/>
      <c r="AD33" s="52"/>
      <c r="AE33" s="52"/>
      <c r="AF33" s="52"/>
      <c r="AG33" s="53"/>
      <c r="AH33" s="54"/>
      <c r="AI33" s="55" t="s">
        <v>79</v>
      </c>
      <c r="AJ33" s="56" t="s">
        <v>336</v>
      </c>
      <c r="AK33" s="57"/>
      <c r="AL33" s="57"/>
    </row>
    <row r="34" spans="1:38" ht="31.95" customHeight="1" x14ac:dyDescent="0.3">
      <c r="A34" s="66">
        <v>44074</v>
      </c>
      <c r="B34" s="192">
        <v>0.56346064814814811</v>
      </c>
      <c r="C34" s="39"/>
      <c r="D34" s="39">
        <f>IF(I34=Categories!$E$4,VLOOKUP(H34,Categories!$A$4:$C$15,3,FALSE),VLOOKUP(I34,Categories!$E$4:$G$27,3,FALSE))</f>
        <v>30</v>
      </c>
      <c r="E34" s="39"/>
      <c r="F34" s="39"/>
      <c r="G34" s="40">
        <v>4</v>
      </c>
      <c r="H34" s="41" t="s">
        <v>66</v>
      </c>
      <c r="I34" s="59" t="s">
        <v>322</v>
      </c>
      <c r="J34" s="42"/>
      <c r="K34" s="60">
        <v>2800</v>
      </c>
      <c r="L34" s="43">
        <v>1</v>
      </c>
      <c r="M34" s="44">
        <f>IFERROR(VLOOKUP(VLOOKUP(O34,O34,1,1),Categories!$K$4:$V$17,2+VLOOKUP(L34,L34,1,FALSE),FALSE),"-"  )</f>
        <v>0.9</v>
      </c>
      <c r="N34" s="44" t="str">
        <f>IFERROR(VLOOKUP(VLOOKUP(O34,O34,1,1),Categories!$K$3:$V$17,7+VLOOKUP(L34,L34,1,FALSE),FALSE),"-")</f>
        <v>0 ATM</v>
      </c>
      <c r="O34" s="45" t="s">
        <v>75</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v>44074</v>
      </c>
      <c r="B35" s="192">
        <v>0.56396990740740738</v>
      </c>
      <c r="C35" s="39"/>
      <c r="D35" s="39">
        <f>IF(I35=Categories!$E$4,VLOOKUP(H35,Categories!$A$4:$C$15,3,FALSE),VLOOKUP(I35,Categories!$E$4:$G$27,3,FALSE))</f>
        <v>60</v>
      </c>
      <c r="E35" s="39"/>
      <c r="F35" s="39"/>
      <c r="G35" s="40">
        <v>4</v>
      </c>
      <c r="H35" s="41" t="s">
        <v>78</v>
      </c>
      <c r="I35" s="68" t="s">
        <v>58</v>
      </c>
      <c r="J35" s="42"/>
      <c r="K35" s="60">
        <v>2800</v>
      </c>
      <c r="L35" s="43">
        <v>1</v>
      </c>
      <c r="M35" s="44">
        <f>IFERROR(VLOOKUP(VLOOKUP(O35,O35,1,1),Categories!$K$4:$V$17,2+VLOOKUP(L35,L35,1,FALSE),FALSE),"-"  )</f>
        <v>0.9</v>
      </c>
      <c r="N35" s="44" t="str">
        <f>IFERROR(VLOOKUP(VLOOKUP(O35,O35,1,1),Categories!$K$3:$V$17,7+VLOOKUP(L35,L35,1,FALSE),FALSE),"-")</f>
        <v>0 ATM</v>
      </c>
      <c r="O35" s="45" t="s">
        <v>75</v>
      </c>
      <c r="P35" s="46" t="s">
        <v>58</v>
      </c>
      <c r="Q35" s="47" t="s">
        <v>58</v>
      </c>
      <c r="R35" s="48"/>
      <c r="S35" s="48"/>
      <c r="T35" s="49"/>
      <c r="U35" s="61"/>
      <c r="V35" s="50">
        <v>4.7</v>
      </c>
      <c r="W35" s="50">
        <v>4.0999999999999996</v>
      </c>
      <c r="X35" s="53">
        <v>6.22</v>
      </c>
      <c r="Y35" s="52"/>
      <c r="Z35" s="52"/>
      <c r="AA35" s="52"/>
      <c r="AB35" s="52"/>
      <c r="AC35" s="52"/>
      <c r="AD35" s="52"/>
      <c r="AE35" s="52"/>
      <c r="AF35" s="52"/>
      <c r="AG35" s="53"/>
      <c r="AH35" s="54"/>
      <c r="AI35" s="55"/>
      <c r="AJ35" s="56"/>
      <c r="AK35" s="57"/>
      <c r="AL35" s="57"/>
    </row>
    <row r="36" spans="1:38" ht="31.95" customHeight="1" x14ac:dyDescent="0.3">
      <c r="A36" s="66">
        <v>44074</v>
      </c>
      <c r="B36" s="192">
        <v>0.56473379629629628</v>
      </c>
      <c r="C36" s="39"/>
      <c r="D36" s="39">
        <f>IF(I36=Categories!$E$4,VLOOKUP(H36,Categories!$A$4:$C$15,3,FALSE),VLOOKUP(I36,Categories!$E$4:$G$27,3,FALSE))</f>
        <v>30</v>
      </c>
      <c r="E36" s="39"/>
      <c r="F36" s="39"/>
      <c r="G36" s="40" t="s">
        <v>58</v>
      </c>
      <c r="H36" s="41" t="s">
        <v>66</v>
      </c>
      <c r="I36" s="59" t="s">
        <v>67</v>
      </c>
      <c r="J36" s="42"/>
      <c r="K36" s="60">
        <v>3100</v>
      </c>
      <c r="L36" s="43">
        <v>1</v>
      </c>
      <c r="M36" s="44">
        <f>IFERROR(VLOOKUP(VLOOKUP(O36,O36,1,1),Categories!$K$4:$V$17,2+VLOOKUP(L36,L36,1,FALSE),FALSE),"-"  )</f>
        <v>0.9</v>
      </c>
      <c r="N36" s="44" t="str">
        <f>IFERROR(VLOOKUP(VLOOKUP(O36,O36,1,1),Categories!$K$3:$V$17,7+VLOOKUP(L36,L36,1,FALSE),FALSE),"-")</f>
        <v>0 ATM</v>
      </c>
      <c r="O36" s="45" t="s">
        <v>75</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v>44074</v>
      </c>
      <c r="B37" s="190">
        <v>0.56520833333333331</v>
      </c>
      <c r="C37" s="39"/>
      <c r="D37" s="39">
        <f>IF(I37=Categories!$E$4,VLOOKUP(H37,Categories!$A$4:$C$15,3,FALSE),VLOOKUP(I37,Categories!$E$4:$G$27,3,FALSE))</f>
        <v>120</v>
      </c>
      <c r="E37" s="39"/>
      <c r="F37" s="39"/>
      <c r="G37" s="40">
        <v>5</v>
      </c>
      <c r="H37" s="41" t="s">
        <v>62</v>
      </c>
      <c r="I37" s="59" t="s">
        <v>58</v>
      </c>
      <c r="J37" s="42"/>
      <c r="K37" s="60">
        <v>3100</v>
      </c>
      <c r="L37" s="43">
        <v>1</v>
      </c>
      <c r="M37" s="44">
        <f>IFERROR(VLOOKUP(VLOOKUP(O37,O37,1,1),Categories!$K$4:$V$17,2+VLOOKUP(L37,L37,1,FALSE),FALSE),"-"  )</f>
        <v>0.9</v>
      </c>
      <c r="N37" s="44" t="str">
        <f>IFERROR(VLOOKUP(VLOOKUP(O37,O37,1,1),Categories!$K$3:$V$17,7+VLOOKUP(L37,L37,1,FALSE),FALSE),"-")</f>
        <v>0 ATM</v>
      </c>
      <c r="O37" s="45" t="s">
        <v>75</v>
      </c>
      <c r="P37" s="46" t="s">
        <v>58</v>
      </c>
      <c r="Q37" s="47" t="s">
        <v>58</v>
      </c>
      <c r="R37" s="61"/>
      <c r="S37" s="61"/>
      <c r="T37" s="62"/>
      <c r="U37" s="61"/>
      <c r="V37" s="63">
        <v>5.5</v>
      </c>
      <c r="W37" s="63">
        <v>5.6</v>
      </c>
      <c r="X37" s="51">
        <v>6.95</v>
      </c>
      <c r="Y37" s="64"/>
      <c r="Z37" s="64"/>
      <c r="AA37" s="64"/>
      <c r="AB37" s="64"/>
      <c r="AC37" s="64"/>
      <c r="AD37" s="64"/>
      <c r="AE37" s="64"/>
      <c r="AF37" s="64"/>
      <c r="AG37" s="51"/>
      <c r="AH37" s="65"/>
      <c r="AI37" s="55"/>
      <c r="AJ37" s="57"/>
      <c r="AK37" s="57"/>
      <c r="AL37" s="57"/>
    </row>
    <row r="38" spans="1:38" ht="31.95" customHeight="1" x14ac:dyDescent="0.3">
      <c r="A38" s="37">
        <v>44074</v>
      </c>
      <c r="B38" s="190">
        <v>0.56684027777777779</v>
      </c>
      <c r="C38" s="39"/>
      <c r="D38" s="39">
        <f>IF(I38=Categories!$E$4,VLOOKUP(H38,Categories!$A$4:$C$15,3,FALSE),VLOOKUP(I38,Categories!$E$4:$G$27,3,FALSE))</f>
        <v>30</v>
      </c>
      <c r="E38" s="39"/>
      <c r="F38" s="39"/>
      <c r="G38" s="40">
        <v>5</v>
      </c>
      <c r="H38" s="41" t="s">
        <v>66</v>
      </c>
      <c r="I38" s="59" t="s">
        <v>345</v>
      </c>
      <c r="J38" s="42"/>
      <c r="K38" s="60">
        <v>3100</v>
      </c>
      <c r="L38" s="43">
        <v>2</v>
      </c>
      <c r="M38" s="44">
        <f>IFERROR(VLOOKUP(VLOOKUP(O38,O38,1,1),Categories!$K$4:$V$17,2+VLOOKUP(L38,L38,1,FALSE),FALSE),"-"  )</f>
        <v>4.3099999999999996</v>
      </c>
      <c r="N38" s="44" t="str">
        <f>IFERROR(VLOOKUP(VLOOKUP(O38,O38,1,1),Categories!$K$3:$V$17,7+VLOOKUP(L38,L38,1,FALSE),FALSE),"-")</f>
        <v>8 ATM</v>
      </c>
      <c r="O38" s="45" t="s">
        <v>75</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v>44074</v>
      </c>
      <c r="B39" s="192">
        <v>0.56730324074074068</v>
      </c>
      <c r="C39" s="39"/>
      <c r="D39" s="39">
        <f>IF(I39=Categories!$E$4,VLOOKUP(H39,Categories!$A$4:$C$15,3,FALSE),VLOOKUP(I39,Categories!$E$4:$G$27,3,FALSE))</f>
        <v>120</v>
      </c>
      <c r="E39" s="39"/>
      <c r="F39" s="39"/>
      <c r="G39" s="40">
        <v>5</v>
      </c>
      <c r="H39" s="41" t="s">
        <v>62</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75</v>
      </c>
      <c r="P39" s="46" t="s">
        <v>58</v>
      </c>
      <c r="Q39" s="47" t="s">
        <v>58</v>
      </c>
      <c r="R39" s="48"/>
      <c r="S39" s="48"/>
      <c r="T39" s="49"/>
      <c r="U39" s="61"/>
      <c r="V39" s="50">
        <v>5.5</v>
      </c>
      <c r="W39" s="50">
        <v>5.6</v>
      </c>
      <c r="X39" s="53">
        <v>6.94</v>
      </c>
      <c r="Y39" s="52"/>
      <c r="Z39" s="52"/>
      <c r="AA39" s="52"/>
      <c r="AB39" s="52"/>
      <c r="AC39" s="52"/>
      <c r="AD39" s="52"/>
      <c r="AE39" s="52"/>
      <c r="AF39" s="52"/>
      <c r="AG39" s="53"/>
      <c r="AH39" s="54"/>
      <c r="AI39" s="55"/>
      <c r="AJ39" s="56"/>
      <c r="AK39" s="57"/>
      <c r="AL39" s="57"/>
    </row>
    <row r="40" spans="1:38" ht="31.95" customHeight="1" x14ac:dyDescent="0.3">
      <c r="A40" s="66">
        <v>44074</v>
      </c>
      <c r="B40" s="192">
        <v>0.56878472222222221</v>
      </c>
      <c r="C40" s="39"/>
      <c r="D40" s="39">
        <f>IF(I40=Categories!$E$4,VLOOKUP(H40,Categories!$A$4:$C$15,3,FALSE),VLOOKUP(I40,Categories!$E$4:$G$27,3,FALSE))</f>
        <v>30</v>
      </c>
      <c r="E40" s="39"/>
      <c r="F40" s="39"/>
      <c r="G40" s="40">
        <v>5</v>
      </c>
      <c r="H40" s="41" t="s">
        <v>66</v>
      </c>
      <c r="I40" s="59" t="s">
        <v>345</v>
      </c>
      <c r="J40" s="42"/>
      <c r="K40" s="60">
        <v>3100</v>
      </c>
      <c r="L40" s="43">
        <v>3</v>
      </c>
      <c r="M40" s="44">
        <f>IFERROR(VLOOKUP(VLOOKUP(O40,O40,1,1),Categories!$K$4:$V$17,2+VLOOKUP(L40,L40,1,FALSE),FALSE),"-"  )</f>
        <v>4.7300000000000004</v>
      </c>
      <c r="N40" s="44" t="str">
        <f>IFERROR(VLOOKUP(VLOOKUP(O40,O40,1,1),Categories!$K$3:$V$17,7+VLOOKUP(L40,L40,1,FALSE),FALSE),"-")</f>
        <v>20 ATM*</v>
      </c>
      <c r="O40" s="45" t="s">
        <v>75</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v>44074</v>
      </c>
      <c r="B41" s="192">
        <v>0.56923611111111116</v>
      </c>
      <c r="C41" s="39"/>
      <c r="D41" s="39">
        <f>IF(I41=Categories!$E$4,VLOOKUP(H41,Categories!$A$4:$C$15,3,FALSE),VLOOKUP(I41,Categories!$E$4:$G$27,3,FALSE))</f>
        <v>120</v>
      </c>
      <c r="E41" s="39"/>
      <c r="F41" s="39"/>
      <c r="G41" s="40">
        <v>5</v>
      </c>
      <c r="H41" s="41" t="s">
        <v>62</v>
      </c>
      <c r="I41" s="68" t="s">
        <v>58</v>
      </c>
      <c r="J41" s="42"/>
      <c r="K41" s="60">
        <v>3100</v>
      </c>
      <c r="L41" s="43">
        <v>3</v>
      </c>
      <c r="M41" s="44">
        <f>IFERROR(VLOOKUP(VLOOKUP(O41,O41,1,1),Categories!$K$4:$V$17,2+VLOOKUP(L41,L41,1,FALSE),FALSE),"-"  )</f>
        <v>4.7300000000000004</v>
      </c>
      <c r="N41" s="44" t="str">
        <f>IFERROR(VLOOKUP(VLOOKUP(O41,O41,1,1),Categories!$K$3:$V$17,7+VLOOKUP(L41,L41,1,FALSE),FALSE),"-")</f>
        <v>20 ATM*</v>
      </c>
      <c r="O41" s="45" t="s">
        <v>75</v>
      </c>
      <c r="P41" s="46" t="s">
        <v>58</v>
      </c>
      <c r="Q41" s="47" t="s">
        <v>58</v>
      </c>
      <c r="R41" s="48"/>
      <c r="S41" s="48"/>
      <c r="T41" s="49"/>
      <c r="U41" s="61"/>
      <c r="V41" s="50">
        <v>5.5</v>
      </c>
      <c r="W41" s="50">
        <v>5.6</v>
      </c>
      <c r="X41" s="53">
        <v>6.94</v>
      </c>
      <c r="Y41" s="52"/>
      <c r="Z41" s="52"/>
      <c r="AA41" s="52"/>
      <c r="AB41" s="52"/>
      <c r="AC41" s="52"/>
      <c r="AD41" s="52"/>
      <c r="AE41" s="52"/>
      <c r="AF41" s="52"/>
      <c r="AG41" s="53"/>
      <c r="AH41" s="54"/>
      <c r="AI41" s="55"/>
      <c r="AJ41" s="56" t="s">
        <v>336</v>
      </c>
      <c r="AK41" s="57"/>
      <c r="AL41" s="57"/>
    </row>
    <row r="42" spans="1:38" ht="31.95" customHeight="1" x14ac:dyDescent="0.3">
      <c r="A42" s="66">
        <v>44074</v>
      </c>
      <c r="B42" s="192">
        <v>0.57068287037037035</v>
      </c>
      <c r="C42" s="39"/>
      <c r="D42" s="39">
        <f>IF(I42=Categories!$E$4,VLOOKUP(H42,Categories!$A$4:$C$15,3,FALSE),VLOOKUP(I42,Categories!$E$4:$G$27,3,FALSE))</f>
        <v>30</v>
      </c>
      <c r="E42" s="39"/>
      <c r="F42" s="39"/>
      <c r="G42" s="40">
        <v>5</v>
      </c>
      <c r="H42" s="41" t="s">
        <v>66</v>
      </c>
      <c r="I42" s="59" t="s">
        <v>322</v>
      </c>
      <c r="J42" s="42"/>
      <c r="K42" s="60">
        <v>3100</v>
      </c>
      <c r="L42" s="43">
        <v>1</v>
      </c>
      <c r="M42" s="44">
        <f>IFERROR(VLOOKUP(VLOOKUP(O42,O42,1,1),Categories!$K$4:$V$17,2+VLOOKUP(L42,L42,1,FALSE),FALSE),"-"  )</f>
        <v>0.9</v>
      </c>
      <c r="N42" s="44" t="str">
        <f>IFERROR(VLOOKUP(VLOOKUP(O42,O42,1,1),Categories!$K$3:$V$17,7+VLOOKUP(L42,L42,1,FALSE),FALSE),"-")</f>
        <v>0 ATM</v>
      </c>
      <c r="O42" s="45" t="s">
        <v>75</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v>44074</v>
      </c>
      <c r="B43" s="192">
        <v>0.57115740740740739</v>
      </c>
      <c r="C43" s="39"/>
      <c r="D43" s="39">
        <f>IF(I43=Categories!$E$4,VLOOKUP(H43,Categories!$A$4:$C$15,3,FALSE),VLOOKUP(I43,Categories!$E$4:$G$27,3,FALSE))</f>
        <v>60</v>
      </c>
      <c r="E43" s="39"/>
      <c r="F43" s="39"/>
      <c r="G43" s="40">
        <v>5</v>
      </c>
      <c r="H43" s="41" t="s">
        <v>78</v>
      </c>
      <c r="I43" s="68" t="s">
        <v>58</v>
      </c>
      <c r="J43" s="42"/>
      <c r="K43" s="60">
        <v>3100</v>
      </c>
      <c r="L43" s="43">
        <v>1</v>
      </c>
      <c r="M43" s="44">
        <f>IFERROR(VLOOKUP(VLOOKUP(O43,O43,1,1),Categories!$K$4:$V$17,2+VLOOKUP(L43,L43,1,FALSE),FALSE),"-"  )</f>
        <v>0.9</v>
      </c>
      <c r="N43" s="44" t="str">
        <f>IFERROR(VLOOKUP(VLOOKUP(O43,O43,1,1),Categories!$K$3:$V$17,7+VLOOKUP(L43,L43,1,FALSE),FALSE),"-")</f>
        <v>0 ATM</v>
      </c>
      <c r="O43" s="45" t="s">
        <v>75</v>
      </c>
      <c r="P43" s="46" t="s">
        <v>58</v>
      </c>
      <c r="Q43" s="47" t="s">
        <v>58</v>
      </c>
      <c r="R43" s="48"/>
      <c r="S43" s="48"/>
      <c r="T43" s="49"/>
      <c r="U43" s="61"/>
      <c r="V43" s="50">
        <v>5.5</v>
      </c>
      <c r="W43" s="50">
        <v>5.6</v>
      </c>
      <c r="X43" s="53">
        <v>6.93</v>
      </c>
      <c r="Y43" s="52"/>
      <c r="Z43" s="52"/>
      <c r="AA43" s="52"/>
      <c r="AB43" s="52"/>
      <c r="AC43" s="52"/>
      <c r="AD43" s="52"/>
      <c r="AE43" s="52"/>
      <c r="AF43" s="52"/>
      <c r="AG43" s="53"/>
      <c r="AH43" s="54"/>
      <c r="AI43" s="55"/>
      <c r="AJ43" s="56"/>
      <c r="AK43" s="57"/>
      <c r="AL43" s="57"/>
    </row>
    <row r="44" spans="1:38" ht="31.95" customHeight="1" x14ac:dyDescent="0.3">
      <c r="A44" s="66">
        <v>44074</v>
      </c>
      <c r="B44" s="192">
        <v>0.57210648148148147</v>
      </c>
      <c r="C44" s="39"/>
      <c r="D44" s="39">
        <f>IF(I44=Categories!$E$4,VLOOKUP(H44,Categories!$A$4:$C$15,3,FALSE),VLOOKUP(I44,Categories!$E$4:$G$27,3,FALSE))</f>
        <v>30</v>
      </c>
      <c r="E44" s="39"/>
      <c r="F44" s="39"/>
      <c r="G44" s="40" t="s">
        <v>58</v>
      </c>
      <c r="H44" s="41" t="s">
        <v>72</v>
      </c>
      <c r="I44" s="59" t="s">
        <v>67</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37"/>
      <c r="B45" s="38"/>
      <c r="C45" s="39"/>
      <c r="D45" s="39" t="str">
        <f>IF(I45=Categories!$E$4,VLOOKUP(H45,Categories!$A$4:$C$15,3,FALSE),VLOOKUP(I45,Categories!$E$4:$G$27,3,FALSE))</f>
        <v>-</v>
      </c>
      <c r="E45" s="39"/>
      <c r="F45" s="39"/>
      <c r="G45" s="40" t="s">
        <v>58</v>
      </c>
      <c r="H45" s="41" t="s">
        <v>72</v>
      </c>
      <c r="I45" s="59" t="s">
        <v>80</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37"/>
      <c r="B46" s="38"/>
      <c r="C46" s="39"/>
      <c r="D46" s="39" t="str">
        <f>IF(I46=Categories!$E$4,VLOOKUP(H46,Categories!$A$4:$C$15,3,FALSE),VLOOKUP(I46,Categories!$E$4:$G$27,3,FALSE))</f>
        <v>-</v>
      </c>
      <c r="E46" s="39"/>
      <c r="F46" s="39"/>
      <c r="G46" s="40" t="s">
        <v>58</v>
      </c>
      <c r="H46" s="41" t="s">
        <v>72</v>
      </c>
      <c r="I46" s="59" t="s">
        <v>73</v>
      </c>
      <c r="J46" s="42"/>
      <c r="K46" s="60">
        <v>2200</v>
      </c>
      <c r="L46" s="43">
        <v>1</v>
      </c>
      <c r="M46" s="44">
        <f>IFERROR(VLOOKUP(VLOOKUP(O46,O46,1,1),Categories!$K$4:$V$17,2+VLOOKUP(L46,L46,1,FALSE),FALSE),"-"  )</f>
        <v>1.73</v>
      </c>
      <c r="N46" s="44" t="str">
        <f>IFERROR(VLOOKUP(VLOOKUP(O46,O46,1,1),Categories!$K$3:$V$17,7+VLOOKUP(L46,L46,1,FALSE),FALSE),"-")</f>
        <v>0 ATM</v>
      </c>
      <c r="O46" s="45" t="s">
        <v>81</v>
      </c>
      <c r="P46" s="46" t="s">
        <v>58</v>
      </c>
      <c r="Q46" s="47" t="s">
        <v>58</v>
      </c>
      <c r="R46" s="61"/>
      <c r="S46" s="61"/>
      <c r="T46" s="62"/>
      <c r="U46" s="61"/>
      <c r="V46" s="63"/>
      <c r="W46" s="63"/>
      <c r="X46" s="51"/>
      <c r="Y46" s="64"/>
      <c r="Z46" s="64"/>
      <c r="AA46" s="64"/>
      <c r="AB46" s="64"/>
      <c r="AC46" s="64"/>
      <c r="AD46" s="64"/>
      <c r="AE46" s="64"/>
      <c r="AF46" s="64"/>
      <c r="AG46" s="51"/>
      <c r="AH46" s="65"/>
      <c r="AI46" s="55" t="s">
        <v>63</v>
      </c>
      <c r="AJ46" s="57" t="s">
        <v>339</v>
      </c>
      <c r="AK46" s="57"/>
      <c r="AL46" s="57"/>
    </row>
    <row r="47" spans="1:38" ht="31.95" customHeight="1" x14ac:dyDescent="0.3">
      <c r="A47" s="37">
        <v>44074</v>
      </c>
      <c r="B47" s="190">
        <v>0.57527777777777778</v>
      </c>
      <c r="C47" s="39"/>
      <c r="D47" s="39">
        <f>IF(I47=Categories!$E$4,VLOOKUP(H47,Categories!$A$4:$C$15,3,FALSE),VLOOKUP(I47,Categories!$E$4:$G$27,3,FALSE))</f>
        <v>120</v>
      </c>
      <c r="E47" s="39"/>
      <c r="F47" s="39"/>
      <c r="G47" s="40">
        <v>6</v>
      </c>
      <c r="H47" s="41" t="s">
        <v>62</v>
      </c>
      <c r="I47" s="59" t="s">
        <v>58</v>
      </c>
      <c r="J47" s="42"/>
      <c r="K47" s="60">
        <v>2200</v>
      </c>
      <c r="L47" s="43">
        <v>1</v>
      </c>
      <c r="M47" s="44">
        <f>IFERROR(VLOOKUP(VLOOKUP(O47,O47,1,1),Categories!$K$4:$V$17,2+VLOOKUP(L47,L47,1,FALSE),FALSE),"-"  )</f>
        <v>1.73</v>
      </c>
      <c r="N47" s="44" t="str">
        <f>IFERROR(VLOOKUP(VLOOKUP(O47,O47,1,1),Categories!$K$3:$V$17,7+VLOOKUP(L47,L47,1,FALSE),FALSE),"-")</f>
        <v>0 ATM</v>
      </c>
      <c r="O47" s="45" t="s">
        <v>81</v>
      </c>
      <c r="P47" s="46" t="s">
        <v>58</v>
      </c>
      <c r="Q47" s="47" t="s">
        <v>58</v>
      </c>
      <c r="R47" s="61"/>
      <c r="S47" s="61"/>
      <c r="T47" s="62"/>
      <c r="U47" s="61"/>
      <c r="V47" s="63">
        <v>3.4</v>
      </c>
      <c r="W47" s="63">
        <v>2.1</v>
      </c>
      <c r="X47" s="51">
        <v>4.8</v>
      </c>
      <c r="Y47" s="64"/>
      <c r="Z47" s="64"/>
      <c r="AA47" s="64"/>
      <c r="AB47" s="64"/>
      <c r="AC47" s="64"/>
      <c r="AD47" s="64"/>
      <c r="AE47" s="64"/>
      <c r="AF47" s="64"/>
      <c r="AG47" s="51"/>
      <c r="AH47" s="65"/>
      <c r="AI47" s="55"/>
      <c r="AJ47" s="57"/>
      <c r="AK47" s="57"/>
      <c r="AL47" s="57"/>
    </row>
    <row r="48" spans="1:38" ht="31.95" customHeight="1" x14ac:dyDescent="0.3">
      <c r="A48" s="37">
        <v>44074</v>
      </c>
      <c r="B48" s="190">
        <v>0.57681712962962961</v>
      </c>
      <c r="C48" s="39"/>
      <c r="D48" s="39">
        <f>IF(I48=Categories!$E$4,VLOOKUP(H48,Categories!$A$4:$C$15,3,FALSE),VLOOKUP(I48,Categories!$E$4:$G$27,3,FALSE))</f>
        <v>30</v>
      </c>
      <c r="E48" s="39"/>
      <c r="F48" s="39"/>
      <c r="G48" s="40">
        <v>6</v>
      </c>
      <c r="H48" s="41" t="s">
        <v>66</v>
      </c>
      <c r="I48" s="59" t="s">
        <v>345</v>
      </c>
      <c r="J48" s="42"/>
      <c r="K48" s="60">
        <v>2200</v>
      </c>
      <c r="L48" s="43">
        <v>2</v>
      </c>
      <c r="M48" s="44">
        <f>IFERROR(VLOOKUP(VLOOKUP(O48,O48,1,1),Categories!$K$4:$V$17,2+VLOOKUP(L48,L48,1,FALSE),FALSE),"-"  )</f>
        <v>6</v>
      </c>
      <c r="N48" s="44" t="str">
        <f>IFERROR(VLOOKUP(VLOOKUP(O48,O48,1,1),Categories!$K$3:$V$17,7+VLOOKUP(L48,L48,1,FALSE),FALSE),"-")</f>
        <v>6 ATM</v>
      </c>
      <c r="O48" s="45" t="s">
        <v>81</v>
      </c>
      <c r="P48" s="46" t="s">
        <v>58</v>
      </c>
      <c r="Q48" s="47" t="s">
        <v>58</v>
      </c>
      <c r="R48" s="61"/>
      <c r="S48" s="61"/>
      <c r="T48" s="62"/>
      <c r="U48" s="61"/>
      <c r="V48" s="63"/>
      <c r="W48" s="63"/>
      <c r="X48" s="51"/>
      <c r="Y48" s="64"/>
      <c r="Z48" s="64"/>
      <c r="AA48" s="64"/>
      <c r="AB48" s="64"/>
      <c r="AC48" s="64"/>
      <c r="AD48" s="64"/>
      <c r="AE48" s="64"/>
      <c r="AF48" s="64"/>
      <c r="AG48" s="51"/>
      <c r="AH48" s="65"/>
      <c r="AI48" s="55"/>
      <c r="AJ48" s="57" t="s">
        <v>338</v>
      </c>
      <c r="AK48" s="57"/>
      <c r="AL48" s="57"/>
    </row>
    <row r="49" spans="1:38" ht="31.95" customHeight="1" x14ac:dyDescent="0.3">
      <c r="A49" s="66">
        <v>44074</v>
      </c>
      <c r="B49" s="192">
        <v>0.57763888888888892</v>
      </c>
      <c r="C49" s="39"/>
      <c r="D49" s="39">
        <f>IF(I49=Categories!$E$4,VLOOKUP(H49,Categories!$A$4:$C$15,3,FALSE),VLOOKUP(I49,Categories!$E$4:$G$27,3,FALSE))</f>
        <v>120</v>
      </c>
      <c r="E49" s="39"/>
      <c r="F49" s="39"/>
      <c r="G49" s="40">
        <v>6</v>
      </c>
      <c r="H49" s="41" t="s">
        <v>62</v>
      </c>
      <c r="I49" s="68" t="s">
        <v>58</v>
      </c>
      <c r="J49" s="42"/>
      <c r="K49" s="60">
        <v>2200</v>
      </c>
      <c r="L49" s="43">
        <v>2</v>
      </c>
      <c r="M49" s="44">
        <f>IFERROR(VLOOKUP(VLOOKUP(O49,O49,1,1),Categories!$K$4:$V$17,2+VLOOKUP(L49,L49,1,FALSE),FALSE),"-"  )</f>
        <v>6</v>
      </c>
      <c r="N49" s="44" t="str">
        <f>IFERROR(VLOOKUP(VLOOKUP(O49,O49,1,1),Categories!$K$3:$V$17,7+VLOOKUP(L49,L49,1,FALSE),FALSE),"-")</f>
        <v>6 ATM</v>
      </c>
      <c r="O49" s="45" t="s">
        <v>81</v>
      </c>
      <c r="P49" s="46" t="s">
        <v>58</v>
      </c>
      <c r="Q49" s="47" t="s">
        <v>58</v>
      </c>
      <c r="R49" s="48"/>
      <c r="S49" s="48"/>
      <c r="T49" s="49"/>
      <c r="U49" s="61"/>
      <c r="V49" s="50">
        <v>3.5</v>
      </c>
      <c r="W49" s="50">
        <v>2.1</v>
      </c>
      <c r="X49" s="53">
        <v>4.79</v>
      </c>
      <c r="Y49" s="52"/>
      <c r="Z49" s="52"/>
      <c r="AA49" s="52"/>
      <c r="AB49" s="52"/>
      <c r="AC49" s="52"/>
      <c r="AD49" s="52"/>
      <c r="AE49" s="52"/>
      <c r="AF49" s="52"/>
      <c r="AG49" s="53"/>
      <c r="AH49" s="54"/>
      <c r="AI49" s="55"/>
      <c r="AJ49" s="56"/>
      <c r="AK49" s="57"/>
      <c r="AL49" s="57"/>
    </row>
    <row r="50" spans="1:38" ht="31.95" customHeight="1" x14ac:dyDescent="0.3">
      <c r="A50" s="66">
        <v>44074</v>
      </c>
      <c r="B50" s="192">
        <v>0.57915509259259257</v>
      </c>
      <c r="C50" s="39"/>
      <c r="D50" s="39">
        <f>IF(I50=Categories!$E$4,VLOOKUP(H50,Categories!$A$4:$C$15,3,FALSE),VLOOKUP(I50,Categories!$E$4:$G$27,3,FALSE))</f>
        <v>30</v>
      </c>
      <c r="E50" s="39"/>
      <c r="F50" s="39"/>
      <c r="G50" s="40">
        <v>6</v>
      </c>
      <c r="H50" s="41" t="s">
        <v>66</v>
      </c>
      <c r="I50" s="59" t="s">
        <v>345</v>
      </c>
      <c r="J50" s="42"/>
      <c r="K50" s="60">
        <v>2200</v>
      </c>
      <c r="L50" s="43">
        <v>3</v>
      </c>
      <c r="M50" s="44">
        <f>IFERROR(VLOOKUP(VLOOKUP(O50,O50,1,1),Categories!$K$4:$V$17,2+VLOOKUP(L50,L50,1,FALSE),FALSE),"-"  )</f>
        <v>6.6</v>
      </c>
      <c r="N50" s="44" t="str">
        <f>IFERROR(VLOOKUP(VLOOKUP(O50,O50,1,1),Categories!$K$3:$V$17,7+VLOOKUP(L50,L50,1,FALSE),FALSE),"-")</f>
        <v>19 ATM</v>
      </c>
      <c r="O50" s="45" t="s">
        <v>81</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v>44074</v>
      </c>
      <c r="B51" s="192">
        <v>0.57986111111111105</v>
      </c>
      <c r="C51" s="39"/>
      <c r="D51" s="39">
        <f>IF(I51=Categories!$E$4,VLOOKUP(H51,Categories!$A$4:$C$15,3,FALSE),VLOOKUP(I51,Categories!$E$4:$G$27,3,FALSE))</f>
        <v>120</v>
      </c>
      <c r="E51" s="39"/>
      <c r="F51" s="39"/>
      <c r="G51" s="40">
        <v>6</v>
      </c>
      <c r="H51" s="41" t="s">
        <v>62</v>
      </c>
      <c r="I51" s="68" t="s">
        <v>58</v>
      </c>
      <c r="J51" s="42"/>
      <c r="K51" s="60">
        <v>2200</v>
      </c>
      <c r="L51" s="43">
        <v>3</v>
      </c>
      <c r="M51" s="44">
        <f>IFERROR(VLOOKUP(VLOOKUP(O51,O51,1,1),Categories!$K$4:$V$17,2+VLOOKUP(L51,L51,1,FALSE),FALSE),"-"  )</f>
        <v>6.6</v>
      </c>
      <c r="N51" s="44" t="str">
        <f>IFERROR(VLOOKUP(VLOOKUP(O51,O51,1,1),Categories!$K$3:$V$17,7+VLOOKUP(L51,L51,1,FALSE),FALSE),"-")</f>
        <v>19 ATM</v>
      </c>
      <c r="O51" s="45" t="s">
        <v>81</v>
      </c>
      <c r="P51" s="46" t="s">
        <v>58</v>
      </c>
      <c r="Q51" s="47" t="s">
        <v>58</v>
      </c>
      <c r="R51" s="48"/>
      <c r="S51" s="48"/>
      <c r="T51" s="49"/>
      <c r="U51" s="61"/>
      <c r="V51" s="50">
        <v>3.5</v>
      </c>
      <c r="W51" s="50">
        <v>2.1</v>
      </c>
      <c r="X51" s="53">
        <v>4.78</v>
      </c>
      <c r="Y51" s="52"/>
      <c r="Z51" s="52"/>
      <c r="AA51" s="52"/>
      <c r="AB51" s="52"/>
      <c r="AC51" s="52"/>
      <c r="AD51" s="52"/>
      <c r="AE51" s="52"/>
      <c r="AF51" s="52"/>
      <c r="AG51" s="53"/>
      <c r="AH51" s="54"/>
      <c r="AI51" s="55"/>
      <c r="AJ51" s="56"/>
      <c r="AK51" s="57"/>
      <c r="AL51" s="57"/>
    </row>
    <row r="52" spans="1:38" ht="31.95" customHeight="1" x14ac:dyDescent="0.3">
      <c r="A52" s="66">
        <v>44074</v>
      </c>
      <c r="B52" s="192">
        <v>0.58137731481481481</v>
      </c>
      <c r="C52" s="39"/>
      <c r="D52" s="39">
        <f>IF(I52=Categories!$E$4,VLOOKUP(H52,Categories!$A$4:$C$15,3,FALSE),VLOOKUP(I52,Categories!$E$4:$G$27,3,FALSE))</f>
        <v>30</v>
      </c>
      <c r="E52" s="39"/>
      <c r="F52" s="39"/>
      <c r="G52" s="40">
        <v>6</v>
      </c>
      <c r="H52" s="41" t="s">
        <v>66</v>
      </c>
      <c r="I52" s="59" t="s">
        <v>322</v>
      </c>
      <c r="J52" s="42"/>
      <c r="K52" s="60">
        <v>2200</v>
      </c>
      <c r="L52" s="43">
        <v>1</v>
      </c>
      <c r="M52" s="44">
        <f>IFERROR(VLOOKUP(VLOOKUP(O52,O52,1,1),Categories!$K$4:$V$17,2+VLOOKUP(L52,L52,1,FALSE),FALSE),"-"  )</f>
        <v>1.73</v>
      </c>
      <c r="N52" s="44" t="str">
        <f>IFERROR(VLOOKUP(VLOOKUP(O52,O52,1,1),Categories!$K$3:$V$17,7+VLOOKUP(L52,L52,1,FALSE),FALSE),"-")</f>
        <v>0 ATM</v>
      </c>
      <c r="O52" s="45" t="s">
        <v>81</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v>44074</v>
      </c>
      <c r="B53" s="192">
        <v>0.5818402777777778</v>
      </c>
      <c r="C53" s="39"/>
      <c r="D53" s="39">
        <f>IF(I53=Categories!$E$4,VLOOKUP(H53,Categories!$A$4:$C$15,3,FALSE),VLOOKUP(I53,Categories!$E$4:$G$27,3,FALSE))</f>
        <v>60</v>
      </c>
      <c r="E53" s="39"/>
      <c r="F53" s="39"/>
      <c r="G53" s="40">
        <v>6</v>
      </c>
      <c r="H53" s="41" t="s">
        <v>78</v>
      </c>
      <c r="I53" s="68" t="s">
        <v>58</v>
      </c>
      <c r="J53" s="42"/>
      <c r="K53" s="60">
        <v>2200</v>
      </c>
      <c r="L53" s="43">
        <v>1</v>
      </c>
      <c r="M53" s="44">
        <f>IFERROR(VLOOKUP(VLOOKUP(O53,O53,1,1),Categories!$K$4:$V$17,2+VLOOKUP(L53,L53,1,FALSE),FALSE),"-"  )</f>
        <v>1.73</v>
      </c>
      <c r="N53" s="44" t="str">
        <f>IFERROR(VLOOKUP(VLOOKUP(O53,O53,1,1),Categories!$K$3:$V$17,7+VLOOKUP(L53,L53,1,FALSE),FALSE),"-")</f>
        <v>0 ATM</v>
      </c>
      <c r="O53" s="45" t="s">
        <v>81</v>
      </c>
      <c r="P53" s="46" t="s">
        <v>58</v>
      </c>
      <c r="Q53" s="47" t="s">
        <v>58</v>
      </c>
      <c r="R53" s="48"/>
      <c r="S53" s="48"/>
      <c r="T53" s="49"/>
      <c r="U53" s="61"/>
      <c r="V53" s="50">
        <v>3.5</v>
      </c>
      <c r="W53" s="50">
        <v>2.1</v>
      </c>
      <c r="X53" s="53"/>
      <c r="Y53" s="52"/>
      <c r="Z53" s="52"/>
      <c r="AA53" s="52"/>
      <c r="AB53" s="52"/>
      <c r="AC53" s="52"/>
      <c r="AD53" s="52"/>
      <c r="AE53" s="52"/>
      <c r="AF53" s="52"/>
      <c r="AG53" s="53"/>
      <c r="AH53" s="54"/>
      <c r="AI53" s="55"/>
      <c r="AJ53" s="56"/>
      <c r="AK53" s="57"/>
      <c r="AL53" s="57"/>
    </row>
    <row r="54" spans="1:38" ht="31.95" customHeight="1" x14ac:dyDescent="0.3">
      <c r="A54" s="66">
        <v>44074</v>
      </c>
      <c r="B54" s="192">
        <v>0.58263888888888882</v>
      </c>
      <c r="C54" s="39"/>
      <c r="D54" s="39">
        <f>IF(I54=Categories!$E$4,VLOOKUP(H54,Categories!$A$4:$C$15,3,FALSE),VLOOKUP(I54,Categories!$E$4:$G$27,3,FALSE))</f>
        <v>30</v>
      </c>
      <c r="E54" s="39"/>
      <c r="F54" s="39"/>
      <c r="G54" s="40" t="s">
        <v>58</v>
      </c>
      <c r="H54" s="41" t="s">
        <v>72</v>
      </c>
      <c r="I54" s="59" t="s">
        <v>67</v>
      </c>
      <c r="J54" s="42"/>
      <c r="K54" s="60">
        <v>2500</v>
      </c>
      <c r="L54" s="43">
        <v>1</v>
      </c>
      <c r="M54" s="44">
        <f>IFERROR(VLOOKUP(VLOOKUP(O54,O54,1,1),Categories!$K$4:$V$17,2+VLOOKUP(L54,L54,1,FALSE),FALSE),"-"  )</f>
        <v>1.73</v>
      </c>
      <c r="N54" s="44" t="str">
        <f>IFERROR(VLOOKUP(VLOOKUP(O54,O54,1,1),Categories!$K$3:$V$17,7+VLOOKUP(L54,L54,1,FALSE),FALSE),"-")</f>
        <v>0 ATM</v>
      </c>
      <c r="O54" s="45" t="s">
        <v>81</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v>44074</v>
      </c>
      <c r="B55" s="190">
        <v>0.58306712962962959</v>
      </c>
      <c r="C55" s="39"/>
      <c r="D55" s="39">
        <f>IF(I55=Categories!$E$4,VLOOKUP(H55,Categories!$A$4:$C$15,3,FALSE),VLOOKUP(I55,Categories!$E$4:$G$27,3,FALSE))</f>
        <v>120</v>
      </c>
      <c r="E55" s="39"/>
      <c r="F55" s="39"/>
      <c r="G55" s="40">
        <v>7</v>
      </c>
      <c r="H55" s="41" t="s">
        <v>62</v>
      </c>
      <c r="I55" s="59" t="s">
        <v>58</v>
      </c>
      <c r="J55" s="42"/>
      <c r="K55" s="60">
        <v>2500</v>
      </c>
      <c r="L55" s="43">
        <v>1</v>
      </c>
      <c r="M55" s="44">
        <f>IFERROR(VLOOKUP(VLOOKUP(O55,O55,1,1),Categories!$K$4:$V$17,2+VLOOKUP(L55,L55,1,FALSE),FALSE),"-"  )</f>
        <v>1.73</v>
      </c>
      <c r="N55" s="44" t="str">
        <f>IFERROR(VLOOKUP(VLOOKUP(O55,O55,1,1),Categories!$K$3:$V$17,7+VLOOKUP(L55,L55,1,FALSE),FALSE),"-")</f>
        <v>0 ATM</v>
      </c>
      <c r="O55" s="45" t="s">
        <v>81</v>
      </c>
      <c r="P55" s="46" t="s">
        <v>58</v>
      </c>
      <c r="Q55" s="47" t="s">
        <v>58</v>
      </c>
      <c r="R55" s="61"/>
      <c r="S55" s="61"/>
      <c r="T55" s="62"/>
      <c r="U55" s="61"/>
      <c r="V55" s="63">
        <v>4.3</v>
      </c>
      <c r="W55" s="63">
        <v>3</v>
      </c>
      <c r="X55" s="51">
        <v>5.53</v>
      </c>
      <c r="Y55" s="64"/>
      <c r="Z55" s="64"/>
      <c r="AA55" s="64"/>
      <c r="AB55" s="64"/>
      <c r="AC55" s="64"/>
      <c r="AD55" s="64"/>
      <c r="AE55" s="64"/>
      <c r="AF55" s="64"/>
      <c r="AG55" s="51"/>
      <c r="AH55" s="65"/>
      <c r="AI55" s="55"/>
      <c r="AJ55" s="57" t="s">
        <v>340</v>
      </c>
      <c r="AK55" s="57"/>
      <c r="AL55" s="57"/>
    </row>
    <row r="56" spans="1:38" ht="31.95" customHeight="1" x14ac:dyDescent="0.3">
      <c r="A56" s="37">
        <v>44074</v>
      </c>
      <c r="B56" s="190">
        <v>0.58450231481481485</v>
      </c>
      <c r="C56" s="39"/>
      <c r="D56" s="39">
        <f>IF(I56=Categories!$E$4,VLOOKUP(H56,Categories!$A$4:$C$15,3,FALSE),VLOOKUP(I56,Categories!$E$4:$G$27,3,FALSE))</f>
        <v>30</v>
      </c>
      <c r="E56" s="39"/>
      <c r="F56" s="39"/>
      <c r="G56" s="40">
        <v>7</v>
      </c>
      <c r="H56" s="41" t="s">
        <v>66</v>
      </c>
      <c r="I56" s="59" t="s">
        <v>345</v>
      </c>
      <c r="J56" s="42"/>
      <c r="K56" s="60">
        <v>2500</v>
      </c>
      <c r="L56" s="43">
        <v>2</v>
      </c>
      <c r="M56" s="44">
        <f>IFERROR(VLOOKUP(VLOOKUP(O56,O56,1,1),Categories!$K$4:$V$17,2+VLOOKUP(L56,L56,1,FALSE),FALSE),"-"  )</f>
        <v>6</v>
      </c>
      <c r="N56" s="44" t="str">
        <f>IFERROR(VLOOKUP(VLOOKUP(O56,O56,1,1),Categories!$K$3:$V$17,7+VLOOKUP(L56,L56,1,FALSE),FALSE),"-")</f>
        <v>6 ATM</v>
      </c>
      <c r="O56" s="45" t="s">
        <v>81</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v>44074</v>
      </c>
      <c r="B57" s="192">
        <v>0.58488425925925924</v>
      </c>
      <c r="C57" s="39"/>
      <c r="D57" s="39">
        <f>IF(I57=Categories!$E$4,VLOOKUP(H57,Categories!$A$4:$C$15,3,FALSE),VLOOKUP(I57,Categories!$E$4:$G$27,3,FALSE))</f>
        <v>120</v>
      </c>
      <c r="E57" s="39"/>
      <c r="F57" s="39"/>
      <c r="G57" s="40">
        <v>7</v>
      </c>
      <c r="H57" s="41" t="s">
        <v>62</v>
      </c>
      <c r="I57" s="68" t="s">
        <v>58</v>
      </c>
      <c r="J57" s="42"/>
      <c r="K57" s="60">
        <v>2500</v>
      </c>
      <c r="L57" s="43">
        <v>2</v>
      </c>
      <c r="M57" s="44">
        <f>IFERROR(VLOOKUP(VLOOKUP(O57,O57,1,1),Categories!$K$4:$V$17,2+VLOOKUP(L57,L57,1,FALSE),FALSE),"-"  )</f>
        <v>6</v>
      </c>
      <c r="N57" s="44" t="str">
        <f>IFERROR(VLOOKUP(VLOOKUP(O57,O57,1,1),Categories!$K$3:$V$17,7+VLOOKUP(L57,L57,1,FALSE),FALSE),"-")</f>
        <v>6 ATM</v>
      </c>
      <c r="O57" s="45" t="s">
        <v>81</v>
      </c>
      <c r="P57" s="46" t="s">
        <v>58</v>
      </c>
      <c r="Q57" s="47" t="s">
        <v>58</v>
      </c>
      <c r="R57" s="48"/>
      <c r="S57" s="48"/>
      <c r="T57" s="49"/>
      <c r="U57" s="61"/>
      <c r="V57" s="50">
        <v>4.3</v>
      </c>
      <c r="W57" s="50">
        <v>3</v>
      </c>
      <c r="X57" s="53">
        <v>5.51</v>
      </c>
      <c r="Y57" s="52"/>
      <c r="Z57" s="52"/>
      <c r="AA57" s="52"/>
      <c r="AB57" s="52"/>
      <c r="AC57" s="52"/>
      <c r="AD57" s="52"/>
      <c r="AE57" s="52"/>
      <c r="AF57" s="52"/>
      <c r="AG57" s="53"/>
      <c r="AH57" s="54"/>
      <c r="AI57" s="55"/>
      <c r="AJ57" s="56"/>
      <c r="AK57" s="57"/>
      <c r="AL57" s="57"/>
    </row>
    <row r="58" spans="1:38" ht="31.95" customHeight="1" x14ac:dyDescent="0.3">
      <c r="A58" s="66">
        <v>44074</v>
      </c>
      <c r="B58" s="192">
        <v>0.58643518518518511</v>
      </c>
      <c r="C58" s="39"/>
      <c r="D58" s="39">
        <f>IF(I58=Categories!$E$4,VLOOKUP(H58,Categories!$A$4:$C$15,3,FALSE),VLOOKUP(I58,Categories!$E$4:$G$27,3,FALSE))</f>
        <v>30</v>
      </c>
      <c r="E58" s="39"/>
      <c r="F58" s="39"/>
      <c r="G58" s="40">
        <v>7</v>
      </c>
      <c r="H58" s="41" t="s">
        <v>66</v>
      </c>
      <c r="I58" s="59" t="s">
        <v>345</v>
      </c>
      <c r="J58" s="42"/>
      <c r="K58" s="60">
        <v>2500</v>
      </c>
      <c r="L58" s="43">
        <v>3</v>
      </c>
      <c r="M58" s="44">
        <f>IFERROR(VLOOKUP(VLOOKUP(O58,O58,1,1),Categories!$K$4:$V$17,2+VLOOKUP(L58,L58,1,FALSE),FALSE),"-"  )</f>
        <v>6.6</v>
      </c>
      <c r="N58" s="44" t="str">
        <f>IFERROR(VLOOKUP(VLOOKUP(O58,O58,1,1),Categories!$K$3:$V$17,7+VLOOKUP(L58,L58,1,FALSE),FALSE),"-")</f>
        <v>19 ATM</v>
      </c>
      <c r="O58" s="45" t="s">
        <v>81</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v>44074</v>
      </c>
      <c r="B59" s="192">
        <v>0.5869212962962963</v>
      </c>
      <c r="C59" s="39"/>
      <c r="D59" s="39">
        <f>IF(I59=Categories!$E$4,VLOOKUP(H59,Categories!$A$4:$C$15,3,FALSE),VLOOKUP(I59,Categories!$E$4:$G$27,3,FALSE))</f>
        <v>120</v>
      </c>
      <c r="E59" s="39"/>
      <c r="F59" s="39"/>
      <c r="G59" s="40">
        <v>7</v>
      </c>
      <c r="H59" s="41" t="s">
        <v>62</v>
      </c>
      <c r="I59" s="68" t="s">
        <v>58</v>
      </c>
      <c r="J59" s="42"/>
      <c r="K59" s="60">
        <v>2500</v>
      </c>
      <c r="L59" s="43">
        <v>3</v>
      </c>
      <c r="M59" s="44">
        <f>IFERROR(VLOOKUP(VLOOKUP(O59,O59,1,1),Categories!$K$4:$V$17,2+VLOOKUP(L59,L59,1,FALSE),FALSE),"-"  )</f>
        <v>6.6</v>
      </c>
      <c r="N59" s="44" t="str">
        <f>IFERROR(VLOOKUP(VLOOKUP(O59,O59,1,1),Categories!$K$3:$V$17,7+VLOOKUP(L59,L59,1,FALSE),FALSE),"-")</f>
        <v>19 ATM</v>
      </c>
      <c r="O59" s="45" t="s">
        <v>81</v>
      </c>
      <c r="P59" s="46" t="s">
        <v>58</v>
      </c>
      <c r="Q59" s="47" t="s">
        <v>58</v>
      </c>
      <c r="R59" s="48"/>
      <c r="S59" s="48"/>
      <c r="T59" s="49"/>
      <c r="U59" s="61"/>
      <c r="V59" s="50">
        <v>4.2</v>
      </c>
      <c r="W59" s="50">
        <v>3</v>
      </c>
      <c r="X59" s="53">
        <v>5.5</v>
      </c>
      <c r="Y59" s="52"/>
      <c r="Z59" s="52"/>
      <c r="AA59" s="52"/>
      <c r="AB59" s="52"/>
      <c r="AC59" s="52"/>
      <c r="AD59" s="52"/>
      <c r="AE59" s="52"/>
      <c r="AF59" s="52"/>
      <c r="AG59" s="53"/>
      <c r="AH59" s="54"/>
      <c r="AI59" s="55"/>
      <c r="AJ59" s="56" t="s">
        <v>341</v>
      </c>
      <c r="AK59" s="57"/>
      <c r="AL59" s="57"/>
    </row>
    <row r="60" spans="1:38" ht="31.95" customHeight="1" x14ac:dyDescent="0.3">
      <c r="A60" s="66"/>
      <c r="B60" s="67"/>
      <c r="C60" s="39"/>
      <c r="D60" s="39" t="str">
        <f>IF(I60=Categories!$E$4,VLOOKUP(H60,Categories!$A$4:$C$15,3,FALSE),VLOOKUP(I60,Categories!$E$4:$G$27,3,FALSE))</f>
        <v>-</v>
      </c>
      <c r="E60" s="39"/>
      <c r="F60" s="39"/>
      <c r="G60" s="40" t="s">
        <v>58</v>
      </c>
      <c r="H60" s="41" t="s">
        <v>72</v>
      </c>
      <c r="I60" s="59" t="s">
        <v>58</v>
      </c>
      <c r="J60" s="42"/>
      <c r="K60" s="60">
        <v>2500</v>
      </c>
      <c r="L60" s="43">
        <v>1</v>
      </c>
      <c r="M60" s="44">
        <f>IFERROR(VLOOKUP(VLOOKUP(O60,O60,1,1),Categories!$K$4:$V$17,2+VLOOKUP(L60,L60,1,FALSE),FALSE),"-"  )</f>
        <v>1.73</v>
      </c>
      <c r="N60" s="44" t="str">
        <f>IFERROR(VLOOKUP(VLOOKUP(O60,O60,1,1),Categories!$K$3:$V$17,7+VLOOKUP(L60,L60,1,FALSE),FALSE),"-")</f>
        <v>0 ATM</v>
      </c>
      <c r="O60" s="45" t="s">
        <v>81</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c r="B61" s="67"/>
      <c r="C61" s="39"/>
      <c r="D61" s="39">
        <f>IF(I61=Categories!$E$4,VLOOKUP(H61,Categories!$A$4:$C$15,3,FALSE),VLOOKUP(I61,Categories!$E$4:$G$27,3,FALSE))</f>
        <v>30</v>
      </c>
      <c r="E61" s="39"/>
      <c r="F61" s="39"/>
      <c r="G61" s="40" t="s">
        <v>58</v>
      </c>
      <c r="H61" s="41" t="s">
        <v>72</v>
      </c>
      <c r="I61" s="59" t="s">
        <v>67</v>
      </c>
      <c r="J61" s="42"/>
      <c r="K61" s="60">
        <v>2200</v>
      </c>
      <c r="L61" s="43">
        <v>1</v>
      </c>
      <c r="M61" s="44">
        <f>IFERROR(VLOOKUP(VLOOKUP(O61,O61,1,1),Categories!$K$4:$V$17,2+VLOOKUP(L61,L61,1,FALSE),FALSE),"-"  )</f>
        <v>1.73</v>
      </c>
      <c r="N61" s="44" t="str">
        <f>IFERROR(VLOOKUP(VLOOKUP(O61,O61,1,1),Categories!$K$3:$V$17,7+VLOOKUP(L61,L61,1,FALSE),FALSE),"-")</f>
        <v>0 ATM</v>
      </c>
      <c r="O61" s="45" t="s">
        <v>81</v>
      </c>
      <c r="P61" s="46" t="s">
        <v>58</v>
      </c>
      <c r="Q61" s="47" t="s">
        <v>58</v>
      </c>
      <c r="R61" s="48"/>
      <c r="S61" s="48"/>
      <c r="T61" s="49"/>
      <c r="U61" s="61"/>
      <c r="V61" s="50"/>
      <c r="W61" s="50"/>
      <c r="X61" s="53"/>
      <c r="Y61" s="52"/>
      <c r="Z61" s="52"/>
      <c r="AA61" s="52"/>
      <c r="AB61" s="52"/>
      <c r="AC61" s="52"/>
      <c r="AD61" s="52"/>
      <c r="AE61" s="52"/>
      <c r="AF61" s="52"/>
      <c r="AG61" s="53"/>
      <c r="AH61" s="54"/>
      <c r="AI61" s="55"/>
      <c r="AJ61" s="56"/>
      <c r="AK61" s="57"/>
      <c r="AL61" s="57"/>
    </row>
    <row r="62" spans="1:38" ht="31.95" customHeight="1" x14ac:dyDescent="0.3">
      <c r="A62" s="37"/>
      <c r="B62" s="38"/>
      <c r="C62" s="39"/>
      <c r="D62" s="39" t="str">
        <f>IF(I62=Categories!$E$4,VLOOKUP(H62,Categories!$A$4:$C$15,3,FALSE),VLOOKUP(I62,Categories!$E$4:$G$27,3,FALSE))</f>
        <v>-</v>
      </c>
      <c r="E62" s="39"/>
      <c r="F62" s="39"/>
      <c r="G62" s="40" t="s">
        <v>58</v>
      </c>
      <c r="H62" s="41" t="s">
        <v>72</v>
      </c>
      <c r="I62" s="59" t="s">
        <v>80</v>
      </c>
      <c r="J62" s="42"/>
      <c r="K62" s="60">
        <v>2200</v>
      </c>
      <c r="L62" s="43" t="s">
        <v>58</v>
      </c>
      <c r="M62" s="44" t="str">
        <f>IFERROR(VLOOKUP(VLOOKUP(O62,O62,1,1),Categories!$K$4:$V$17,2+VLOOKUP(L62,L62,1,FALSE),FALSE),"-"  )</f>
        <v>-</v>
      </c>
      <c r="N62" s="44" t="str">
        <f>IFERROR(VLOOKUP(VLOOKUP(O62,O62,1,1),Categories!$K$3:$V$17,7+VLOOKUP(L62,L62,1,FALSE),FALSE),"-")</f>
        <v>-</v>
      </c>
      <c r="O62" s="45" t="s">
        <v>58</v>
      </c>
      <c r="P62" s="46" t="s">
        <v>58</v>
      </c>
      <c r="Q62" s="47" t="s">
        <v>58</v>
      </c>
      <c r="R62" s="61"/>
      <c r="S62" s="61"/>
      <c r="T62" s="62"/>
      <c r="U62" s="61"/>
      <c r="V62" s="63"/>
      <c r="W62" s="63"/>
      <c r="X62" s="51"/>
      <c r="Y62" s="64"/>
      <c r="Z62" s="64"/>
      <c r="AA62" s="64"/>
      <c r="AB62" s="64"/>
      <c r="AC62" s="64"/>
      <c r="AD62" s="64"/>
      <c r="AE62" s="64"/>
      <c r="AF62" s="64"/>
      <c r="AG62" s="51"/>
      <c r="AH62" s="65"/>
      <c r="AI62" s="55"/>
      <c r="AJ62" s="57"/>
      <c r="AK62" s="57"/>
      <c r="AL62" s="57"/>
    </row>
    <row r="63" spans="1:38" ht="31.95" customHeight="1" x14ac:dyDescent="0.3">
      <c r="A63" s="37">
        <v>44074</v>
      </c>
      <c r="B63" s="190">
        <v>0.60731481481481475</v>
      </c>
      <c r="C63" s="39"/>
      <c r="D63" s="39" t="str">
        <f>IF(I63=Categories!$E$4,VLOOKUP(H63,Categories!$A$4:$C$15,3,FALSE),VLOOKUP(I63,Categories!$E$4:$G$27,3,FALSE))</f>
        <v>-</v>
      </c>
      <c r="E63" s="39"/>
      <c r="F63" s="39"/>
      <c r="G63" s="40" t="s">
        <v>58</v>
      </c>
      <c r="H63" s="41" t="s">
        <v>72</v>
      </c>
      <c r="I63" s="59" t="s">
        <v>73</v>
      </c>
      <c r="J63" s="42"/>
      <c r="K63" s="60">
        <v>2200</v>
      </c>
      <c r="L63" s="43">
        <v>1</v>
      </c>
      <c r="M63" s="44">
        <f>IFERROR(VLOOKUP(VLOOKUP(O63,O63,1,1),Categories!$K$4:$V$17,2+VLOOKUP(L63,L63,1,FALSE),FALSE),"-"  )</f>
        <v>1.67</v>
      </c>
      <c r="N63" s="44" t="str">
        <f>IFERROR(VLOOKUP(VLOOKUP(O63,O63,1,1),Categories!$K$3:$V$17,7+VLOOKUP(L63,L63,1,FALSE),FALSE),"-")</f>
        <v>0 ATM</v>
      </c>
      <c r="O63" s="45" t="s">
        <v>83</v>
      </c>
      <c r="P63" s="46" t="s">
        <v>58</v>
      </c>
      <c r="Q63" s="47" t="s">
        <v>58</v>
      </c>
      <c r="R63" s="61"/>
      <c r="S63" s="61"/>
      <c r="T63" s="62"/>
      <c r="U63" s="61"/>
      <c r="V63" s="63"/>
      <c r="W63" s="63"/>
      <c r="X63" s="51"/>
      <c r="Y63" s="64"/>
      <c r="Z63" s="64"/>
      <c r="AA63" s="64"/>
      <c r="AB63" s="64"/>
      <c r="AC63" s="64"/>
      <c r="AD63" s="64"/>
      <c r="AE63" s="64"/>
      <c r="AF63" s="64"/>
      <c r="AG63" s="51"/>
      <c r="AH63" s="65"/>
      <c r="AI63" s="55" t="s">
        <v>63</v>
      </c>
      <c r="AJ63" s="57" t="s">
        <v>371</v>
      </c>
      <c r="AK63" s="57"/>
      <c r="AL63" s="57"/>
    </row>
    <row r="64" spans="1:38" ht="31.95" customHeight="1" x14ac:dyDescent="0.3">
      <c r="A64" s="37">
        <v>44074</v>
      </c>
      <c r="B64" s="190">
        <v>0.61153935185185182</v>
      </c>
      <c r="C64" s="39"/>
      <c r="D64" s="39">
        <f>IF(I64=Categories!$E$4,VLOOKUP(H64,Categories!$A$4:$C$15,3,FALSE),VLOOKUP(I64,Categories!$E$4:$G$27,3,FALSE))</f>
        <v>120</v>
      </c>
      <c r="E64" s="39"/>
      <c r="F64" s="39"/>
      <c r="G64" s="40">
        <v>8</v>
      </c>
      <c r="H64" s="41" t="s">
        <v>62</v>
      </c>
      <c r="I64" s="59" t="s">
        <v>58</v>
      </c>
      <c r="J64" s="42"/>
      <c r="K64" s="60">
        <v>2200</v>
      </c>
      <c r="L64" s="43">
        <v>1</v>
      </c>
      <c r="M64" s="44">
        <f>IFERROR(VLOOKUP(VLOOKUP(O64,O64,1,1),Categories!$K$4:$V$17,2+VLOOKUP(L64,L64,1,FALSE),FALSE),"-"  )</f>
        <v>1.67</v>
      </c>
      <c r="N64" s="44" t="str">
        <f>IFERROR(VLOOKUP(VLOOKUP(O64,O64,1,1),Categories!$K$3:$V$17,7+VLOOKUP(L64,L64,1,FALSE),FALSE),"-")</f>
        <v>0 ATM</v>
      </c>
      <c r="O64" s="45" t="s">
        <v>83</v>
      </c>
      <c r="P64" s="46" t="s">
        <v>58</v>
      </c>
      <c r="Q64" s="47" t="s">
        <v>58</v>
      </c>
      <c r="R64" s="61"/>
      <c r="S64" s="61"/>
      <c r="T64" s="62"/>
      <c r="U64" s="61"/>
      <c r="V64" s="63">
        <v>3.6</v>
      </c>
      <c r="W64" s="63">
        <v>2.1</v>
      </c>
      <c r="X64" s="51">
        <v>4.83</v>
      </c>
      <c r="Y64" s="64"/>
      <c r="Z64" s="64"/>
      <c r="AA64" s="64"/>
      <c r="AB64" s="64"/>
      <c r="AC64" s="64"/>
      <c r="AD64" s="64"/>
      <c r="AE64" s="64"/>
      <c r="AF64" s="64"/>
      <c r="AG64" s="51"/>
      <c r="AH64" s="65"/>
      <c r="AI64" s="55"/>
      <c r="AJ64" s="57"/>
      <c r="AK64" s="57"/>
      <c r="AL64" s="57"/>
    </row>
    <row r="65" spans="1:38" ht="31.95" customHeight="1" x14ac:dyDescent="0.3">
      <c r="A65" s="37">
        <v>44074</v>
      </c>
      <c r="B65" s="190">
        <v>0.61298611111111112</v>
      </c>
      <c r="C65" s="39"/>
      <c r="D65" s="39">
        <f>IF(I65=Categories!$E$4,VLOOKUP(H65,Categories!$A$4:$C$15,3,FALSE),VLOOKUP(I65,Categories!$E$4:$G$27,3,FALSE))</f>
        <v>30</v>
      </c>
      <c r="E65" s="39"/>
      <c r="F65" s="39"/>
      <c r="G65" s="40">
        <v>8</v>
      </c>
      <c r="H65" s="41" t="s">
        <v>66</v>
      </c>
      <c r="I65" s="59" t="s">
        <v>345</v>
      </c>
      <c r="J65" s="42"/>
      <c r="K65" s="60">
        <v>2200</v>
      </c>
      <c r="L65" s="43">
        <v>2</v>
      </c>
      <c r="M65" s="44">
        <f>IFERROR(VLOOKUP(VLOOKUP(O65,O65,1,1),Categories!$K$4:$V$17,2+VLOOKUP(L65,L65,1,FALSE),FALSE),"-"  )</f>
        <v>7.3</v>
      </c>
      <c r="N65" s="44" t="str">
        <f>IFERROR(VLOOKUP(VLOOKUP(O65,O65,1,1),Categories!$K$3:$V$17,7+VLOOKUP(L65,L65,1,FALSE),FALSE),"-")</f>
        <v>4 ATM</v>
      </c>
      <c r="O65" s="45" t="s">
        <v>83</v>
      </c>
      <c r="P65" s="46" t="s">
        <v>58</v>
      </c>
      <c r="Q65" s="47" t="s">
        <v>58</v>
      </c>
      <c r="R65" s="61"/>
      <c r="S65" s="61"/>
      <c r="T65" s="62"/>
      <c r="U65" s="61"/>
      <c r="V65" s="63"/>
      <c r="W65" s="63"/>
      <c r="X65" s="51"/>
      <c r="Y65" s="64"/>
      <c r="Z65" s="64"/>
      <c r="AA65" s="64"/>
      <c r="AB65" s="64"/>
      <c r="AC65" s="64"/>
      <c r="AD65" s="64"/>
      <c r="AE65" s="64"/>
      <c r="AF65" s="64"/>
      <c r="AG65" s="51"/>
      <c r="AH65" s="65"/>
      <c r="AI65" s="55"/>
      <c r="AJ65" s="57"/>
      <c r="AK65" s="57"/>
      <c r="AL65" s="57"/>
    </row>
    <row r="66" spans="1:38" ht="31.95" customHeight="1" x14ac:dyDescent="0.3">
      <c r="A66" s="66">
        <v>44074</v>
      </c>
      <c r="B66" s="192">
        <v>0.61335648148148147</v>
      </c>
      <c r="C66" s="39"/>
      <c r="D66" s="39">
        <f>IF(I66=Categories!$E$4,VLOOKUP(H66,Categories!$A$4:$C$15,3,FALSE),VLOOKUP(I66,Categories!$E$4:$G$27,3,FALSE))</f>
        <v>120</v>
      </c>
      <c r="E66" s="39"/>
      <c r="F66" s="39"/>
      <c r="G66" s="40">
        <v>8</v>
      </c>
      <c r="H66" s="41" t="s">
        <v>62</v>
      </c>
      <c r="I66" s="68" t="s">
        <v>58</v>
      </c>
      <c r="J66" s="42"/>
      <c r="K66" s="60">
        <v>2200</v>
      </c>
      <c r="L66" s="43">
        <v>2</v>
      </c>
      <c r="M66" s="44">
        <f>IFERROR(VLOOKUP(VLOOKUP(O66,O66,1,1),Categories!$K$4:$V$17,2+VLOOKUP(L66,L66,1,FALSE),FALSE),"-"  )</f>
        <v>7.3</v>
      </c>
      <c r="N66" s="44" t="str">
        <f>IFERROR(VLOOKUP(VLOOKUP(O66,O66,1,1),Categories!$K$3:$V$17,7+VLOOKUP(L66,L66,1,FALSE),FALSE),"-")</f>
        <v>4 ATM</v>
      </c>
      <c r="O66" s="45" t="s">
        <v>83</v>
      </c>
      <c r="P66" s="46" t="s">
        <v>58</v>
      </c>
      <c r="Q66" s="47" t="s">
        <v>58</v>
      </c>
      <c r="R66" s="48"/>
      <c r="S66" s="48"/>
      <c r="T66" s="49"/>
      <c r="U66" s="61"/>
      <c r="V66" s="50">
        <v>3.5</v>
      </c>
      <c r="W66" s="50">
        <v>2.1</v>
      </c>
      <c r="X66" s="53">
        <v>4.7</v>
      </c>
      <c r="Y66" s="52"/>
      <c r="Z66" s="52"/>
      <c r="AA66" s="52"/>
      <c r="AB66" s="52"/>
      <c r="AC66" s="52"/>
      <c r="AD66" s="52"/>
      <c r="AE66" s="52"/>
      <c r="AF66" s="52"/>
      <c r="AG66" s="53"/>
      <c r="AH66" s="54"/>
      <c r="AI66" s="55"/>
      <c r="AJ66" s="56"/>
      <c r="AK66" s="57"/>
      <c r="AL66" s="57"/>
    </row>
    <row r="67" spans="1:38" ht="31.95" customHeight="1" x14ac:dyDescent="0.3">
      <c r="A67" s="66">
        <v>44074</v>
      </c>
      <c r="B67" s="192">
        <v>0.61484953703703704</v>
      </c>
      <c r="C67" s="39"/>
      <c r="D67" s="39">
        <f>IF(I67=Categories!$E$4,VLOOKUP(H67,Categories!$A$4:$C$15,3,FALSE),VLOOKUP(I67,Categories!$E$4:$G$27,3,FALSE))</f>
        <v>30</v>
      </c>
      <c r="E67" s="39"/>
      <c r="F67" s="39"/>
      <c r="G67" s="40">
        <v>8</v>
      </c>
      <c r="H67" s="41" t="s">
        <v>66</v>
      </c>
      <c r="I67" s="59" t="s">
        <v>345</v>
      </c>
      <c r="J67" s="42"/>
      <c r="K67" s="60">
        <v>2200</v>
      </c>
      <c r="L67" s="43">
        <v>3</v>
      </c>
      <c r="M67" s="44">
        <f>IFERROR(VLOOKUP(VLOOKUP(O67,O67,1,1),Categories!$K$4:$V$17,2+VLOOKUP(L67,L67,1,FALSE),FALSE),"-"  )</f>
        <v>8.52</v>
      </c>
      <c r="N67" s="44" t="str">
        <f>IFERROR(VLOOKUP(VLOOKUP(O67,O67,1,1),Categories!$K$3:$V$17,7+VLOOKUP(L67,L67,1,FALSE),FALSE),"-")</f>
        <v>13 ATM</v>
      </c>
      <c r="O67" s="45" t="s">
        <v>83</v>
      </c>
      <c r="P67" s="46" t="s">
        <v>58</v>
      </c>
      <c r="Q67" s="47" t="s">
        <v>58</v>
      </c>
      <c r="R67" s="48"/>
      <c r="S67" s="48"/>
      <c r="T67" s="49"/>
      <c r="U67" s="61"/>
      <c r="V67" s="50"/>
      <c r="W67" s="50"/>
      <c r="X67" s="53"/>
      <c r="Y67" s="52"/>
      <c r="Z67" s="52"/>
      <c r="AA67" s="52"/>
      <c r="AB67" s="52"/>
      <c r="AC67" s="52"/>
      <c r="AD67" s="52"/>
      <c r="AE67" s="52"/>
      <c r="AF67" s="52"/>
      <c r="AG67" s="53"/>
      <c r="AH67" s="54"/>
      <c r="AI67" s="55"/>
      <c r="AJ67" s="56"/>
      <c r="AK67" s="57"/>
      <c r="AL67" s="69"/>
    </row>
    <row r="68" spans="1:38" ht="31.95" customHeight="1" x14ac:dyDescent="0.3">
      <c r="A68" s="66">
        <v>44074</v>
      </c>
      <c r="B68" s="192">
        <v>0.6152199074074074</v>
      </c>
      <c r="C68" s="39"/>
      <c r="D68" s="39">
        <f>IF(I68=Categories!$E$4,VLOOKUP(H68,Categories!$A$4:$C$15,3,FALSE),VLOOKUP(I68,Categories!$E$4:$G$27,3,FALSE))</f>
        <v>120</v>
      </c>
      <c r="E68" s="39"/>
      <c r="F68" s="39"/>
      <c r="G68" s="40">
        <v>8</v>
      </c>
      <c r="H68" s="41" t="s">
        <v>62</v>
      </c>
      <c r="I68" s="68" t="s">
        <v>58</v>
      </c>
      <c r="J68" s="42"/>
      <c r="K68" s="60">
        <v>2200</v>
      </c>
      <c r="L68" s="43">
        <v>3</v>
      </c>
      <c r="M68" s="44">
        <f>IFERROR(VLOOKUP(VLOOKUP(O68,O68,1,1),Categories!$K$4:$V$17,2+VLOOKUP(L68,L68,1,FALSE),FALSE),"-"  )</f>
        <v>8.52</v>
      </c>
      <c r="N68" s="44" t="str">
        <f>IFERROR(VLOOKUP(VLOOKUP(O68,O68,1,1),Categories!$K$3:$V$17,7+VLOOKUP(L68,L68,1,FALSE),FALSE),"-")</f>
        <v>13 ATM</v>
      </c>
      <c r="O68" s="45" t="s">
        <v>83</v>
      </c>
      <c r="P68" s="46" t="s">
        <v>58</v>
      </c>
      <c r="Q68" s="47" t="s">
        <v>58</v>
      </c>
      <c r="R68" s="48"/>
      <c r="S68" s="48"/>
      <c r="T68" s="49"/>
      <c r="U68" s="61"/>
      <c r="V68" s="50">
        <v>3.5</v>
      </c>
      <c r="W68" s="50">
        <v>2.1</v>
      </c>
      <c r="X68" s="53">
        <v>4.62</v>
      </c>
      <c r="Y68" s="52"/>
      <c r="Z68" s="52"/>
      <c r="AA68" s="52"/>
      <c r="AB68" s="52"/>
      <c r="AC68" s="52"/>
      <c r="AD68" s="52"/>
      <c r="AE68" s="52"/>
      <c r="AF68" s="52"/>
      <c r="AG68" s="53"/>
      <c r="AH68" s="54"/>
      <c r="AI68" s="55"/>
      <c r="AJ68" s="56"/>
      <c r="AK68" s="57"/>
      <c r="AL68" s="57"/>
    </row>
    <row r="69" spans="1:38" ht="31.95" customHeight="1" x14ac:dyDescent="0.3">
      <c r="A69" s="66">
        <v>44074</v>
      </c>
      <c r="B69" s="192">
        <v>0.61664351851851851</v>
      </c>
      <c r="C69" s="39"/>
      <c r="D69" s="39">
        <f>IF(I69=Categories!$E$4,VLOOKUP(H69,Categories!$A$4:$C$15,3,FALSE),VLOOKUP(I69,Categories!$E$4:$G$27,3,FALSE))</f>
        <v>30</v>
      </c>
      <c r="E69" s="39"/>
      <c r="F69" s="39"/>
      <c r="G69" s="40">
        <v>8</v>
      </c>
      <c r="H69" s="41" t="s">
        <v>66</v>
      </c>
      <c r="I69" s="59" t="s">
        <v>322</v>
      </c>
      <c r="J69" s="42"/>
      <c r="K69" s="60">
        <v>2200</v>
      </c>
      <c r="L69" s="43">
        <v>1</v>
      </c>
      <c r="M69" s="44">
        <f>IFERROR(VLOOKUP(VLOOKUP(O69,O69,1,1),Categories!$K$4:$V$17,2+VLOOKUP(L69,L69,1,FALSE),FALSE),"-"  )</f>
        <v>1.67</v>
      </c>
      <c r="N69" s="44" t="str">
        <f>IFERROR(VLOOKUP(VLOOKUP(O69,O69,1,1),Categories!$K$3:$V$17,7+VLOOKUP(L69,L69,1,FALSE),FALSE),"-")</f>
        <v>0 ATM</v>
      </c>
      <c r="O69" s="45" t="s">
        <v>83</v>
      </c>
      <c r="P69" s="46" t="s">
        <v>58</v>
      </c>
      <c r="Q69" s="47" t="s">
        <v>58</v>
      </c>
      <c r="R69" s="48"/>
      <c r="S69" s="48"/>
      <c r="T69" s="49"/>
      <c r="U69" s="61"/>
      <c r="V69" s="50"/>
      <c r="W69" s="50"/>
      <c r="X69" s="53"/>
      <c r="Y69" s="52"/>
      <c r="Z69" s="52"/>
      <c r="AA69" s="52"/>
      <c r="AB69" s="52"/>
      <c r="AC69" s="52"/>
      <c r="AD69" s="52"/>
      <c r="AE69" s="52"/>
      <c r="AF69" s="52"/>
      <c r="AG69" s="53"/>
      <c r="AH69" s="54"/>
      <c r="AI69" s="55"/>
      <c r="AJ69" s="56"/>
      <c r="AK69" s="57"/>
      <c r="AL69" s="57"/>
    </row>
    <row r="70" spans="1:38" ht="31.95" customHeight="1" x14ac:dyDescent="0.3">
      <c r="A70" s="66">
        <v>44074</v>
      </c>
      <c r="B70" s="192">
        <v>0.61711805555555554</v>
      </c>
      <c r="C70" s="39"/>
      <c r="D70" s="39">
        <f>IF(I70=Categories!$E$4,VLOOKUP(H70,Categories!$A$4:$C$15,3,FALSE),VLOOKUP(I70,Categories!$E$4:$G$27,3,FALSE))</f>
        <v>60</v>
      </c>
      <c r="E70" s="39"/>
      <c r="F70" s="39"/>
      <c r="G70" s="40">
        <v>8</v>
      </c>
      <c r="H70" s="41" t="s">
        <v>78</v>
      </c>
      <c r="I70" s="68" t="s">
        <v>58</v>
      </c>
      <c r="J70" s="42"/>
      <c r="K70" s="60">
        <v>2200</v>
      </c>
      <c r="L70" s="43">
        <v>1</v>
      </c>
      <c r="M70" s="44">
        <f>IFERROR(VLOOKUP(VLOOKUP(O70,O70,1,1),Categories!$K$4:$V$17,2+VLOOKUP(L70,L70,1,FALSE),FALSE),"-"  )</f>
        <v>1.67</v>
      </c>
      <c r="N70" s="44" t="str">
        <f>IFERROR(VLOOKUP(VLOOKUP(O70,O70,1,1),Categories!$K$3:$V$17,7+VLOOKUP(L70,L70,1,FALSE),FALSE),"-")</f>
        <v>0 ATM</v>
      </c>
      <c r="O70" s="45" t="s">
        <v>83</v>
      </c>
      <c r="P70" s="46" t="s">
        <v>58</v>
      </c>
      <c r="Q70" s="47" t="s">
        <v>58</v>
      </c>
      <c r="R70" s="48"/>
      <c r="S70" s="48"/>
      <c r="T70" s="49"/>
      <c r="U70" s="61"/>
      <c r="V70" s="63">
        <v>3.6</v>
      </c>
      <c r="W70" s="63">
        <v>2.1</v>
      </c>
      <c r="X70" s="53"/>
      <c r="Y70" s="52"/>
      <c r="Z70" s="52"/>
      <c r="AA70" s="52"/>
      <c r="AB70" s="52"/>
      <c r="AC70" s="52"/>
      <c r="AD70" s="52"/>
      <c r="AE70" s="52"/>
      <c r="AF70" s="52"/>
      <c r="AG70" s="53"/>
      <c r="AH70" s="54"/>
      <c r="AI70" s="55"/>
      <c r="AJ70" s="56"/>
      <c r="AK70" s="57"/>
      <c r="AL70" s="57"/>
    </row>
    <row r="71" spans="1:38" ht="31.95" customHeight="1" x14ac:dyDescent="0.3">
      <c r="A71" s="66">
        <v>44074</v>
      </c>
      <c r="B71" s="192">
        <v>0.61783564814814818</v>
      </c>
      <c r="C71" s="39"/>
      <c r="D71" s="39">
        <f>IF(I71=Categories!$E$4,VLOOKUP(H71,Categories!$A$4:$C$15,3,FALSE),VLOOKUP(I71,Categories!$E$4:$G$27,3,FALSE))</f>
        <v>30</v>
      </c>
      <c r="E71" s="39"/>
      <c r="F71" s="39"/>
      <c r="G71" s="40" t="s">
        <v>58</v>
      </c>
      <c r="H71" s="41" t="s">
        <v>66</v>
      </c>
      <c r="I71" s="59" t="s">
        <v>67</v>
      </c>
      <c r="J71" s="42"/>
      <c r="K71" s="60">
        <v>2500</v>
      </c>
      <c r="L71" s="43">
        <v>1</v>
      </c>
      <c r="M71" s="44">
        <f>IFERROR(VLOOKUP(VLOOKUP(O71,O71,1,1),Categories!$K$4:$V$17,2+VLOOKUP(L71,L71,1,FALSE),FALSE),"-"  )</f>
        <v>1.67</v>
      </c>
      <c r="N71" s="44" t="str">
        <f>IFERROR(VLOOKUP(VLOOKUP(O71,O71,1,1),Categories!$K$3:$V$17,7+VLOOKUP(L71,L71,1,FALSE),FALSE),"-")</f>
        <v>0 ATM</v>
      </c>
      <c r="O71" s="45" t="s">
        <v>83</v>
      </c>
      <c r="P71" s="46" t="s">
        <v>58</v>
      </c>
      <c r="Q71" s="47" t="s">
        <v>58</v>
      </c>
      <c r="R71" s="48"/>
      <c r="S71" s="48"/>
      <c r="T71" s="49"/>
      <c r="U71" s="61"/>
      <c r="V71" s="50"/>
      <c r="W71" s="50"/>
      <c r="X71" s="53"/>
      <c r="Y71" s="52"/>
      <c r="Z71" s="52"/>
      <c r="AA71" s="52"/>
      <c r="AB71" s="52"/>
      <c r="AC71" s="52"/>
      <c r="AD71" s="52"/>
      <c r="AE71" s="52"/>
      <c r="AF71" s="52"/>
      <c r="AG71" s="53"/>
      <c r="AH71" s="54"/>
      <c r="AI71" s="55"/>
      <c r="AJ71" s="56"/>
      <c r="AK71" s="57"/>
      <c r="AL71" s="57"/>
    </row>
    <row r="72" spans="1:38" ht="31.95" customHeight="1" x14ac:dyDescent="0.3">
      <c r="A72" s="37">
        <v>44074</v>
      </c>
      <c r="B72" s="190">
        <v>0.61842592592592593</v>
      </c>
      <c r="C72" s="39"/>
      <c r="D72" s="39">
        <f>IF(I72=Categories!$E$4,VLOOKUP(H72,Categories!$A$4:$C$15,3,FALSE),VLOOKUP(I72,Categories!$E$4:$G$27,3,FALSE))</f>
        <v>120</v>
      </c>
      <c r="E72" s="39"/>
      <c r="F72" s="39"/>
      <c r="G72" s="40">
        <v>9</v>
      </c>
      <c r="H72" s="41" t="s">
        <v>62</v>
      </c>
      <c r="I72" s="59" t="s">
        <v>58</v>
      </c>
      <c r="J72" s="42"/>
      <c r="K72" s="60">
        <v>2500</v>
      </c>
      <c r="L72" s="43">
        <v>1</v>
      </c>
      <c r="M72" s="44">
        <f>IFERROR(VLOOKUP(VLOOKUP(O72,O72,1,1),Categories!$K$4:$V$17,2+VLOOKUP(L72,L72,1,FALSE),FALSE),"-"  )</f>
        <v>1.67</v>
      </c>
      <c r="N72" s="44" t="str">
        <f>IFERROR(VLOOKUP(VLOOKUP(O72,O72,1,1),Categories!$K$3:$V$17,7+VLOOKUP(L72,L72,1,FALSE),FALSE),"-")</f>
        <v>0 ATM</v>
      </c>
      <c r="O72" s="45" t="s">
        <v>83</v>
      </c>
      <c r="P72" s="46" t="s">
        <v>58</v>
      </c>
      <c r="Q72" s="47" t="s">
        <v>58</v>
      </c>
      <c r="R72" s="61"/>
      <c r="S72" s="61"/>
      <c r="T72" s="62"/>
      <c r="U72" s="61"/>
      <c r="V72" s="63">
        <v>4.2</v>
      </c>
      <c r="W72" s="63">
        <v>3</v>
      </c>
      <c r="X72" s="51">
        <v>5.51</v>
      </c>
      <c r="Y72" s="64"/>
      <c r="Z72" s="64"/>
      <c r="AA72" s="64"/>
      <c r="AB72" s="64"/>
      <c r="AC72" s="64"/>
      <c r="AD72" s="64"/>
      <c r="AE72" s="64"/>
      <c r="AF72" s="64"/>
      <c r="AG72" s="51"/>
      <c r="AH72" s="65"/>
      <c r="AI72" s="55"/>
      <c r="AJ72" s="57"/>
      <c r="AK72" s="57"/>
      <c r="AL72" s="57"/>
    </row>
    <row r="73" spans="1:38" ht="31.95" customHeight="1" x14ac:dyDescent="0.3">
      <c r="A73" s="37">
        <v>44074</v>
      </c>
      <c r="B73" s="190">
        <v>0.61983796296296301</v>
      </c>
      <c r="C73" s="39"/>
      <c r="D73" s="39">
        <f>IF(I73=Categories!$E$4,VLOOKUP(H73,Categories!$A$4:$C$15,3,FALSE),VLOOKUP(I73,Categories!$E$4:$G$27,3,FALSE))</f>
        <v>30</v>
      </c>
      <c r="E73" s="39"/>
      <c r="F73" s="39"/>
      <c r="G73" s="40">
        <v>9</v>
      </c>
      <c r="H73" s="41" t="s">
        <v>66</v>
      </c>
      <c r="I73" s="59" t="s">
        <v>345</v>
      </c>
      <c r="J73" s="42"/>
      <c r="K73" s="60">
        <v>2500</v>
      </c>
      <c r="L73" s="43">
        <v>2</v>
      </c>
      <c r="M73" s="44">
        <f>IFERROR(VLOOKUP(VLOOKUP(O73,O73,1,1),Categories!$K$4:$V$17,2+VLOOKUP(L73,L73,1,FALSE),FALSE),"-"  )</f>
        <v>7.3</v>
      </c>
      <c r="N73" s="44" t="str">
        <f>IFERROR(VLOOKUP(VLOOKUP(O73,O73,1,1),Categories!$K$3:$V$17,7+VLOOKUP(L73,L73,1,FALSE),FALSE),"-")</f>
        <v>4 ATM</v>
      </c>
      <c r="O73" s="45" t="s">
        <v>83</v>
      </c>
      <c r="P73" s="46" t="s">
        <v>58</v>
      </c>
      <c r="Q73" s="47" t="s">
        <v>58</v>
      </c>
      <c r="R73" s="61"/>
      <c r="S73" s="61"/>
      <c r="T73" s="62"/>
      <c r="U73" s="61"/>
      <c r="V73" s="63"/>
      <c r="W73" s="63"/>
      <c r="X73" s="51"/>
      <c r="Y73" s="64"/>
      <c r="Z73" s="64"/>
      <c r="AA73" s="64"/>
      <c r="AB73" s="64"/>
      <c r="AC73" s="64"/>
      <c r="AD73" s="64"/>
      <c r="AE73" s="64"/>
      <c r="AF73" s="64"/>
      <c r="AG73" s="51"/>
      <c r="AH73" s="65"/>
      <c r="AI73" s="55"/>
      <c r="AJ73" s="57"/>
      <c r="AK73" s="57"/>
      <c r="AL73" s="57"/>
    </row>
    <row r="74" spans="1:38" ht="31.95" customHeight="1" x14ac:dyDescent="0.3">
      <c r="A74" s="66">
        <v>44074</v>
      </c>
      <c r="B74" s="192">
        <v>0.62059027777777775</v>
      </c>
      <c r="C74" s="39"/>
      <c r="D74" s="39">
        <f>IF(I74=Categories!$E$4,VLOOKUP(H74,Categories!$A$4:$C$15,3,FALSE),VLOOKUP(I74,Categories!$E$4:$G$27,3,FALSE))</f>
        <v>120</v>
      </c>
      <c r="E74" s="39"/>
      <c r="F74" s="39"/>
      <c r="G74" s="40">
        <v>9</v>
      </c>
      <c r="H74" s="41" t="s">
        <v>62</v>
      </c>
      <c r="I74" s="68" t="s">
        <v>58</v>
      </c>
      <c r="J74" s="42"/>
      <c r="K74" s="60">
        <v>2500</v>
      </c>
      <c r="L74" s="43">
        <v>2</v>
      </c>
      <c r="M74" s="44">
        <f>IFERROR(VLOOKUP(VLOOKUP(O74,O74,1,1),Categories!$K$4:$V$17,2+VLOOKUP(L74,L74,1,FALSE),FALSE),"-"  )</f>
        <v>7.3</v>
      </c>
      <c r="N74" s="44" t="str">
        <f>IFERROR(VLOOKUP(VLOOKUP(O74,O74,1,1),Categories!$K$3:$V$17,7+VLOOKUP(L74,L74,1,FALSE),FALSE),"-")</f>
        <v>4 ATM</v>
      </c>
      <c r="O74" s="45" t="s">
        <v>83</v>
      </c>
      <c r="P74" s="46" t="s">
        <v>58</v>
      </c>
      <c r="Q74" s="47" t="s">
        <v>58</v>
      </c>
      <c r="R74" s="48"/>
      <c r="S74" s="48"/>
      <c r="T74" s="49"/>
      <c r="U74" s="61"/>
      <c r="V74" s="50">
        <v>4.2</v>
      </c>
      <c r="W74" s="50">
        <v>3</v>
      </c>
      <c r="X74" s="53">
        <v>5.39</v>
      </c>
      <c r="Y74" s="52"/>
      <c r="Z74" s="52"/>
      <c r="AA74" s="52"/>
      <c r="AB74" s="52"/>
      <c r="AC74" s="52"/>
      <c r="AD74" s="52"/>
      <c r="AE74" s="52"/>
      <c r="AF74" s="52"/>
      <c r="AG74" s="53"/>
      <c r="AH74" s="54"/>
      <c r="AI74" s="55"/>
      <c r="AJ74" s="56"/>
      <c r="AK74" s="57"/>
      <c r="AL74" s="57"/>
    </row>
    <row r="75" spans="1:38" ht="31.95" customHeight="1" x14ac:dyDescent="0.3">
      <c r="A75" s="66">
        <v>44074</v>
      </c>
      <c r="B75" s="192">
        <v>0.62203703703703705</v>
      </c>
      <c r="C75" s="39"/>
      <c r="D75" s="39">
        <f>IF(I75=Categories!$E$4,VLOOKUP(H75,Categories!$A$4:$C$15,3,FALSE),VLOOKUP(I75,Categories!$E$4:$G$27,3,FALSE))</f>
        <v>30</v>
      </c>
      <c r="E75" s="39"/>
      <c r="F75" s="39"/>
      <c r="G75" s="40">
        <v>9</v>
      </c>
      <c r="H75" s="41" t="s">
        <v>66</v>
      </c>
      <c r="I75" s="59" t="s">
        <v>345</v>
      </c>
      <c r="J75" s="42"/>
      <c r="K75" s="60">
        <v>2500</v>
      </c>
      <c r="L75" s="43">
        <v>3</v>
      </c>
      <c r="M75" s="44">
        <f>IFERROR(VLOOKUP(VLOOKUP(O75,O75,1,1),Categories!$K$4:$V$17,2+VLOOKUP(L75,L75,1,FALSE),FALSE),"-"  )</f>
        <v>8.52</v>
      </c>
      <c r="N75" s="44" t="str">
        <f>IFERROR(VLOOKUP(VLOOKUP(O75,O75,1,1),Categories!$K$3:$V$17,7+VLOOKUP(L75,L75,1,FALSE),FALSE),"-")</f>
        <v>13 ATM</v>
      </c>
      <c r="O75" s="45" t="s">
        <v>83</v>
      </c>
      <c r="P75" s="46" t="s">
        <v>58</v>
      </c>
      <c r="Q75" s="47" t="s">
        <v>58</v>
      </c>
      <c r="R75" s="48"/>
      <c r="S75" s="48"/>
      <c r="T75" s="49"/>
      <c r="U75" s="61"/>
      <c r="V75" s="50"/>
      <c r="W75" s="50"/>
      <c r="X75" s="53"/>
      <c r="Y75" s="52"/>
      <c r="Z75" s="52"/>
      <c r="AA75" s="52"/>
      <c r="AB75" s="52"/>
      <c r="AC75" s="52"/>
      <c r="AD75" s="52"/>
      <c r="AE75" s="52"/>
      <c r="AF75" s="52"/>
      <c r="AG75" s="53"/>
      <c r="AH75" s="54"/>
      <c r="AI75" s="55"/>
      <c r="AJ75" s="56"/>
      <c r="AK75" s="57"/>
      <c r="AL75" s="57"/>
    </row>
    <row r="76" spans="1:38" ht="31.95" customHeight="1" x14ac:dyDescent="0.3">
      <c r="A76" s="66">
        <v>44074</v>
      </c>
      <c r="B76" s="192">
        <v>0.62243055555555549</v>
      </c>
      <c r="C76" s="39"/>
      <c r="D76" s="39">
        <f>IF(I76=Categories!$E$4,VLOOKUP(H76,Categories!$A$4:$C$15,3,FALSE),VLOOKUP(I76,Categories!$E$4:$G$27,3,FALSE))</f>
        <v>120</v>
      </c>
      <c r="E76" s="39"/>
      <c r="F76" s="39"/>
      <c r="G76" s="40">
        <v>9</v>
      </c>
      <c r="H76" s="41" t="s">
        <v>62</v>
      </c>
      <c r="I76" s="68" t="s">
        <v>58</v>
      </c>
      <c r="J76" s="42"/>
      <c r="K76" s="60">
        <v>2500</v>
      </c>
      <c r="L76" s="43">
        <v>3</v>
      </c>
      <c r="M76" s="44">
        <f>IFERROR(VLOOKUP(VLOOKUP(O76,O76,1,1),Categories!$K$4:$V$17,2+VLOOKUP(L76,L76,1,FALSE),FALSE),"-"  )</f>
        <v>8.52</v>
      </c>
      <c r="N76" s="44" t="str">
        <f>IFERROR(VLOOKUP(VLOOKUP(O76,O76,1,1),Categories!$K$3:$V$17,7+VLOOKUP(L76,L76,1,FALSE),FALSE),"-")</f>
        <v>13 ATM</v>
      </c>
      <c r="O76" s="45" t="s">
        <v>83</v>
      </c>
      <c r="P76" s="46" t="s">
        <v>58</v>
      </c>
      <c r="Q76" s="47" t="s">
        <v>58</v>
      </c>
      <c r="R76" s="48"/>
      <c r="S76" s="48"/>
      <c r="T76" s="49"/>
      <c r="U76" s="61"/>
      <c r="V76" s="50">
        <v>4.2</v>
      </c>
      <c r="W76" s="50">
        <v>3</v>
      </c>
      <c r="X76" s="53">
        <v>5.32</v>
      </c>
      <c r="Y76" s="52"/>
      <c r="Z76" s="52"/>
      <c r="AA76" s="52"/>
      <c r="AB76" s="52"/>
      <c r="AC76" s="52"/>
      <c r="AD76" s="52"/>
      <c r="AE76" s="52"/>
      <c r="AF76" s="52"/>
      <c r="AG76" s="53"/>
      <c r="AH76" s="54"/>
      <c r="AI76" s="55"/>
      <c r="AJ76" s="56"/>
      <c r="AK76" s="57"/>
      <c r="AL76" s="57"/>
    </row>
    <row r="77" spans="1:38" ht="31.95" customHeight="1" x14ac:dyDescent="0.3">
      <c r="A77" s="66">
        <v>44074</v>
      </c>
      <c r="B77" s="192">
        <v>0.62425925925925929</v>
      </c>
      <c r="C77" s="39"/>
      <c r="D77" s="39">
        <f>IF(I77=Categories!$E$4,VLOOKUP(H77,Categories!$A$4:$C$15,3,FALSE),VLOOKUP(I77,Categories!$E$4:$G$27,3,FALSE))</f>
        <v>30</v>
      </c>
      <c r="E77" s="39"/>
      <c r="F77" s="39"/>
      <c r="G77" s="40">
        <v>9</v>
      </c>
      <c r="H77" s="41" t="s">
        <v>66</v>
      </c>
      <c r="I77" s="59" t="s">
        <v>322</v>
      </c>
      <c r="J77" s="42"/>
      <c r="K77" s="60">
        <v>2500</v>
      </c>
      <c r="L77" s="43">
        <v>1</v>
      </c>
      <c r="M77" s="44">
        <f>IFERROR(VLOOKUP(VLOOKUP(O77,O77,1,1),Categories!$K$4:$V$17,2+VLOOKUP(L77,L77,1,FALSE),FALSE),"-"  )</f>
        <v>1.67</v>
      </c>
      <c r="N77" s="44" t="str">
        <f>IFERROR(VLOOKUP(VLOOKUP(O77,O77,1,1),Categories!$K$3:$V$17,7+VLOOKUP(L77,L77,1,FALSE),FALSE),"-")</f>
        <v>0 ATM</v>
      </c>
      <c r="O77" s="45" t="s">
        <v>83</v>
      </c>
      <c r="P77" s="46" t="s">
        <v>58</v>
      </c>
      <c r="Q77" s="47" t="s">
        <v>58</v>
      </c>
      <c r="R77" s="48"/>
      <c r="S77" s="48"/>
      <c r="T77" s="49"/>
      <c r="U77" s="61"/>
      <c r="V77" s="50"/>
      <c r="W77" s="50"/>
      <c r="X77" s="53"/>
      <c r="Y77" s="52"/>
      <c r="Z77" s="52"/>
      <c r="AA77" s="52"/>
      <c r="AB77" s="52"/>
      <c r="AC77" s="52"/>
      <c r="AD77" s="52"/>
      <c r="AE77" s="52"/>
      <c r="AF77" s="52"/>
      <c r="AG77" s="53"/>
      <c r="AH77" s="54"/>
      <c r="AI77" s="55"/>
      <c r="AJ77" s="56"/>
      <c r="AK77" s="57"/>
      <c r="AL77" s="57"/>
    </row>
    <row r="78" spans="1:38" ht="31.95" customHeight="1" x14ac:dyDescent="0.3">
      <c r="A78" s="66">
        <v>44074</v>
      </c>
      <c r="B78" s="192">
        <v>0.62472222222222229</v>
      </c>
      <c r="C78" s="39"/>
      <c r="D78" s="39">
        <f>IF(I78=Categories!$E$4,VLOOKUP(H78,Categories!$A$4:$C$15,3,FALSE),VLOOKUP(I78,Categories!$E$4:$G$27,3,FALSE))</f>
        <v>60</v>
      </c>
      <c r="E78" s="39"/>
      <c r="F78" s="39"/>
      <c r="G78" s="40">
        <v>9</v>
      </c>
      <c r="H78" s="41" t="s">
        <v>78</v>
      </c>
      <c r="I78" s="68" t="s">
        <v>58</v>
      </c>
      <c r="J78" s="42"/>
      <c r="K78" s="60">
        <v>2500</v>
      </c>
      <c r="L78" s="43">
        <v>1</v>
      </c>
      <c r="M78" s="44">
        <f>IFERROR(VLOOKUP(VLOOKUP(O78,O78,1,1),Categories!$K$4:$V$17,2+VLOOKUP(L78,L78,1,FALSE),FALSE),"-"  )</f>
        <v>1.67</v>
      </c>
      <c r="N78" s="44" t="str">
        <f>IFERROR(VLOOKUP(VLOOKUP(O78,O78,1,1),Categories!$K$3:$V$17,7+VLOOKUP(L78,L78,1,FALSE),FALSE),"-")</f>
        <v>0 ATM</v>
      </c>
      <c r="O78" s="45" t="s">
        <v>83</v>
      </c>
      <c r="P78" s="46" t="s">
        <v>58</v>
      </c>
      <c r="Q78" s="47" t="s">
        <v>58</v>
      </c>
      <c r="R78" s="48"/>
      <c r="S78" s="48"/>
      <c r="T78" s="49"/>
      <c r="U78" s="61"/>
      <c r="V78" s="50">
        <v>4.2</v>
      </c>
      <c r="W78" s="50">
        <v>3</v>
      </c>
      <c r="X78" s="53">
        <v>5.52</v>
      </c>
      <c r="Y78" s="52"/>
      <c r="Z78" s="52"/>
      <c r="AA78" s="52"/>
      <c r="AB78" s="52"/>
      <c r="AC78" s="52"/>
      <c r="AD78" s="52"/>
      <c r="AE78" s="52"/>
      <c r="AF78" s="52"/>
      <c r="AG78" s="53"/>
      <c r="AH78" s="54"/>
      <c r="AI78" s="55"/>
      <c r="AJ78" s="56"/>
      <c r="AK78" s="57"/>
      <c r="AL78" s="57"/>
    </row>
    <row r="79" spans="1:38" ht="31.95" customHeight="1" x14ac:dyDescent="0.3">
      <c r="A79" s="66">
        <v>44074</v>
      </c>
      <c r="B79" s="192">
        <v>0.62543981481481481</v>
      </c>
      <c r="C79" s="39"/>
      <c r="D79" s="39">
        <f>IF(I79=Categories!$E$4,VLOOKUP(H79,Categories!$A$4:$C$15,3,FALSE),VLOOKUP(I79,Categories!$E$4:$G$27,3,FALSE))</f>
        <v>30</v>
      </c>
      <c r="E79" s="39"/>
      <c r="F79" s="39"/>
      <c r="G79" s="40" t="s">
        <v>58</v>
      </c>
      <c r="H79" s="41" t="s">
        <v>72</v>
      </c>
      <c r="I79" s="59" t="s">
        <v>67</v>
      </c>
      <c r="J79" s="42"/>
      <c r="K79" s="60">
        <v>2800</v>
      </c>
      <c r="L79" s="43">
        <v>1</v>
      </c>
      <c r="M79" s="44">
        <f>IFERROR(VLOOKUP(VLOOKUP(O79,O79,1,1),Categories!$K$4:$V$17,2+VLOOKUP(L79,L79,1,FALSE),FALSE),"-"  )</f>
        <v>1.67</v>
      </c>
      <c r="N79" s="44" t="str">
        <f>IFERROR(VLOOKUP(VLOOKUP(O79,O79,1,1),Categories!$K$3:$V$17,7+VLOOKUP(L79,L79,1,FALSE),FALSE),"-")</f>
        <v>0 ATM</v>
      </c>
      <c r="O79" s="45" t="s">
        <v>83</v>
      </c>
      <c r="P79" s="46" t="s">
        <v>58</v>
      </c>
      <c r="Q79" s="47" t="s">
        <v>58</v>
      </c>
      <c r="R79" s="48"/>
      <c r="S79" s="48"/>
      <c r="T79" s="49"/>
      <c r="U79" s="61"/>
      <c r="V79" s="50"/>
      <c r="W79" s="50"/>
      <c r="X79" s="53"/>
      <c r="Y79" s="52"/>
      <c r="Z79" s="52"/>
      <c r="AA79" s="52"/>
      <c r="AB79" s="52"/>
      <c r="AC79" s="52"/>
      <c r="AD79" s="52"/>
      <c r="AE79" s="52"/>
      <c r="AF79" s="52"/>
      <c r="AG79" s="53"/>
      <c r="AH79" s="54"/>
      <c r="AI79" s="55" t="s">
        <v>63</v>
      </c>
      <c r="AJ79" s="57" t="s">
        <v>343</v>
      </c>
      <c r="AK79" s="57"/>
      <c r="AL79" s="57"/>
    </row>
    <row r="80" spans="1:38" ht="31.95" customHeight="1" x14ac:dyDescent="0.3">
      <c r="A80" s="37">
        <v>44074</v>
      </c>
      <c r="B80" s="190">
        <v>0.62584490740740739</v>
      </c>
      <c r="C80" s="39"/>
      <c r="D80" s="39">
        <f>IF(I80=Categories!$E$4,VLOOKUP(H80,Categories!$A$4:$C$15,3,FALSE),VLOOKUP(I80,Categories!$E$4:$G$27,3,FALSE))</f>
        <v>120</v>
      </c>
      <c r="E80" s="39"/>
      <c r="F80" s="39"/>
      <c r="G80" s="40">
        <v>10</v>
      </c>
      <c r="H80" s="41" t="s">
        <v>62</v>
      </c>
      <c r="I80" s="59" t="s">
        <v>58</v>
      </c>
      <c r="J80" s="42"/>
      <c r="K80" s="60">
        <v>2800</v>
      </c>
      <c r="L80" s="43">
        <v>1</v>
      </c>
      <c r="M80" s="44">
        <f>IFERROR(VLOOKUP(VLOOKUP(O80,O80,1,1),Categories!$K$4:$V$17,2+VLOOKUP(L80,L80,1,FALSE),FALSE),"-"  )</f>
        <v>1.67</v>
      </c>
      <c r="N80" s="44" t="str">
        <f>IFERROR(VLOOKUP(VLOOKUP(O80,O80,1,1),Categories!$K$3:$V$17,7+VLOOKUP(L80,L80,1,FALSE),FALSE),"-")</f>
        <v>0 ATM</v>
      </c>
      <c r="O80" s="45" t="s">
        <v>83</v>
      </c>
      <c r="P80" s="46" t="s">
        <v>58</v>
      </c>
      <c r="Q80" s="47" t="s">
        <v>58</v>
      </c>
      <c r="R80" s="61"/>
      <c r="S80" s="61"/>
      <c r="T80" s="62"/>
      <c r="U80" s="61"/>
      <c r="V80" s="63">
        <v>4.7</v>
      </c>
      <c r="W80" s="63">
        <v>4.2</v>
      </c>
      <c r="X80" s="51">
        <v>6.25</v>
      </c>
      <c r="Y80" s="64"/>
      <c r="Z80" s="64"/>
      <c r="AA80" s="64"/>
      <c r="AB80" s="64"/>
      <c r="AC80" s="64"/>
      <c r="AD80" s="64"/>
      <c r="AE80" s="64"/>
      <c r="AF80" s="64"/>
      <c r="AG80" s="51"/>
      <c r="AH80" s="65"/>
      <c r="AI80" s="55" t="s">
        <v>79</v>
      </c>
      <c r="AJ80" s="57"/>
      <c r="AK80" s="57"/>
      <c r="AL80" s="57"/>
    </row>
    <row r="81" spans="1:38" ht="31.95" customHeight="1" x14ac:dyDescent="0.3">
      <c r="A81" s="37">
        <v>44074</v>
      </c>
      <c r="B81" s="190">
        <v>0.62732638888888892</v>
      </c>
      <c r="C81" s="39"/>
      <c r="D81" s="39">
        <f>IF(I81=Categories!$E$4,VLOOKUP(H81,Categories!$A$4:$C$15,3,FALSE),VLOOKUP(I81,Categories!$E$4:$G$27,3,FALSE))</f>
        <v>30</v>
      </c>
      <c r="E81" s="39"/>
      <c r="F81" s="39"/>
      <c r="G81" s="40">
        <v>10</v>
      </c>
      <c r="H81" s="41" t="s">
        <v>66</v>
      </c>
      <c r="I81" s="59" t="s">
        <v>345</v>
      </c>
      <c r="J81" s="42"/>
      <c r="K81" s="60">
        <v>2800</v>
      </c>
      <c r="L81" s="43">
        <v>2</v>
      </c>
      <c r="M81" s="44">
        <f>IFERROR(VLOOKUP(VLOOKUP(O81,O81,1,1),Categories!$K$4:$V$17,2+VLOOKUP(L81,L81,1,FALSE),FALSE),"-"  )</f>
        <v>7.3</v>
      </c>
      <c r="N81" s="44" t="str">
        <f>IFERROR(VLOOKUP(VLOOKUP(O81,O81,1,1),Categories!$K$3:$V$17,7+VLOOKUP(L81,L81,1,FALSE),FALSE),"-")</f>
        <v>4 ATM</v>
      </c>
      <c r="O81" s="45" t="s">
        <v>83</v>
      </c>
      <c r="P81" s="46" t="s">
        <v>58</v>
      </c>
      <c r="Q81" s="47" t="s">
        <v>58</v>
      </c>
      <c r="R81" s="61"/>
      <c r="S81" s="61"/>
      <c r="T81" s="62"/>
      <c r="U81" s="61"/>
      <c r="V81" s="63"/>
      <c r="W81" s="63"/>
      <c r="X81" s="51"/>
      <c r="Y81" s="64"/>
      <c r="Z81" s="64"/>
      <c r="AA81" s="64"/>
      <c r="AB81" s="64"/>
      <c r="AC81" s="64"/>
      <c r="AD81" s="64"/>
      <c r="AE81" s="64"/>
      <c r="AF81" s="64"/>
      <c r="AG81" s="51"/>
      <c r="AH81" s="65"/>
      <c r="AI81" s="55"/>
      <c r="AJ81" s="57"/>
      <c r="AK81" s="57"/>
      <c r="AL81" s="57"/>
    </row>
    <row r="82" spans="1:38" ht="31.95" customHeight="1" x14ac:dyDescent="0.3">
      <c r="A82" s="66">
        <v>44074</v>
      </c>
      <c r="B82" s="192">
        <v>0.62774305555555554</v>
      </c>
      <c r="C82" s="39"/>
      <c r="D82" s="39">
        <f>IF(I82=Categories!$E$4,VLOOKUP(H82,Categories!$A$4:$C$15,3,FALSE),VLOOKUP(I82,Categories!$E$4:$G$27,3,FALSE))</f>
        <v>120</v>
      </c>
      <c r="E82" s="39"/>
      <c r="F82" s="39"/>
      <c r="G82" s="40">
        <v>10</v>
      </c>
      <c r="H82" s="41" t="s">
        <v>62</v>
      </c>
      <c r="I82" s="68" t="s">
        <v>58</v>
      </c>
      <c r="J82" s="42"/>
      <c r="K82" s="60">
        <v>2800</v>
      </c>
      <c r="L82" s="43">
        <v>2</v>
      </c>
      <c r="M82" s="44">
        <f>IFERROR(VLOOKUP(VLOOKUP(O82,O82,1,1),Categories!$K$4:$V$17,2+VLOOKUP(L82,L82,1,FALSE),FALSE),"-"  )</f>
        <v>7.3</v>
      </c>
      <c r="N82" s="44" t="str">
        <f>IFERROR(VLOOKUP(VLOOKUP(O82,O82,1,1),Categories!$K$3:$V$17,7+VLOOKUP(L82,L82,1,FALSE),FALSE),"-")</f>
        <v>4 ATM</v>
      </c>
      <c r="O82" s="45" t="s">
        <v>83</v>
      </c>
      <c r="P82" s="46" t="s">
        <v>58</v>
      </c>
      <c r="Q82" s="47" t="s">
        <v>58</v>
      </c>
      <c r="R82" s="48"/>
      <c r="S82" s="48"/>
      <c r="T82" s="49"/>
      <c r="U82" s="61"/>
      <c r="V82" s="50">
        <v>4.7</v>
      </c>
      <c r="W82" s="50">
        <v>4.2</v>
      </c>
      <c r="X82" s="53">
        <v>6.1</v>
      </c>
      <c r="Y82" s="52"/>
      <c r="Z82" s="52"/>
      <c r="AA82" s="52"/>
      <c r="AB82" s="52"/>
      <c r="AC82" s="52"/>
      <c r="AD82" s="52"/>
      <c r="AE82" s="52"/>
      <c r="AF82" s="52"/>
      <c r="AG82" s="53"/>
      <c r="AH82" s="54"/>
      <c r="AI82" s="55" t="s">
        <v>79</v>
      </c>
      <c r="AJ82" s="56"/>
      <c r="AK82" s="57"/>
      <c r="AL82" s="57"/>
    </row>
    <row r="83" spans="1:38" ht="31.95" customHeight="1" x14ac:dyDescent="0.3">
      <c r="A83" s="66">
        <v>44074</v>
      </c>
      <c r="B83" s="192">
        <v>0.62924768518518526</v>
      </c>
      <c r="C83" s="39"/>
      <c r="D83" s="39">
        <f>IF(I83=Categories!$E$4,VLOOKUP(H83,Categories!$A$4:$C$15,3,FALSE),VLOOKUP(I83,Categories!$E$4:$G$27,3,FALSE))</f>
        <v>30</v>
      </c>
      <c r="E83" s="39"/>
      <c r="F83" s="39"/>
      <c r="G83" s="40">
        <v>10</v>
      </c>
      <c r="H83" s="41" t="s">
        <v>66</v>
      </c>
      <c r="I83" s="59" t="s">
        <v>345</v>
      </c>
      <c r="J83" s="42"/>
      <c r="K83" s="60">
        <v>2800</v>
      </c>
      <c r="L83" s="43">
        <v>3</v>
      </c>
      <c r="M83" s="44">
        <f>IFERROR(VLOOKUP(VLOOKUP(O83,O83,1,1),Categories!$K$4:$V$17,2+VLOOKUP(L83,L83,1,FALSE),FALSE),"-"  )</f>
        <v>8.52</v>
      </c>
      <c r="N83" s="44" t="str">
        <f>IFERROR(VLOOKUP(VLOOKUP(O83,O83,1,1),Categories!$K$3:$V$17,7+VLOOKUP(L83,L83,1,FALSE),FALSE),"-")</f>
        <v>13 ATM</v>
      </c>
      <c r="O83" s="45" t="s">
        <v>83</v>
      </c>
      <c r="P83" s="46" t="s">
        <v>58</v>
      </c>
      <c r="Q83" s="47" t="s">
        <v>58</v>
      </c>
      <c r="R83" s="48"/>
      <c r="S83" s="48"/>
      <c r="T83" s="49"/>
      <c r="U83" s="61"/>
      <c r="V83" s="50"/>
      <c r="W83" s="50"/>
      <c r="X83" s="53"/>
      <c r="Y83" s="52"/>
      <c r="Z83" s="52"/>
      <c r="AA83" s="52"/>
      <c r="AB83" s="52"/>
      <c r="AC83" s="52"/>
      <c r="AD83" s="52"/>
      <c r="AE83" s="52"/>
      <c r="AF83" s="52"/>
      <c r="AG83" s="53"/>
      <c r="AH83" s="54"/>
      <c r="AI83" s="55"/>
      <c r="AJ83" s="56"/>
      <c r="AK83" s="57"/>
      <c r="AL83" s="57"/>
    </row>
    <row r="84" spans="1:38" ht="31.95" customHeight="1" x14ac:dyDescent="0.3">
      <c r="A84" s="66">
        <v>44074</v>
      </c>
      <c r="B84" s="192">
        <v>0.62973379629629633</v>
      </c>
      <c r="C84" s="39"/>
      <c r="D84" s="39">
        <f>IF(I84=Categories!$E$4,VLOOKUP(H84,Categories!$A$4:$C$15,3,FALSE),VLOOKUP(I84,Categories!$E$4:$G$27,3,FALSE))</f>
        <v>120</v>
      </c>
      <c r="E84" s="39"/>
      <c r="F84" s="39"/>
      <c r="G84" s="40">
        <v>10</v>
      </c>
      <c r="H84" s="41" t="s">
        <v>62</v>
      </c>
      <c r="I84" s="68" t="s">
        <v>58</v>
      </c>
      <c r="J84" s="42"/>
      <c r="K84" s="60">
        <v>2800</v>
      </c>
      <c r="L84" s="43">
        <v>3</v>
      </c>
      <c r="M84" s="44">
        <f>IFERROR(VLOOKUP(VLOOKUP(O84,O84,1,1),Categories!$K$4:$V$17,2+VLOOKUP(L84,L84,1,FALSE),FALSE),"-"  )</f>
        <v>8.52</v>
      </c>
      <c r="N84" s="44" t="str">
        <f>IFERROR(VLOOKUP(VLOOKUP(O84,O84,1,1),Categories!$K$3:$V$17,7+VLOOKUP(L84,L84,1,FALSE),FALSE),"-")</f>
        <v>13 ATM</v>
      </c>
      <c r="O84" s="45" t="s">
        <v>83</v>
      </c>
      <c r="P84" s="46" t="s">
        <v>58</v>
      </c>
      <c r="Q84" s="47" t="s">
        <v>58</v>
      </c>
      <c r="R84" s="48"/>
      <c r="S84" s="48"/>
      <c r="T84" s="49"/>
      <c r="U84" s="61"/>
      <c r="V84" s="50">
        <v>4.7</v>
      </c>
      <c r="W84" s="50">
        <v>4.0999999999999996</v>
      </c>
      <c r="X84" s="53">
        <v>6.02</v>
      </c>
      <c r="Y84" s="52"/>
      <c r="Z84" s="52"/>
      <c r="AA84" s="52"/>
      <c r="AB84" s="52"/>
      <c r="AC84" s="52"/>
      <c r="AD84" s="52"/>
      <c r="AE84" s="52"/>
      <c r="AF84" s="52"/>
      <c r="AG84" s="53"/>
      <c r="AH84" s="54"/>
      <c r="AI84" s="55" t="s">
        <v>79</v>
      </c>
      <c r="AJ84" s="56"/>
      <c r="AK84" s="57"/>
      <c r="AL84" s="57"/>
    </row>
    <row r="85" spans="1:38" ht="31.95" customHeight="1" x14ac:dyDescent="0.3">
      <c r="A85" s="66">
        <v>44074</v>
      </c>
      <c r="B85" s="192">
        <v>0.63130787037037039</v>
      </c>
      <c r="C85" s="39"/>
      <c r="D85" s="39">
        <f>IF(I85=Categories!$E$4,VLOOKUP(H85,Categories!$A$4:$C$15,3,FALSE),VLOOKUP(I85,Categories!$E$4:$G$27,3,FALSE))</f>
        <v>30</v>
      </c>
      <c r="E85" s="39"/>
      <c r="F85" s="39"/>
      <c r="G85" s="40">
        <v>10</v>
      </c>
      <c r="H85" s="41" t="s">
        <v>66</v>
      </c>
      <c r="I85" s="59" t="s">
        <v>322</v>
      </c>
      <c r="J85" s="42"/>
      <c r="K85" s="60">
        <v>2800</v>
      </c>
      <c r="L85" s="43">
        <v>1</v>
      </c>
      <c r="M85" s="44">
        <f>IFERROR(VLOOKUP(VLOOKUP(O85,O85,1,1),Categories!$K$4:$V$17,2+VLOOKUP(L85,L85,1,FALSE),FALSE),"-"  )</f>
        <v>1.67</v>
      </c>
      <c r="N85" s="44" t="str">
        <f>IFERROR(VLOOKUP(VLOOKUP(O85,O85,1,1),Categories!$K$3:$V$17,7+VLOOKUP(L85,L85,1,FALSE),FALSE),"-")</f>
        <v>0 ATM</v>
      </c>
      <c r="O85" s="45" t="s">
        <v>83</v>
      </c>
      <c r="P85" s="46" t="s">
        <v>58</v>
      </c>
      <c r="Q85" s="47" t="s">
        <v>58</v>
      </c>
      <c r="R85" s="48"/>
      <c r="S85" s="48"/>
      <c r="T85" s="49"/>
      <c r="U85" s="61"/>
      <c r="V85" s="50"/>
      <c r="W85" s="50"/>
      <c r="X85" s="53"/>
      <c r="Y85" s="52"/>
      <c r="Z85" s="52"/>
      <c r="AA85" s="52"/>
      <c r="AB85" s="52"/>
      <c r="AC85" s="52"/>
      <c r="AD85" s="52"/>
      <c r="AE85" s="52"/>
      <c r="AF85" s="52"/>
      <c r="AG85" s="53"/>
      <c r="AH85" s="54"/>
      <c r="AI85" s="55"/>
      <c r="AJ85" s="56"/>
      <c r="AK85" s="57"/>
      <c r="AL85" s="57"/>
    </row>
    <row r="86" spans="1:38" ht="31.95" customHeight="1" x14ac:dyDescent="0.3">
      <c r="A86" s="66">
        <v>44074</v>
      </c>
      <c r="B86" s="192">
        <v>0.63193287037037038</v>
      </c>
      <c r="C86" s="39"/>
      <c r="D86" s="39">
        <f>IF(I86=Categories!$E$4,VLOOKUP(H86,Categories!$A$4:$C$15,3,FALSE),VLOOKUP(I86,Categories!$E$4:$G$27,3,FALSE))</f>
        <v>60</v>
      </c>
      <c r="E86" s="39"/>
      <c r="F86" s="39"/>
      <c r="G86" s="40">
        <v>10</v>
      </c>
      <c r="H86" s="41" t="s">
        <v>78</v>
      </c>
      <c r="I86" s="68" t="s">
        <v>58</v>
      </c>
      <c r="J86" s="42"/>
      <c r="K86" s="60">
        <v>2800</v>
      </c>
      <c r="L86" s="43">
        <v>1</v>
      </c>
      <c r="M86" s="44">
        <f>IFERROR(VLOOKUP(VLOOKUP(O86,O86,1,1),Categories!$K$4:$V$17,2+VLOOKUP(L86,L86,1,FALSE),FALSE),"-"  )</f>
        <v>1.67</v>
      </c>
      <c r="N86" s="44" t="str">
        <f>IFERROR(VLOOKUP(VLOOKUP(O86,O86,1,1),Categories!$K$3:$V$17,7+VLOOKUP(L86,L86,1,FALSE),FALSE),"-")</f>
        <v>0 ATM</v>
      </c>
      <c r="O86" s="45" t="s">
        <v>83</v>
      </c>
      <c r="P86" s="46" t="s">
        <v>58</v>
      </c>
      <c r="Q86" s="47" t="s">
        <v>58</v>
      </c>
      <c r="R86" s="48"/>
      <c r="S86" s="48"/>
      <c r="T86" s="49"/>
      <c r="U86" s="61"/>
      <c r="V86" s="50">
        <v>4.7</v>
      </c>
      <c r="W86" s="50">
        <v>4.0999999999999996</v>
      </c>
      <c r="X86" s="53">
        <v>6.23</v>
      </c>
      <c r="Y86" s="52"/>
      <c r="Z86" s="52"/>
      <c r="AA86" s="52"/>
      <c r="AB86" s="52"/>
      <c r="AC86" s="52"/>
      <c r="AD86" s="52"/>
      <c r="AE86" s="52"/>
      <c r="AF86" s="52"/>
      <c r="AG86" s="53"/>
      <c r="AH86" s="54"/>
      <c r="AI86" s="55"/>
      <c r="AJ86" s="56"/>
      <c r="AK86" s="57"/>
      <c r="AL86" s="57"/>
    </row>
    <row r="87" spans="1:38" ht="31.95" customHeight="1" x14ac:dyDescent="0.3">
      <c r="A87" s="66">
        <v>44074</v>
      </c>
      <c r="B87" s="192">
        <v>0.63283564814814819</v>
      </c>
      <c r="C87" s="39"/>
      <c r="D87" s="39">
        <f>IF(I87=Categories!$E$4,VLOOKUP(H87,Categories!$A$4:$C$15,3,FALSE),VLOOKUP(I87,Categories!$E$4:$G$27,3,FALSE))</f>
        <v>30</v>
      </c>
      <c r="E87" s="39"/>
      <c r="F87" s="39"/>
      <c r="G87" s="40" t="s">
        <v>58</v>
      </c>
      <c r="H87" s="41" t="s">
        <v>66</v>
      </c>
      <c r="I87" s="59" t="s">
        <v>67</v>
      </c>
      <c r="J87" s="42"/>
      <c r="K87" s="60">
        <v>3100</v>
      </c>
      <c r="L87" s="43">
        <v>1</v>
      </c>
      <c r="M87" s="44">
        <f>IFERROR(VLOOKUP(VLOOKUP(O87,O87,1,1),Categories!$K$4:$V$17,2+VLOOKUP(L87,L87,1,FALSE),FALSE),"-"  )</f>
        <v>1.67</v>
      </c>
      <c r="N87" s="44" t="str">
        <f>IFERROR(VLOOKUP(VLOOKUP(O87,O87,1,1),Categories!$K$3:$V$17,7+VLOOKUP(L87,L87,1,FALSE),FALSE),"-")</f>
        <v>0 ATM</v>
      </c>
      <c r="O87" s="45" t="s">
        <v>83</v>
      </c>
      <c r="P87" s="46" t="s">
        <v>58</v>
      </c>
      <c r="Q87" s="47" t="s">
        <v>58</v>
      </c>
      <c r="R87" s="48"/>
      <c r="S87" s="48"/>
      <c r="T87" s="49"/>
      <c r="U87" s="61"/>
      <c r="V87" s="50"/>
      <c r="W87" s="50"/>
      <c r="X87" s="53"/>
      <c r="Y87" s="52"/>
      <c r="Z87" s="52"/>
      <c r="AA87" s="52"/>
      <c r="AB87" s="52"/>
      <c r="AC87" s="52"/>
      <c r="AD87" s="52"/>
      <c r="AE87" s="52"/>
      <c r="AF87" s="52"/>
      <c r="AG87" s="53"/>
      <c r="AH87" s="54"/>
      <c r="AI87" s="55"/>
      <c r="AJ87" s="56"/>
      <c r="AK87" s="57"/>
      <c r="AL87" s="57"/>
    </row>
    <row r="88" spans="1:38" ht="31.95" customHeight="1" x14ac:dyDescent="0.3">
      <c r="A88" s="37">
        <v>44074</v>
      </c>
      <c r="B88" s="190">
        <v>0.633275462962963</v>
      </c>
      <c r="C88" s="39"/>
      <c r="D88" s="39">
        <f>IF(I88=Categories!$E$4,VLOOKUP(H88,Categories!$A$4:$C$15,3,FALSE),VLOOKUP(I88,Categories!$E$4:$G$27,3,FALSE))</f>
        <v>120</v>
      </c>
      <c r="E88" s="39"/>
      <c r="F88" s="39"/>
      <c r="G88" s="40">
        <v>11</v>
      </c>
      <c r="H88" s="41" t="s">
        <v>62</v>
      </c>
      <c r="I88" s="59" t="s">
        <v>58</v>
      </c>
      <c r="J88" s="42"/>
      <c r="K88" s="60">
        <v>3100</v>
      </c>
      <c r="L88" s="43">
        <v>1</v>
      </c>
      <c r="M88" s="44">
        <f>IFERROR(VLOOKUP(VLOOKUP(O88,O88,1,1),Categories!$K$4:$V$17,2+VLOOKUP(L88,L88,1,FALSE),FALSE),"-"  )</f>
        <v>1.67</v>
      </c>
      <c r="N88" s="44" t="str">
        <f>IFERROR(VLOOKUP(VLOOKUP(O88,O88,1,1),Categories!$K$3:$V$17,7+VLOOKUP(L88,L88,1,FALSE),FALSE),"-")</f>
        <v>0 ATM</v>
      </c>
      <c r="O88" s="45" t="s">
        <v>83</v>
      </c>
      <c r="P88" s="46" t="s">
        <v>58</v>
      </c>
      <c r="Q88" s="47" t="s">
        <v>58</v>
      </c>
      <c r="R88" s="61"/>
      <c r="S88" s="61"/>
      <c r="T88" s="62"/>
      <c r="U88" s="61"/>
      <c r="V88" s="63">
        <v>5.5</v>
      </c>
      <c r="W88" s="63">
        <v>5.6</v>
      </c>
      <c r="X88" s="51">
        <v>6.97</v>
      </c>
      <c r="Y88" s="64"/>
      <c r="Z88" s="64"/>
      <c r="AA88" s="64"/>
      <c r="AB88" s="64"/>
      <c r="AC88" s="64"/>
      <c r="AD88" s="64"/>
      <c r="AE88" s="64"/>
      <c r="AF88" s="64"/>
      <c r="AG88" s="51"/>
      <c r="AH88" s="65"/>
      <c r="AI88" s="55"/>
      <c r="AJ88" s="57"/>
      <c r="AK88" s="57"/>
      <c r="AL88" s="57"/>
    </row>
    <row r="89" spans="1:38" ht="31.95" customHeight="1" x14ac:dyDescent="0.3">
      <c r="A89" s="37">
        <v>44074</v>
      </c>
      <c r="B89" s="190">
        <v>0.63510416666666669</v>
      </c>
      <c r="C89" s="39"/>
      <c r="D89" s="39">
        <f>IF(I89=Categories!$E$4,VLOOKUP(H89,Categories!$A$4:$C$15,3,FALSE),VLOOKUP(I89,Categories!$E$4:$G$27,3,FALSE))</f>
        <v>30</v>
      </c>
      <c r="E89" s="39"/>
      <c r="F89" s="39"/>
      <c r="G89" s="40">
        <v>11</v>
      </c>
      <c r="H89" s="41" t="s">
        <v>66</v>
      </c>
      <c r="I89" s="59" t="s">
        <v>345</v>
      </c>
      <c r="J89" s="42"/>
      <c r="K89" s="60">
        <v>3100</v>
      </c>
      <c r="L89" s="43">
        <v>2</v>
      </c>
      <c r="M89" s="44">
        <f>IFERROR(VLOOKUP(VLOOKUP(O89,O89,1,1),Categories!$K$4:$V$17,2+VLOOKUP(L89,L89,1,FALSE),FALSE),"-"  )</f>
        <v>7.3</v>
      </c>
      <c r="N89" s="44" t="str">
        <f>IFERROR(VLOOKUP(VLOOKUP(O89,O89,1,1),Categories!$K$3:$V$17,7+VLOOKUP(L89,L89,1,FALSE),FALSE),"-")</f>
        <v>4 ATM</v>
      </c>
      <c r="O89" s="45" t="s">
        <v>83</v>
      </c>
      <c r="P89" s="46" t="s">
        <v>58</v>
      </c>
      <c r="Q89" s="47" t="s">
        <v>58</v>
      </c>
      <c r="R89" s="61"/>
      <c r="S89" s="61"/>
      <c r="T89" s="62"/>
      <c r="U89" s="61"/>
      <c r="V89" s="63"/>
      <c r="W89" s="63"/>
      <c r="X89" s="51"/>
      <c r="Y89" s="64"/>
      <c r="Z89" s="64"/>
      <c r="AA89" s="64"/>
      <c r="AB89" s="64"/>
      <c r="AC89" s="64"/>
      <c r="AD89" s="64"/>
      <c r="AE89" s="64"/>
      <c r="AF89" s="64"/>
      <c r="AG89" s="51"/>
      <c r="AH89" s="65"/>
      <c r="AI89" s="55"/>
      <c r="AJ89" s="57"/>
      <c r="AK89" s="57"/>
      <c r="AL89" s="57"/>
    </row>
    <row r="90" spans="1:38" ht="31.95" customHeight="1" x14ac:dyDescent="0.3">
      <c r="A90" s="66">
        <v>44074</v>
      </c>
      <c r="B90" s="192">
        <v>0.63557870370370373</v>
      </c>
      <c r="C90" s="39"/>
      <c r="D90" s="39">
        <f>IF(I90=Categories!$E$4,VLOOKUP(H90,Categories!$A$4:$C$15,3,FALSE),VLOOKUP(I90,Categories!$E$4:$G$27,3,FALSE))</f>
        <v>120</v>
      </c>
      <c r="E90" s="39"/>
      <c r="F90" s="39"/>
      <c r="G90" s="40">
        <v>11</v>
      </c>
      <c r="H90" s="41" t="s">
        <v>62</v>
      </c>
      <c r="I90" s="68" t="s">
        <v>58</v>
      </c>
      <c r="J90" s="42"/>
      <c r="K90" s="60">
        <v>3100</v>
      </c>
      <c r="L90" s="43">
        <v>2</v>
      </c>
      <c r="M90" s="44">
        <f>IFERROR(VLOOKUP(VLOOKUP(O90,O90,1,1),Categories!$K$4:$V$17,2+VLOOKUP(L90,L90,1,FALSE),FALSE),"-"  )</f>
        <v>7.3</v>
      </c>
      <c r="N90" s="44" t="str">
        <f>IFERROR(VLOOKUP(VLOOKUP(O90,O90,1,1),Categories!$K$3:$V$17,7+VLOOKUP(L90,L90,1,FALSE),FALSE),"-")</f>
        <v>4 ATM</v>
      </c>
      <c r="O90" s="45" t="s">
        <v>83</v>
      </c>
      <c r="P90" s="46" t="s">
        <v>58</v>
      </c>
      <c r="Q90" s="47" t="s">
        <v>58</v>
      </c>
      <c r="R90" s="48"/>
      <c r="S90" s="48"/>
      <c r="T90" s="49"/>
      <c r="U90" s="61"/>
      <c r="V90" s="50">
        <v>5.5</v>
      </c>
      <c r="W90" s="50">
        <v>5.6</v>
      </c>
      <c r="X90" s="53">
        <v>6.84</v>
      </c>
      <c r="Y90" s="52"/>
      <c r="Z90" s="52"/>
      <c r="AA90" s="52"/>
      <c r="AB90" s="52"/>
      <c r="AC90" s="52"/>
      <c r="AD90" s="52"/>
      <c r="AE90" s="52"/>
      <c r="AF90" s="52"/>
      <c r="AG90" s="53"/>
      <c r="AH90" s="54"/>
      <c r="AI90" s="55"/>
      <c r="AJ90" s="56"/>
      <c r="AK90" s="57"/>
      <c r="AL90" s="57"/>
    </row>
    <row r="91" spans="1:38" ht="31.95" customHeight="1" x14ac:dyDescent="0.3">
      <c r="A91" s="66">
        <v>44074</v>
      </c>
      <c r="B91" s="192">
        <v>0.63758101851851856</v>
      </c>
      <c r="C91" s="39"/>
      <c r="D91" s="39">
        <f>IF(I91=Categories!$E$4,VLOOKUP(H91,Categories!$A$4:$C$15,3,FALSE),VLOOKUP(I91,Categories!$E$4:$G$27,3,FALSE))</f>
        <v>30</v>
      </c>
      <c r="E91" s="39"/>
      <c r="F91" s="39"/>
      <c r="G91" s="40">
        <v>11</v>
      </c>
      <c r="H91" s="41" t="s">
        <v>66</v>
      </c>
      <c r="I91" s="59" t="s">
        <v>345</v>
      </c>
      <c r="J91" s="42"/>
      <c r="K91" s="60">
        <v>3100</v>
      </c>
      <c r="L91" s="43">
        <v>3</v>
      </c>
      <c r="M91" s="44">
        <f>IFERROR(VLOOKUP(VLOOKUP(O91,O91,1,1),Categories!$K$4:$V$17,2+VLOOKUP(L91,L91,1,FALSE),FALSE),"-"  )</f>
        <v>8.52</v>
      </c>
      <c r="N91" s="44" t="str">
        <f>IFERROR(VLOOKUP(VLOOKUP(O91,O91,1,1),Categories!$K$3:$V$17,7+VLOOKUP(L91,L91,1,FALSE),FALSE),"-")</f>
        <v>13 ATM</v>
      </c>
      <c r="O91" s="45" t="s">
        <v>83</v>
      </c>
      <c r="P91" s="46" t="s">
        <v>58</v>
      </c>
      <c r="Q91" s="47" t="s">
        <v>58</v>
      </c>
      <c r="R91" s="48"/>
      <c r="S91" s="48"/>
      <c r="T91" s="49"/>
      <c r="U91" s="61"/>
      <c r="V91" s="50"/>
      <c r="W91" s="50"/>
      <c r="X91" s="53"/>
      <c r="Y91" s="52"/>
      <c r="Z91" s="52"/>
      <c r="AA91" s="52"/>
      <c r="AB91" s="52"/>
      <c r="AC91" s="52"/>
      <c r="AD91" s="52"/>
      <c r="AE91" s="52"/>
      <c r="AF91" s="52"/>
      <c r="AG91" s="53"/>
      <c r="AH91" s="54"/>
      <c r="AI91" s="55"/>
      <c r="AJ91" s="56"/>
      <c r="AK91" s="57"/>
      <c r="AL91" s="57"/>
    </row>
    <row r="92" spans="1:38" ht="31.95" customHeight="1" x14ac:dyDescent="0.3">
      <c r="A92" s="66">
        <v>44074</v>
      </c>
      <c r="B92" s="192">
        <v>0.63798611111111114</v>
      </c>
      <c r="C92" s="39"/>
      <c r="D92" s="39">
        <f>IF(I92=Categories!$E$4,VLOOKUP(H92,Categories!$A$4:$C$15,3,FALSE),VLOOKUP(I92,Categories!$E$4:$G$27,3,FALSE))</f>
        <v>120</v>
      </c>
      <c r="E92" s="39"/>
      <c r="F92" s="39"/>
      <c r="G92" s="40">
        <v>11</v>
      </c>
      <c r="H92" s="41" t="s">
        <v>62</v>
      </c>
      <c r="I92" s="68" t="s">
        <v>58</v>
      </c>
      <c r="J92" s="42"/>
      <c r="K92" s="60">
        <v>3100</v>
      </c>
      <c r="L92" s="43">
        <v>3</v>
      </c>
      <c r="M92" s="44">
        <f>IFERROR(VLOOKUP(VLOOKUP(O92,O92,1,1),Categories!$K$4:$V$17,2+VLOOKUP(L92,L92,1,FALSE),FALSE),"-"  )</f>
        <v>8.52</v>
      </c>
      <c r="N92" s="44" t="str">
        <f>IFERROR(VLOOKUP(VLOOKUP(O92,O92,1,1),Categories!$K$3:$V$17,7+VLOOKUP(L92,L92,1,FALSE),FALSE),"-")</f>
        <v>13 ATM</v>
      </c>
      <c r="O92" s="45" t="s">
        <v>83</v>
      </c>
      <c r="P92" s="46" t="s">
        <v>58</v>
      </c>
      <c r="Q92" s="47" t="s">
        <v>58</v>
      </c>
      <c r="R92" s="48"/>
      <c r="S92" s="48"/>
      <c r="T92" s="49"/>
      <c r="U92" s="61"/>
      <c r="V92" s="50">
        <v>5.5</v>
      </c>
      <c r="W92" s="50">
        <v>5.6</v>
      </c>
      <c r="X92" s="53"/>
      <c r="Y92" s="52"/>
      <c r="Z92" s="52"/>
      <c r="AA92" s="52"/>
      <c r="AB92" s="52"/>
      <c r="AC92" s="52"/>
      <c r="AD92" s="52"/>
      <c r="AE92" s="52"/>
      <c r="AF92" s="52"/>
      <c r="AG92" s="53"/>
      <c r="AH92" s="54"/>
      <c r="AI92" s="55"/>
      <c r="AJ92" s="56"/>
      <c r="AK92" s="57"/>
      <c r="AL92" s="57"/>
    </row>
    <row r="93" spans="1:38" ht="31.95" customHeight="1" x14ac:dyDescent="0.3">
      <c r="A93" s="66">
        <v>44074</v>
      </c>
      <c r="B93" s="192">
        <v>0.63957175925925924</v>
      </c>
      <c r="C93" s="39"/>
      <c r="D93" s="39">
        <f>IF(I93=Categories!$E$4,VLOOKUP(H93,Categories!$A$4:$C$15,3,FALSE),VLOOKUP(I93,Categories!$E$4:$G$27,3,FALSE))</f>
        <v>30</v>
      </c>
      <c r="E93" s="39"/>
      <c r="F93" s="39"/>
      <c r="G93" s="40">
        <v>11</v>
      </c>
      <c r="H93" s="41" t="s">
        <v>66</v>
      </c>
      <c r="I93" s="59" t="s">
        <v>322</v>
      </c>
      <c r="J93" s="42"/>
      <c r="K93" s="60">
        <v>3100</v>
      </c>
      <c r="L93" s="43">
        <v>1</v>
      </c>
      <c r="M93" s="44">
        <f>IFERROR(VLOOKUP(VLOOKUP(O93,O93,1,1),Categories!$K$4:$V$17,2+VLOOKUP(L93,L93,1,FALSE),FALSE),"-"  )</f>
        <v>1.67</v>
      </c>
      <c r="N93" s="44" t="str">
        <f>IFERROR(VLOOKUP(VLOOKUP(O93,O93,1,1),Categories!$K$3:$V$17,7+VLOOKUP(L93,L93,1,FALSE),FALSE),"-")</f>
        <v>0 ATM</v>
      </c>
      <c r="O93" s="45" t="s">
        <v>83</v>
      </c>
      <c r="P93" s="46" t="s">
        <v>58</v>
      </c>
      <c r="Q93" s="47" t="s">
        <v>58</v>
      </c>
      <c r="R93" s="48"/>
      <c r="S93" s="48"/>
      <c r="T93" s="49"/>
      <c r="U93" s="61"/>
      <c r="V93" s="50"/>
      <c r="W93" s="50"/>
      <c r="X93" s="53"/>
      <c r="Y93" s="52"/>
      <c r="Z93" s="52"/>
      <c r="AA93" s="52"/>
      <c r="AB93" s="52"/>
      <c r="AC93" s="52"/>
      <c r="AD93" s="52"/>
      <c r="AE93" s="52"/>
      <c r="AF93" s="52"/>
      <c r="AG93" s="53"/>
      <c r="AH93" s="54"/>
      <c r="AI93" s="55"/>
      <c r="AJ93" s="56"/>
      <c r="AK93" s="57"/>
      <c r="AL93" s="57"/>
    </row>
    <row r="94" spans="1:38" ht="31.95" customHeight="1" x14ac:dyDescent="0.3">
      <c r="A94" s="66">
        <v>44074</v>
      </c>
      <c r="B94" s="192">
        <v>0.63993055555555556</v>
      </c>
      <c r="C94" s="39"/>
      <c r="D94" s="39">
        <f>IF(I94=Categories!$E$4,VLOOKUP(H94,Categories!$A$4:$C$15,3,FALSE),VLOOKUP(I94,Categories!$E$4:$G$27,3,FALSE))</f>
        <v>60</v>
      </c>
      <c r="E94" s="39"/>
      <c r="F94" s="39"/>
      <c r="G94" s="40">
        <v>11</v>
      </c>
      <c r="H94" s="41" t="s">
        <v>78</v>
      </c>
      <c r="I94" s="68" t="s">
        <v>58</v>
      </c>
      <c r="J94" s="42"/>
      <c r="K94" s="60">
        <v>3100</v>
      </c>
      <c r="L94" s="43">
        <v>1</v>
      </c>
      <c r="M94" s="44">
        <f>IFERROR(VLOOKUP(VLOOKUP(O94,O94,1,1),Categories!$K$4:$V$17,2+VLOOKUP(L94,L94,1,FALSE),FALSE),"-"  )</f>
        <v>1.67</v>
      </c>
      <c r="N94" s="44" t="str">
        <f>IFERROR(VLOOKUP(VLOOKUP(O94,O94,1,1),Categories!$K$3:$V$17,7+VLOOKUP(L94,L94,1,FALSE),FALSE),"-")</f>
        <v>0 ATM</v>
      </c>
      <c r="O94" s="45" t="s">
        <v>83</v>
      </c>
      <c r="P94" s="46" t="s">
        <v>58</v>
      </c>
      <c r="Q94" s="47" t="s">
        <v>58</v>
      </c>
      <c r="R94" s="48"/>
      <c r="S94" s="48"/>
      <c r="T94" s="49"/>
      <c r="U94" s="61"/>
      <c r="V94" s="50">
        <v>5.5</v>
      </c>
      <c r="W94" s="50">
        <v>5.6</v>
      </c>
      <c r="X94" s="53"/>
      <c r="Y94" s="52"/>
      <c r="Z94" s="52"/>
      <c r="AA94" s="52"/>
      <c r="AB94" s="52"/>
      <c r="AC94" s="52"/>
      <c r="AD94" s="52"/>
      <c r="AE94" s="52"/>
      <c r="AF94" s="52"/>
      <c r="AG94" s="53"/>
      <c r="AH94" s="54"/>
      <c r="AI94" s="55"/>
      <c r="AJ94" s="56"/>
      <c r="AK94" s="57"/>
      <c r="AL94" s="57"/>
    </row>
    <row r="95" spans="1:38" ht="31.95" customHeight="1" x14ac:dyDescent="0.3">
      <c r="A95" s="66">
        <v>44074</v>
      </c>
      <c r="B95" s="192">
        <v>0.64076388888888891</v>
      </c>
      <c r="C95" s="39"/>
      <c r="D95" s="39">
        <f>IF(I95=Categories!$E$4,VLOOKUP(H95,Categories!$A$4:$C$15,3,FALSE),VLOOKUP(I95,Categories!$E$4:$G$27,3,FALSE))</f>
        <v>30</v>
      </c>
      <c r="E95" s="39"/>
      <c r="F95" s="39"/>
      <c r="G95" s="40" t="s">
        <v>58</v>
      </c>
      <c r="H95" s="41" t="s">
        <v>72</v>
      </c>
      <c r="I95" s="59" t="s">
        <v>67</v>
      </c>
      <c r="J95" s="42"/>
      <c r="K95" s="60">
        <v>2200</v>
      </c>
      <c r="L95" s="43">
        <v>1</v>
      </c>
      <c r="M95" s="44">
        <f>IFERROR(VLOOKUP(VLOOKUP(O95,O95,1,1),Categories!$K$4:$V$17,2+VLOOKUP(L95,L95,1,FALSE),FALSE),"-"  )</f>
        <v>1.67</v>
      </c>
      <c r="N95" s="44" t="str">
        <f>IFERROR(VLOOKUP(VLOOKUP(O95,O95,1,1),Categories!$K$3:$V$17,7+VLOOKUP(L95,L95,1,FALSE),FALSE),"-")</f>
        <v>0 ATM</v>
      </c>
      <c r="O95" s="45" t="s">
        <v>83</v>
      </c>
      <c r="P95" s="46" t="s">
        <v>58</v>
      </c>
      <c r="Q95" s="47" t="s">
        <v>58</v>
      </c>
      <c r="R95" s="48"/>
      <c r="S95" s="48"/>
      <c r="T95" s="49"/>
      <c r="U95" s="61"/>
      <c r="V95" s="50"/>
      <c r="W95" s="50"/>
      <c r="X95" s="53"/>
      <c r="Y95" s="52"/>
      <c r="Z95" s="52"/>
      <c r="AA95" s="52"/>
      <c r="AB95" s="52"/>
      <c r="AC95" s="52"/>
      <c r="AD95" s="52"/>
      <c r="AE95" s="52"/>
      <c r="AF95" s="52"/>
      <c r="AG95" s="53"/>
      <c r="AH95" s="54"/>
      <c r="AI95" s="55"/>
      <c r="AJ95" s="56"/>
      <c r="AK95" s="57"/>
      <c r="AL95" s="57"/>
    </row>
    <row r="96" spans="1:38" ht="31.95" customHeight="1" x14ac:dyDescent="0.3">
      <c r="A96" s="37"/>
      <c r="B96" s="38"/>
      <c r="C96" s="39"/>
      <c r="D96" s="39" t="str">
        <f>IF(I96=Categories!$E$4,VLOOKUP(H96,Categories!$A$4:$C$15,3,FALSE),VLOOKUP(I96,Categories!$E$4:$G$27,3,FALSE))</f>
        <v>-</v>
      </c>
      <c r="E96" s="39"/>
      <c r="F96" s="39"/>
      <c r="G96" s="40" t="s">
        <v>58</v>
      </c>
      <c r="H96" s="41" t="s">
        <v>72</v>
      </c>
      <c r="I96" s="59" t="s">
        <v>80</v>
      </c>
      <c r="J96" s="42"/>
      <c r="K96" s="60">
        <v>2200</v>
      </c>
      <c r="L96" s="43" t="s">
        <v>58</v>
      </c>
      <c r="M96" s="44" t="str">
        <f>IFERROR(VLOOKUP(VLOOKUP(O96,O96,1,1),Categories!$K$4:$V$17,2+VLOOKUP(L96,L96,1,FALSE),FALSE),"-"  )</f>
        <v>-</v>
      </c>
      <c r="N96" s="44" t="str">
        <f>IFERROR(VLOOKUP(VLOOKUP(O96,O96,1,1),Categories!$K$3:$V$17,7+VLOOKUP(L96,L96,1,FALSE),FALSE),"-")</f>
        <v>-</v>
      </c>
      <c r="O96" s="45" t="s">
        <v>58</v>
      </c>
      <c r="P96" s="46" t="s">
        <v>58</v>
      </c>
      <c r="Q96" s="47" t="s">
        <v>58</v>
      </c>
      <c r="R96" s="61"/>
      <c r="S96" s="61"/>
      <c r="T96" s="62"/>
      <c r="U96" s="61"/>
      <c r="V96" s="63"/>
      <c r="W96" s="63"/>
      <c r="X96" s="51"/>
      <c r="Y96" s="64"/>
      <c r="Z96" s="64"/>
      <c r="AA96" s="64"/>
      <c r="AB96" s="64"/>
      <c r="AC96" s="64"/>
      <c r="AD96" s="64"/>
      <c r="AE96" s="64"/>
      <c r="AF96" s="64"/>
      <c r="AG96" s="51"/>
      <c r="AH96" s="65"/>
      <c r="AI96" s="55"/>
      <c r="AJ96" s="57"/>
      <c r="AK96" s="57"/>
      <c r="AL96" s="57"/>
    </row>
    <row r="97" spans="1:38" ht="31.95" customHeight="1" x14ac:dyDescent="0.3">
      <c r="A97" s="37"/>
      <c r="B97" s="38"/>
      <c r="C97" s="39"/>
      <c r="D97" s="39" t="str">
        <f>IF(I97=Categories!$E$4,VLOOKUP(H97,Categories!$A$4:$C$15,3,FALSE),VLOOKUP(I97,Categories!$E$4:$G$27,3,FALSE))</f>
        <v>-</v>
      </c>
      <c r="E97" s="39"/>
      <c r="F97" s="39"/>
      <c r="G97" s="40" t="s">
        <v>58</v>
      </c>
      <c r="H97" s="41" t="s">
        <v>72</v>
      </c>
      <c r="I97" s="59" t="s">
        <v>73</v>
      </c>
      <c r="J97" s="42"/>
      <c r="K97" s="60">
        <v>2200</v>
      </c>
      <c r="L97" s="43">
        <v>1</v>
      </c>
      <c r="M97" s="44">
        <f>IFERROR(VLOOKUP(VLOOKUP(O97,O97,1,1),Categories!$K$4:$V$17,2+VLOOKUP(L97,L97,1,FALSE),FALSE),"-"  )</f>
        <v>2.33</v>
      </c>
      <c r="N97" s="44" t="str">
        <f>IFERROR(VLOOKUP(VLOOKUP(O97,O97,1,1),Categories!$K$3:$V$17,7+VLOOKUP(L97,L97,1,FALSE),FALSE),"-")</f>
        <v>0 rev.</v>
      </c>
      <c r="O97" s="45" t="s">
        <v>88</v>
      </c>
      <c r="P97" s="46" t="s">
        <v>58</v>
      </c>
      <c r="Q97" s="47" t="s">
        <v>58</v>
      </c>
      <c r="R97" s="61"/>
      <c r="S97" s="61"/>
      <c r="T97" s="62"/>
      <c r="U97" s="61"/>
      <c r="V97" s="63"/>
      <c r="W97" s="63"/>
      <c r="X97" s="51"/>
      <c r="Y97" s="64"/>
      <c r="Z97" s="64"/>
      <c r="AA97" s="64"/>
      <c r="AB97" s="64"/>
      <c r="AC97" s="64"/>
      <c r="AD97" s="64"/>
      <c r="AE97" s="64"/>
      <c r="AF97" s="64"/>
      <c r="AG97" s="51"/>
      <c r="AH97" s="65"/>
      <c r="AI97" s="55" t="s">
        <v>63</v>
      </c>
      <c r="AJ97" s="57" t="s">
        <v>344</v>
      </c>
      <c r="AK97" s="57"/>
      <c r="AL97" s="57"/>
    </row>
    <row r="98" spans="1:38" ht="31.95" customHeight="1" x14ac:dyDescent="0.3">
      <c r="A98" s="37">
        <v>44074</v>
      </c>
      <c r="B98" s="190">
        <v>0.65532407407407411</v>
      </c>
      <c r="C98" s="39"/>
      <c r="D98" s="39">
        <f>IF(I98=Categories!$E$4,VLOOKUP(H98,Categories!$A$4:$C$15,3,FALSE),VLOOKUP(I98,Categories!$E$4:$G$27,3,FALSE))</f>
        <v>120</v>
      </c>
      <c r="E98" s="39"/>
      <c r="F98" s="39"/>
      <c r="G98" s="40">
        <v>12</v>
      </c>
      <c r="H98" s="41" t="s">
        <v>62</v>
      </c>
      <c r="I98" s="59" t="s">
        <v>58</v>
      </c>
      <c r="J98" s="42"/>
      <c r="K98" s="60">
        <v>2200</v>
      </c>
      <c r="L98" s="43">
        <v>1</v>
      </c>
      <c r="M98" s="44">
        <f>IFERROR(VLOOKUP(VLOOKUP(O98,O98,1,1),Categories!$K$4:$V$17,2+VLOOKUP(L98,L98,1,FALSE),FALSE),"-"  )</f>
        <v>2.33</v>
      </c>
      <c r="N98" s="44" t="str">
        <f>IFERROR(VLOOKUP(VLOOKUP(O98,O98,1,1),Categories!$K$3:$V$17,7+VLOOKUP(L98,L98,1,FALSE),FALSE),"-")</f>
        <v>0 rev.</v>
      </c>
      <c r="O98" s="45" t="s">
        <v>88</v>
      </c>
      <c r="P98" s="46" t="s">
        <v>58</v>
      </c>
      <c r="Q98" s="47" t="s">
        <v>58</v>
      </c>
      <c r="R98" s="61"/>
      <c r="S98" s="61"/>
      <c r="T98" s="62"/>
      <c r="U98" s="61"/>
      <c r="V98" s="63">
        <v>3.3</v>
      </c>
      <c r="W98" s="63">
        <v>2.1</v>
      </c>
      <c r="X98" s="51">
        <v>4.8099999999999996</v>
      </c>
      <c r="Y98" s="64"/>
      <c r="Z98" s="64"/>
      <c r="AA98" s="64"/>
      <c r="AB98" s="64"/>
      <c r="AC98" s="64"/>
      <c r="AD98" s="64"/>
      <c r="AE98" s="64"/>
      <c r="AF98" s="64"/>
      <c r="AG98" s="51"/>
      <c r="AH98" s="65"/>
      <c r="AI98" s="55"/>
      <c r="AJ98" s="57"/>
      <c r="AK98" s="57"/>
      <c r="AL98" s="57"/>
    </row>
    <row r="99" spans="1:38" ht="31.95" customHeight="1" x14ac:dyDescent="0.3">
      <c r="A99" s="37">
        <v>44074</v>
      </c>
      <c r="B99" s="190">
        <v>0.65692129629629636</v>
      </c>
      <c r="C99" s="39"/>
      <c r="D99" s="39">
        <f>IF(I99=Categories!$E$4,VLOOKUP(H99,Categories!$A$4:$C$15,3,FALSE),VLOOKUP(I99,Categories!$E$4:$G$27,3,FALSE))</f>
        <v>60</v>
      </c>
      <c r="E99" s="39"/>
      <c r="F99" s="39"/>
      <c r="G99" s="40">
        <v>12</v>
      </c>
      <c r="H99" s="41" t="s">
        <v>66</v>
      </c>
      <c r="I99" s="59" t="s">
        <v>346</v>
      </c>
      <c r="J99" s="42"/>
      <c r="K99" s="60">
        <v>2200</v>
      </c>
      <c r="L99" s="43">
        <v>2</v>
      </c>
      <c r="M99" s="44">
        <f>IFERROR(VLOOKUP(VLOOKUP(O99,O99,1,1),Categories!$K$4:$V$17,2+VLOOKUP(L99,L99,1,FALSE),FALSE),"-"  )</f>
        <v>9</v>
      </c>
      <c r="N99" s="44" t="str">
        <f>IFERROR(VLOOKUP(VLOOKUP(O99,O99,1,1),Categories!$K$3:$V$17,7+VLOOKUP(L99,L99,1,FALSE),FALSE),"-")</f>
        <v>1.0 rev.</v>
      </c>
      <c r="O99" s="45" t="s">
        <v>88</v>
      </c>
      <c r="P99" s="46" t="s">
        <v>58</v>
      </c>
      <c r="Q99" s="47" t="s">
        <v>58</v>
      </c>
      <c r="R99" s="61"/>
      <c r="S99" s="61"/>
      <c r="T99" s="62"/>
      <c r="U99" s="61"/>
      <c r="V99" s="63"/>
      <c r="W99" s="63"/>
      <c r="X99" s="51"/>
      <c r="Y99" s="64"/>
      <c r="Z99" s="64"/>
      <c r="AA99" s="64"/>
      <c r="AB99" s="64"/>
      <c r="AC99" s="64"/>
      <c r="AD99" s="64"/>
      <c r="AE99" s="64"/>
      <c r="AF99" s="64"/>
      <c r="AG99" s="51"/>
      <c r="AH99" s="65"/>
      <c r="AI99" s="55"/>
      <c r="AJ99" s="57"/>
      <c r="AK99" s="57"/>
      <c r="AL99" s="57"/>
    </row>
    <row r="100" spans="1:38" ht="31.95" customHeight="1" x14ac:dyDescent="0.3">
      <c r="A100" s="66">
        <v>44074</v>
      </c>
      <c r="B100" s="192">
        <v>0.65719907407407407</v>
      </c>
      <c r="C100" s="39"/>
      <c r="D100" s="39">
        <f>IF(I100=Categories!$E$4,VLOOKUP(H100,Categories!$A$4:$C$15,3,FALSE),VLOOKUP(I100,Categories!$E$4:$G$27,3,FALSE))</f>
        <v>120</v>
      </c>
      <c r="E100" s="39"/>
      <c r="F100" s="39"/>
      <c r="G100" s="40">
        <v>12</v>
      </c>
      <c r="H100" s="41" t="s">
        <v>62</v>
      </c>
      <c r="I100" s="68" t="s">
        <v>58</v>
      </c>
      <c r="J100" s="42"/>
      <c r="K100" s="60">
        <v>2200</v>
      </c>
      <c r="L100" s="43">
        <v>2</v>
      </c>
      <c r="M100" s="44">
        <f>IFERROR(VLOOKUP(VLOOKUP(O100,O100,1,1),Categories!$K$4:$V$17,2+VLOOKUP(L100,L100,1,FALSE),FALSE),"-"  )</f>
        <v>9</v>
      </c>
      <c r="N100" s="44" t="str">
        <f>IFERROR(VLOOKUP(VLOOKUP(O100,O100,1,1),Categories!$K$3:$V$17,7+VLOOKUP(L100,L100,1,FALSE),FALSE),"-")</f>
        <v>1.0 rev.</v>
      </c>
      <c r="O100" s="45" t="s">
        <v>88</v>
      </c>
      <c r="P100" s="46" t="s">
        <v>58</v>
      </c>
      <c r="Q100" s="47" t="s">
        <v>58</v>
      </c>
      <c r="R100" s="48"/>
      <c r="S100" s="48"/>
      <c r="T100" s="49"/>
      <c r="U100" s="61"/>
      <c r="V100" s="50">
        <v>3.4</v>
      </c>
      <c r="W100" s="50">
        <v>2.1</v>
      </c>
      <c r="X100" s="53">
        <v>4.8099999999999996</v>
      </c>
      <c r="Y100" s="52"/>
      <c r="Z100" s="52"/>
      <c r="AA100" s="52"/>
      <c r="AB100" s="52"/>
      <c r="AC100" s="52"/>
      <c r="AD100" s="52"/>
      <c r="AE100" s="52"/>
      <c r="AF100" s="52"/>
      <c r="AG100" s="53"/>
      <c r="AH100" s="54"/>
      <c r="AI100" s="55"/>
      <c r="AJ100" s="56" t="s">
        <v>90</v>
      </c>
      <c r="AK100" s="57"/>
      <c r="AL100" s="57"/>
    </row>
    <row r="101" spans="1:38" ht="31.95" customHeight="1" x14ac:dyDescent="0.3">
      <c r="A101" s="66">
        <v>44074</v>
      </c>
      <c r="B101" s="192">
        <v>0.65865740740740741</v>
      </c>
      <c r="C101" s="39"/>
      <c r="D101" s="39">
        <f>IF(I101=Categories!$E$4,VLOOKUP(H101,Categories!$A$4:$C$15,3,FALSE),VLOOKUP(I101,Categories!$E$4:$G$27,3,FALSE))</f>
        <v>60</v>
      </c>
      <c r="E101" s="39"/>
      <c r="F101" s="39"/>
      <c r="G101" s="40">
        <v>12</v>
      </c>
      <c r="H101" s="41" t="s">
        <v>66</v>
      </c>
      <c r="I101" s="59" t="s">
        <v>346</v>
      </c>
      <c r="J101" s="42"/>
      <c r="K101" s="60">
        <v>2200</v>
      </c>
      <c r="L101" s="43">
        <v>3</v>
      </c>
      <c r="M101" s="44">
        <f>IFERROR(VLOOKUP(VLOOKUP(O101,O101,1,1),Categories!$K$4:$V$17,2+VLOOKUP(L101,L101,1,FALSE),FALSE),"-"  )</f>
        <v>10</v>
      </c>
      <c r="N101" s="44" t="str">
        <f>IFERROR(VLOOKUP(VLOOKUP(O101,O101,1,1),Categories!$K$3:$V$17,7+VLOOKUP(L101,L101,1,FALSE),FALSE),"-")</f>
        <v>1.25 rev.</v>
      </c>
      <c r="O101" s="45" t="s">
        <v>88</v>
      </c>
      <c r="P101" s="46" t="s">
        <v>58</v>
      </c>
      <c r="Q101" s="47" t="s">
        <v>58</v>
      </c>
      <c r="R101" s="48"/>
      <c r="S101" s="48"/>
      <c r="T101" s="49"/>
      <c r="U101" s="61"/>
      <c r="V101" s="50"/>
      <c r="W101" s="50"/>
      <c r="X101" s="53"/>
      <c r="Y101" s="52"/>
      <c r="Z101" s="52"/>
      <c r="AA101" s="52"/>
      <c r="AB101" s="52"/>
      <c r="AC101" s="52"/>
      <c r="AD101" s="52"/>
      <c r="AE101" s="52"/>
      <c r="AF101" s="52"/>
      <c r="AG101" s="53"/>
      <c r="AH101" s="54"/>
      <c r="AI101" s="55"/>
      <c r="AJ101" s="56"/>
      <c r="AK101" s="57"/>
      <c r="AL101" s="57"/>
    </row>
    <row r="102" spans="1:38" ht="31.95" customHeight="1" x14ac:dyDescent="0.3">
      <c r="A102" s="66">
        <v>44074</v>
      </c>
      <c r="B102" s="192">
        <v>0.65932870370370367</v>
      </c>
      <c r="C102" s="39"/>
      <c r="D102" s="39">
        <f>IF(I102=Categories!$E$4,VLOOKUP(H102,Categories!$A$4:$C$15,3,FALSE),VLOOKUP(I102,Categories!$E$4:$G$27,3,FALSE))</f>
        <v>120</v>
      </c>
      <c r="E102" s="39"/>
      <c r="F102" s="39"/>
      <c r="G102" s="40">
        <v>12</v>
      </c>
      <c r="H102" s="41" t="s">
        <v>62</v>
      </c>
      <c r="I102" s="68" t="s">
        <v>58</v>
      </c>
      <c r="J102" s="42"/>
      <c r="K102" s="60">
        <v>2200</v>
      </c>
      <c r="L102" s="43">
        <v>3</v>
      </c>
      <c r="M102" s="44">
        <f>IFERROR(VLOOKUP(VLOOKUP(O102,O102,1,1),Categories!$K$4:$V$17,2+VLOOKUP(L102,L102,1,FALSE),FALSE),"-"  )</f>
        <v>10</v>
      </c>
      <c r="N102" s="44" t="str">
        <f>IFERROR(VLOOKUP(VLOOKUP(O102,O102,1,1),Categories!$K$3:$V$17,7+VLOOKUP(L102,L102,1,FALSE),FALSE),"-")</f>
        <v>1.25 rev.</v>
      </c>
      <c r="O102" s="45" t="s">
        <v>88</v>
      </c>
      <c r="P102" s="46" t="s">
        <v>58</v>
      </c>
      <c r="Q102" s="47" t="s">
        <v>58</v>
      </c>
      <c r="R102" s="48"/>
      <c r="S102" s="48"/>
      <c r="T102" s="49"/>
      <c r="U102" s="61"/>
      <c r="V102" s="50">
        <v>3.5</v>
      </c>
      <c r="W102" s="50">
        <v>2.1</v>
      </c>
      <c r="X102" s="53">
        <v>4.74</v>
      </c>
      <c r="Y102" s="52"/>
      <c r="Z102" s="52"/>
      <c r="AA102" s="52"/>
      <c r="AB102" s="52"/>
      <c r="AC102" s="52"/>
      <c r="AD102" s="52"/>
      <c r="AE102" s="52"/>
      <c r="AF102" s="52"/>
      <c r="AG102" s="53"/>
      <c r="AH102" s="54"/>
      <c r="AI102" s="55"/>
      <c r="AJ102" s="56"/>
      <c r="AK102" s="57"/>
      <c r="AL102" s="57"/>
    </row>
    <row r="103" spans="1:38" ht="31.95" customHeight="1" x14ac:dyDescent="0.3">
      <c r="A103" s="66">
        <v>44074</v>
      </c>
      <c r="B103" s="192">
        <v>0.66096064814814814</v>
      </c>
      <c r="C103" s="39"/>
      <c r="D103" s="39">
        <f>IF(I103=Categories!$E$4,VLOOKUP(H103,Categories!$A$4:$C$15,3,FALSE),VLOOKUP(I103,Categories!$E$4:$G$27,3,FALSE))</f>
        <v>60</v>
      </c>
      <c r="E103" s="39"/>
      <c r="F103" s="39"/>
      <c r="G103" s="40">
        <v>12</v>
      </c>
      <c r="H103" s="41" t="s">
        <v>66</v>
      </c>
      <c r="I103" s="59" t="s">
        <v>346</v>
      </c>
      <c r="J103" s="42"/>
      <c r="K103" s="60">
        <v>2200</v>
      </c>
      <c r="L103" s="43">
        <v>4</v>
      </c>
      <c r="M103" s="44">
        <f>IFERROR(VLOOKUP(VLOOKUP(O103,O103,1,1),Categories!$K$4:$V$17,2+VLOOKUP(L103,L103,1,FALSE),FALSE),"-"  )</f>
        <v>11</v>
      </c>
      <c r="N103" s="44" t="str">
        <f>IFERROR(VLOOKUP(VLOOKUP(O103,O103,1,1),Categories!$K$3:$V$17,7+VLOOKUP(L103,L103,1,FALSE),FALSE),"-")</f>
        <v>1.5 rev.</v>
      </c>
      <c r="O103" s="45" t="s">
        <v>88</v>
      </c>
      <c r="P103" s="46" t="s">
        <v>58</v>
      </c>
      <c r="Q103" s="47" t="s">
        <v>58</v>
      </c>
      <c r="R103" s="48"/>
      <c r="S103" s="48"/>
      <c r="T103" s="49"/>
      <c r="U103" s="61"/>
      <c r="V103" s="50"/>
      <c r="W103" s="50"/>
      <c r="X103" s="53"/>
      <c r="Y103" s="52"/>
      <c r="Z103" s="52"/>
      <c r="AA103" s="52"/>
      <c r="AB103" s="52"/>
      <c r="AC103" s="52"/>
      <c r="AD103" s="52"/>
      <c r="AE103" s="52"/>
      <c r="AF103" s="52"/>
      <c r="AG103" s="53"/>
      <c r="AH103" s="54"/>
      <c r="AI103" s="55"/>
      <c r="AJ103" s="56"/>
      <c r="AK103" s="57"/>
      <c r="AL103" s="57"/>
    </row>
    <row r="104" spans="1:38" ht="31.95" customHeight="1" x14ac:dyDescent="0.3">
      <c r="A104" s="66">
        <v>44074</v>
      </c>
      <c r="B104" s="192">
        <v>0.66180555555555554</v>
      </c>
      <c r="C104" s="39"/>
      <c r="D104" s="39">
        <f>IF(I104=Categories!$E$4,VLOOKUP(H104,Categories!$A$4:$C$15,3,FALSE),VLOOKUP(I104,Categories!$E$4:$G$27,3,FALSE))</f>
        <v>120</v>
      </c>
      <c r="E104" s="39"/>
      <c r="F104" s="39"/>
      <c r="G104" s="40">
        <v>12</v>
      </c>
      <c r="H104" s="41" t="s">
        <v>62</v>
      </c>
      <c r="I104" s="68" t="s">
        <v>58</v>
      </c>
      <c r="J104" s="42"/>
      <c r="K104" s="60">
        <v>2200</v>
      </c>
      <c r="L104" s="43">
        <v>4</v>
      </c>
      <c r="M104" s="44">
        <f>IFERROR(VLOOKUP(VLOOKUP(O104,O104,1,1),Categories!$K$4:$V$17,2+VLOOKUP(L104,L104,1,FALSE),FALSE),"-"  )</f>
        <v>11</v>
      </c>
      <c r="N104" s="44" t="str">
        <f>IFERROR(VLOOKUP(VLOOKUP(O104,O104,1,1),Categories!$K$3:$V$17,7+VLOOKUP(L104,L104,1,FALSE),FALSE),"-")</f>
        <v>1.5 rev.</v>
      </c>
      <c r="O104" s="45" t="s">
        <v>88</v>
      </c>
      <c r="P104" s="46" t="s">
        <v>58</v>
      </c>
      <c r="Q104" s="47" t="s">
        <v>58</v>
      </c>
      <c r="R104" s="48"/>
      <c r="S104" s="48"/>
      <c r="T104" s="49"/>
      <c r="U104" s="61"/>
      <c r="V104" s="50">
        <v>2.6</v>
      </c>
      <c r="W104" s="50">
        <v>1.9</v>
      </c>
      <c r="X104" s="53">
        <v>3.98</v>
      </c>
      <c r="Y104" s="52"/>
      <c r="Z104" s="52"/>
      <c r="AA104" s="52"/>
      <c r="AB104" s="52"/>
      <c r="AC104" s="52"/>
      <c r="AD104" s="52"/>
      <c r="AE104" s="52"/>
      <c r="AF104" s="52"/>
      <c r="AG104" s="53"/>
      <c r="AH104" s="54"/>
      <c r="AI104" s="55"/>
      <c r="AJ104" s="56"/>
      <c r="AK104" s="57"/>
      <c r="AL104" s="57"/>
    </row>
    <row r="105" spans="1:38" ht="31.95" customHeight="1" x14ac:dyDescent="0.3">
      <c r="A105" s="66">
        <v>44074</v>
      </c>
      <c r="B105" s="192">
        <v>0.66328703703703706</v>
      </c>
      <c r="C105" s="39"/>
      <c r="D105" s="39">
        <f>IF(I105=Categories!$E$4,VLOOKUP(H105,Categories!$A$4:$C$15,3,FALSE),VLOOKUP(I105,Categories!$E$4:$G$27,3,FALSE))</f>
        <v>60</v>
      </c>
      <c r="E105" s="39"/>
      <c r="F105" s="39"/>
      <c r="G105" s="40">
        <v>12</v>
      </c>
      <c r="H105" s="41" t="s">
        <v>66</v>
      </c>
      <c r="I105" s="59" t="s">
        <v>346</v>
      </c>
      <c r="J105" s="42"/>
      <c r="K105" s="60">
        <v>2200</v>
      </c>
      <c r="L105" s="43">
        <v>5</v>
      </c>
      <c r="M105" s="44">
        <f>IFERROR(VLOOKUP(VLOOKUP(O105,O105,1,1),Categories!$K$4:$V$17,2+VLOOKUP(L105,L105,1,FALSE),FALSE),"-"  )</f>
        <v>12</v>
      </c>
      <c r="N105" s="44" t="str">
        <f>IFERROR(VLOOKUP(VLOOKUP(O105,O105,1,1),Categories!$K$3:$V$17,7+VLOOKUP(L105,L105,1,FALSE),FALSE),"-")</f>
        <v>2.0 Rev</v>
      </c>
      <c r="O105" s="45" t="s">
        <v>88</v>
      </c>
      <c r="P105" s="46" t="s">
        <v>58</v>
      </c>
      <c r="Q105" s="47" t="s">
        <v>58</v>
      </c>
      <c r="R105" s="48"/>
      <c r="S105" s="48"/>
      <c r="T105" s="49"/>
      <c r="U105" s="61"/>
      <c r="V105" s="50"/>
      <c r="W105" s="50"/>
      <c r="X105" s="53"/>
      <c r="Y105" s="52"/>
      <c r="Z105" s="52"/>
      <c r="AA105" s="52"/>
      <c r="AB105" s="52"/>
      <c r="AC105" s="52"/>
      <c r="AD105" s="52"/>
      <c r="AE105" s="52"/>
      <c r="AF105" s="52"/>
      <c r="AG105" s="53"/>
      <c r="AH105" s="54"/>
      <c r="AI105" s="55"/>
      <c r="AJ105" s="56"/>
      <c r="AK105" s="57"/>
      <c r="AL105" s="57"/>
    </row>
    <row r="106" spans="1:38" ht="31.95" customHeight="1" x14ac:dyDescent="0.3">
      <c r="A106" s="66">
        <v>44074</v>
      </c>
      <c r="B106" s="192">
        <v>0.66401620370370373</v>
      </c>
      <c r="C106" s="39"/>
      <c r="D106" s="39">
        <f>IF(I106=Categories!$E$4,VLOOKUP(H106,Categories!$A$4:$C$15,3,FALSE),VLOOKUP(I106,Categories!$E$4:$G$27,3,FALSE))</f>
        <v>120</v>
      </c>
      <c r="E106" s="39"/>
      <c r="F106" s="39"/>
      <c r="G106" s="40">
        <v>12</v>
      </c>
      <c r="H106" s="41" t="s">
        <v>62</v>
      </c>
      <c r="I106" s="68" t="s">
        <v>58</v>
      </c>
      <c r="J106" s="42"/>
      <c r="K106" s="60">
        <v>2200</v>
      </c>
      <c r="L106" s="43">
        <v>5</v>
      </c>
      <c r="M106" s="44">
        <f>IFERROR(VLOOKUP(VLOOKUP(O106,O106,1,1),Categories!$K$4:$V$17,2+VLOOKUP(L106,L106,1,FALSE),FALSE),"-"  )</f>
        <v>12</v>
      </c>
      <c r="N106" s="44" t="str">
        <f>IFERROR(VLOOKUP(VLOOKUP(O106,O106,1,1),Categories!$K$3:$V$17,7+VLOOKUP(L106,L106,1,FALSE),FALSE),"-")</f>
        <v>2.0 Rev</v>
      </c>
      <c r="O106" s="45" t="s">
        <v>88</v>
      </c>
      <c r="P106" s="46" t="s">
        <v>58</v>
      </c>
      <c r="Q106" s="47" t="s">
        <v>58</v>
      </c>
      <c r="R106" s="48"/>
      <c r="S106" s="48"/>
      <c r="T106" s="49"/>
      <c r="U106" s="61"/>
      <c r="V106" s="50">
        <v>1.6</v>
      </c>
      <c r="W106" s="50">
        <v>1.6</v>
      </c>
      <c r="X106" s="53">
        <v>2.8</v>
      </c>
      <c r="Y106" s="52"/>
      <c r="Z106" s="52"/>
      <c r="AA106" s="52"/>
      <c r="AB106" s="52"/>
      <c r="AC106" s="52"/>
      <c r="AD106" s="52"/>
      <c r="AE106" s="52"/>
      <c r="AF106" s="52"/>
      <c r="AG106" s="53"/>
      <c r="AH106" s="54"/>
      <c r="AI106" s="55"/>
      <c r="AJ106" s="56"/>
      <c r="AK106" s="57"/>
      <c r="AL106" s="57"/>
    </row>
    <row r="107" spans="1:38" ht="31.95" customHeight="1" x14ac:dyDescent="0.3">
      <c r="A107" s="66">
        <v>44074</v>
      </c>
      <c r="B107" s="192">
        <v>0.66671296296296301</v>
      </c>
      <c r="C107" s="39"/>
      <c r="D107" s="39">
        <f>IF(I107=Categories!$E$4,VLOOKUP(H107,Categories!$A$4:$C$15,3,FALSE),VLOOKUP(I107,Categories!$E$4:$G$27,3,FALSE))</f>
        <v>45</v>
      </c>
      <c r="E107" s="39"/>
      <c r="F107" s="39"/>
      <c r="G107" s="40">
        <v>12</v>
      </c>
      <c r="H107" s="41" t="s">
        <v>66</v>
      </c>
      <c r="I107" s="59" t="s">
        <v>323</v>
      </c>
      <c r="J107" s="42"/>
      <c r="K107" s="60">
        <v>2200</v>
      </c>
      <c r="L107" s="43">
        <v>1</v>
      </c>
      <c r="M107" s="44">
        <f>IFERROR(VLOOKUP(VLOOKUP(O107,O107,1,1),Categories!$K$4:$V$17,2+VLOOKUP(L107,L107,1,FALSE),FALSE),"-"  )</f>
        <v>2.33</v>
      </c>
      <c r="N107" s="44" t="str">
        <f>IFERROR(VLOOKUP(VLOOKUP(O107,O107,1,1),Categories!$K$3:$V$17,7+VLOOKUP(L107,L107,1,FALSE),FALSE),"-")</f>
        <v>0 rev.</v>
      </c>
      <c r="O107" s="45" t="s">
        <v>88</v>
      </c>
      <c r="P107" s="46" t="s">
        <v>58</v>
      </c>
      <c r="Q107" s="47" t="s">
        <v>58</v>
      </c>
      <c r="R107" s="48"/>
      <c r="S107" s="48"/>
      <c r="T107" s="49"/>
      <c r="U107" s="61"/>
      <c r="V107" s="50"/>
      <c r="W107" s="50"/>
      <c r="X107" s="53"/>
      <c r="Y107" s="52"/>
      <c r="Z107" s="52"/>
      <c r="AA107" s="52"/>
      <c r="AB107" s="52"/>
      <c r="AC107" s="52"/>
      <c r="AD107" s="52"/>
      <c r="AE107" s="52"/>
      <c r="AF107" s="52"/>
      <c r="AG107" s="53"/>
      <c r="AH107" s="54"/>
      <c r="AI107" s="55"/>
      <c r="AJ107" s="56"/>
      <c r="AK107" s="57"/>
      <c r="AL107" s="57"/>
    </row>
    <row r="108" spans="1:38" ht="31.95" customHeight="1" x14ac:dyDescent="0.3">
      <c r="A108" s="66">
        <v>44074</v>
      </c>
      <c r="B108" s="192">
        <v>0.66760416666666667</v>
      </c>
      <c r="C108" s="39"/>
      <c r="D108" s="39">
        <f>IF(I108=Categories!$E$4,VLOOKUP(H108,Categories!$A$4:$C$15,3,FALSE),VLOOKUP(I108,Categories!$E$4:$G$27,3,FALSE))</f>
        <v>60</v>
      </c>
      <c r="E108" s="39"/>
      <c r="F108" s="39"/>
      <c r="G108" s="40">
        <v>12</v>
      </c>
      <c r="H108" s="41" t="s">
        <v>78</v>
      </c>
      <c r="I108" s="68" t="s">
        <v>58</v>
      </c>
      <c r="J108" s="42"/>
      <c r="K108" s="60">
        <v>2200</v>
      </c>
      <c r="L108" s="43">
        <v>1</v>
      </c>
      <c r="M108" s="44">
        <f>IFERROR(VLOOKUP(VLOOKUP(O108,O108,1,1),Categories!$K$4:$V$17,2+VLOOKUP(L108,L108,1,FALSE),FALSE),"-"  )</f>
        <v>2.33</v>
      </c>
      <c r="N108" s="44" t="str">
        <f>IFERROR(VLOOKUP(VLOOKUP(O108,O108,1,1),Categories!$K$3:$V$17,7+VLOOKUP(L108,L108,1,FALSE),FALSE),"-")</f>
        <v>0 rev.</v>
      </c>
      <c r="O108" s="45" t="s">
        <v>88</v>
      </c>
      <c r="P108" s="46" t="s">
        <v>58</v>
      </c>
      <c r="Q108" s="47" t="s">
        <v>58</v>
      </c>
      <c r="R108" s="48"/>
      <c r="S108" s="48"/>
      <c r="T108" s="49"/>
      <c r="U108" s="61"/>
      <c r="V108" s="50">
        <v>3.3</v>
      </c>
      <c r="W108" s="50">
        <v>2.1</v>
      </c>
      <c r="X108" s="53">
        <v>4.8099999999999996</v>
      </c>
      <c r="Y108" s="52"/>
      <c r="Z108" s="52"/>
      <c r="AA108" s="52"/>
      <c r="AB108" s="52"/>
      <c r="AC108" s="52"/>
      <c r="AD108" s="52"/>
      <c r="AE108" s="52"/>
      <c r="AF108" s="52"/>
      <c r="AG108" s="53"/>
      <c r="AH108" s="54"/>
      <c r="AI108" s="55"/>
      <c r="AJ108" s="56"/>
      <c r="AK108" s="57"/>
      <c r="AL108" s="57"/>
    </row>
    <row r="109" spans="1:38" ht="31.95" customHeight="1" x14ac:dyDescent="0.3">
      <c r="A109" s="66">
        <v>44074</v>
      </c>
      <c r="B109" s="192">
        <v>0.6684606481481481</v>
      </c>
      <c r="C109" s="39"/>
      <c r="D109" s="39" t="str">
        <f>IF(I109=Categories!$E$4,VLOOKUP(H109,Categories!$A$4:$C$15,3,FALSE),VLOOKUP(I109,Categories!$E$4:$G$27,3,FALSE))</f>
        <v>-</v>
      </c>
      <c r="E109" s="39"/>
      <c r="F109" s="39"/>
      <c r="G109" s="40" t="s">
        <v>58</v>
      </c>
      <c r="H109" s="41" t="s">
        <v>72</v>
      </c>
      <c r="I109" s="59" t="s">
        <v>58</v>
      </c>
      <c r="J109" s="42"/>
      <c r="K109" s="60">
        <v>2500</v>
      </c>
      <c r="L109" s="43">
        <v>1</v>
      </c>
      <c r="M109" s="44">
        <f>IFERROR(VLOOKUP(VLOOKUP(O109,O109,1,1),Categories!$K$4:$V$17,2+VLOOKUP(L109,L109,1,FALSE),FALSE),"-"  )</f>
        <v>2.33</v>
      </c>
      <c r="N109" s="44" t="str">
        <f>IFERROR(VLOOKUP(VLOOKUP(O109,O109,1,1),Categories!$K$3:$V$17,7+VLOOKUP(L109,L109,1,FALSE),FALSE),"-")</f>
        <v>0 rev.</v>
      </c>
      <c r="O109" s="45" t="s">
        <v>88</v>
      </c>
      <c r="P109" s="46" t="s">
        <v>58</v>
      </c>
      <c r="Q109" s="47" t="s">
        <v>58</v>
      </c>
      <c r="R109" s="48"/>
      <c r="S109" s="48"/>
      <c r="T109" s="49"/>
      <c r="U109" s="61"/>
      <c r="V109" s="50"/>
      <c r="W109" s="50"/>
      <c r="X109" s="53"/>
      <c r="Y109" s="52"/>
      <c r="Z109" s="52"/>
      <c r="AA109" s="52"/>
      <c r="AB109" s="52"/>
      <c r="AC109" s="52"/>
      <c r="AD109" s="52"/>
      <c r="AE109" s="52"/>
      <c r="AF109" s="52"/>
      <c r="AG109" s="53"/>
      <c r="AH109" s="54"/>
      <c r="AI109" s="55" t="s">
        <v>349</v>
      </c>
      <c r="AJ109" s="56"/>
      <c r="AK109" s="57"/>
      <c r="AL109" s="57"/>
    </row>
    <row r="110" spans="1:38" ht="31.95" customHeight="1" x14ac:dyDescent="0.3">
      <c r="A110" s="66"/>
      <c r="B110" s="192"/>
      <c r="C110" s="39"/>
      <c r="D110" s="39">
        <f>IF(I110=Categories!$E$4,VLOOKUP(H110,Categories!$A$4:$C$15,3,FALSE),VLOOKUP(I110,Categories!$E$4:$G$27,3,FALSE))</f>
        <v>30</v>
      </c>
      <c r="E110" s="39"/>
      <c r="F110" s="39"/>
      <c r="G110" s="40" t="s">
        <v>58</v>
      </c>
      <c r="H110" s="41" t="s">
        <v>66</v>
      </c>
      <c r="I110" s="59" t="s">
        <v>67</v>
      </c>
      <c r="J110" s="42"/>
      <c r="K110" s="60">
        <v>2500</v>
      </c>
      <c r="L110" s="43">
        <v>1</v>
      </c>
      <c r="M110" s="44">
        <f>IFERROR(VLOOKUP(VLOOKUP(O110,O110,1,1),Categories!$K$4:$V$17,2+VLOOKUP(L110,L110,1,FALSE),FALSE),"-"  )</f>
        <v>2.33</v>
      </c>
      <c r="N110" s="44" t="str">
        <f>IFERROR(VLOOKUP(VLOOKUP(O110,O110,1,1),Categories!$K$3:$V$17,7+VLOOKUP(L110,L110,1,FALSE),FALSE),"-")</f>
        <v>0 rev.</v>
      </c>
      <c r="O110" s="45" t="s">
        <v>88</v>
      </c>
      <c r="P110" s="46" t="s">
        <v>58</v>
      </c>
      <c r="Q110" s="47" t="s">
        <v>58</v>
      </c>
      <c r="R110" s="48"/>
      <c r="S110" s="48"/>
      <c r="T110" s="49"/>
      <c r="U110" s="61"/>
      <c r="V110" s="50"/>
      <c r="W110" s="50"/>
      <c r="X110" s="53"/>
      <c r="Y110" s="52"/>
      <c r="Z110" s="52"/>
      <c r="AA110" s="52"/>
      <c r="AB110" s="52"/>
      <c r="AC110" s="52"/>
      <c r="AD110" s="52"/>
      <c r="AE110" s="52"/>
      <c r="AF110" s="52"/>
      <c r="AG110" s="53"/>
      <c r="AH110" s="54"/>
      <c r="AI110" s="55"/>
      <c r="AJ110" s="56"/>
      <c r="AK110" s="57"/>
      <c r="AL110" s="57"/>
    </row>
    <row r="111" spans="1:38" ht="31.95" customHeight="1" x14ac:dyDescent="0.3">
      <c r="A111" s="37">
        <v>44074</v>
      </c>
      <c r="B111" s="190">
        <v>0.67282407407407396</v>
      </c>
      <c r="C111" s="39"/>
      <c r="D111" s="39">
        <f>IF(I111=Categories!$E$4,VLOOKUP(H111,Categories!$A$4:$C$15,3,FALSE),VLOOKUP(I111,Categories!$E$4:$G$27,3,FALSE))</f>
        <v>120</v>
      </c>
      <c r="E111" s="39"/>
      <c r="F111" s="39"/>
      <c r="G111" s="40">
        <v>13</v>
      </c>
      <c r="H111" s="41" t="s">
        <v>62</v>
      </c>
      <c r="I111" s="59" t="s">
        <v>58</v>
      </c>
      <c r="J111" s="42"/>
      <c r="K111" s="60">
        <v>2500</v>
      </c>
      <c r="L111" s="43">
        <v>1</v>
      </c>
      <c r="M111" s="44">
        <f>IFERROR(VLOOKUP(VLOOKUP(O111,O111,1,1),Categories!$K$4:$V$17,2+VLOOKUP(L111,L111,1,FALSE),FALSE),"-"  )</f>
        <v>2.33</v>
      </c>
      <c r="N111" s="44" t="str">
        <f>IFERROR(VLOOKUP(VLOOKUP(O111,O111,1,1),Categories!$K$3:$V$17,7+VLOOKUP(L111,L111,1,FALSE),FALSE),"-")</f>
        <v>0 rev.</v>
      </c>
      <c r="O111" s="45" t="s">
        <v>88</v>
      </c>
      <c r="P111" s="46" t="s">
        <v>58</v>
      </c>
      <c r="Q111" s="47" t="s">
        <v>58</v>
      </c>
      <c r="R111" s="61"/>
      <c r="S111" s="61"/>
      <c r="T111" s="62"/>
      <c r="U111" s="61"/>
      <c r="V111" s="63">
        <v>4.0999999999999996</v>
      </c>
      <c r="W111" s="63">
        <v>3</v>
      </c>
      <c r="X111" s="51">
        <v>5.53</v>
      </c>
      <c r="Y111" s="64"/>
      <c r="Z111" s="64"/>
      <c r="AA111" s="64"/>
      <c r="AB111" s="64"/>
      <c r="AC111" s="64"/>
      <c r="AD111" s="64"/>
      <c r="AE111" s="64"/>
      <c r="AF111" s="64"/>
      <c r="AG111" s="51"/>
      <c r="AH111" s="65"/>
      <c r="AI111" s="55"/>
      <c r="AJ111" s="57"/>
      <c r="AK111" s="57"/>
      <c r="AL111" s="57"/>
    </row>
    <row r="112" spans="1:38" ht="31.95" customHeight="1" x14ac:dyDescent="0.3">
      <c r="A112" s="37">
        <v>44074</v>
      </c>
      <c r="B112" s="190">
        <v>0.6742824074074073</v>
      </c>
      <c r="C112" s="39"/>
      <c r="D112" s="39">
        <f>IF(I112=Categories!$E$4,VLOOKUP(H112,Categories!$A$4:$C$15,3,FALSE),VLOOKUP(I112,Categories!$E$4:$G$27,3,FALSE))</f>
        <v>60</v>
      </c>
      <c r="E112" s="39"/>
      <c r="F112" s="39"/>
      <c r="G112" s="40">
        <v>13</v>
      </c>
      <c r="H112" s="41" t="s">
        <v>66</v>
      </c>
      <c r="I112" s="59" t="s">
        <v>346</v>
      </c>
      <c r="J112" s="42"/>
      <c r="K112" s="60">
        <v>2500</v>
      </c>
      <c r="L112" s="43">
        <v>2</v>
      </c>
      <c r="M112" s="44">
        <f>IFERROR(VLOOKUP(VLOOKUP(O112,O112,1,1),Categories!$K$4:$V$17,2+VLOOKUP(L112,L112,1,FALSE),FALSE),"-"  )</f>
        <v>9</v>
      </c>
      <c r="N112" s="44" t="str">
        <f>IFERROR(VLOOKUP(VLOOKUP(O112,O112,1,1),Categories!$K$3:$V$17,7+VLOOKUP(L112,L112,1,FALSE),FALSE),"-")</f>
        <v>1.0 rev.</v>
      </c>
      <c r="O112" s="45" t="s">
        <v>88</v>
      </c>
      <c r="P112" s="46" t="s">
        <v>58</v>
      </c>
      <c r="Q112" s="47" t="s">
        <v>58</v>
      </c>
      <c r="R112" s="61"/>
      <c r="S112" s="61"/>
      <c r="T112" s="62"/>
      <c r="U112" s="61"/>
      <c r="V112" s="63"/>
      <c r="W112" s="63"/>
      <c r="X112" s="51"/>
      <c r="Y112" s="64"/>
      <c r="Z112" s="64"/>
      <c r="AA112" s="64"/>
      <c r="AB112" s="64"/>
      <c r="AC112" s="64"/>
      <c r="AD112" s="64"/>
      <c r="AE112" s="64"/>
      <c r="AF112" s="64"/>
      <c r="AG112" s="51"/>
      <c r="AH112" s="65"/>
      <c r="AI112" s="55"/>
      <c r="AJ112" s="57" t="s">
        <v>348</v>
      </c>
      <c r="AK112" s="57"/>
      <c r="AL112" s="57"/>
    </row>
    <row r="113" spans="1:38" ht="31.95" customHeight="1" x14ac:dyDescent="0.3">
      <c r="A113" s="66">
        <v>44074</v>
      </c>
      <c r="B113" s="192">
        <v>0.67512731481481481</v>
      </c>
      <c r="C113" s="39"/>
      <c r="D113" s="39">
        <f>IF(I113=Categories!$E$4,VLOOKUP(H113,Categories!$A$4:$C$15,3,FALSE),VLOOKUP(I113,Categories!$E$4:$G$27,3,FALSE))</f>
        <v>120</v>
      </c>
      <c r="E113" s="39"/>
      <c r="F113" s="39"/>
      <c r="G113" s="40">
        <v>13</v>
      </c>
      <c r="H113" s="41" t="s">
        <v>62</v>
      </c>
      <c r="I113" s="68" t="s">
        <v>58</v>
      </c>
      <c r="J113" s="42"/>
      <c r="K113" s="60">
        <v>2500</v>
      </c>
      <c r="L113" s="43">
        <v>2</v>
      </c>
      <c r="M113" s="44">
        <f>IFERROR(VLOOKUP(VLOOKUP(O113,O113,1,1),Categories!$K$4:$V$17,2+VLOOKUP(L113,L113,1,FALSE),FALSE),"-"  )</f>
        <v>9</v>
      </c>
      <c r="N113" s="44" t="str">
        <f>IFERROR(VLOOKUP(VLOOKUP(O113,O113,1,1),Categories!$K$3:$V$17,7+VLOOKUP(L113,L113,1,FALSE),FALSE),"-")</f>
        <v>1.0 rev.</v>
      </c>
      <c r="O113" s="45" t="s">
        <v>88</v>
      </c>
      <c r="P113" s="46" t="s">
        <v>58</v>
      </c>
      <c r="Q113" s="47" t="s">
        <v>58</v>
      </c>
      <c r="R113" s="48"/>
      <c r="S113" s="48"/>
      <c r="T113" s="49"/>
      <c r="U113" s="61"/>
      <c r="V113" s="50">
        <v>4.2</v>
      </c>
      <c r="W113" s="50">
        <v>3</v>
      </c>
      <c r="X113" s="53">
        <v>5.51</v>
      </c>
      <c r="Y113" s="52"/>
      <c r="Z113" s="52"/>
      <c r="AA113" s="52"/>
      <c r="AB113" s="52"/>
      <c r="AC113" s="52"/>
      <c r="AD113" s="52"/>
      <c r="AE113" s="52"/>
      <c r="AF113" s="52"/>
      <c r="AG113" s="53"/>
      <c r="AH113" s="54"/>
      <c r="AI113" s="55"/>
      <c r="AJ113" s="56"/>
      <c r="AK113" s="57"/>
      <c r="AL113" s="57"/>
    </row>
    <row r="114" spans="1:38" ht="31.95" customHeight="1" x14ac:dyDescent="0.3">
      <c r="A114" s="66">
        <v>44074</v>
      </c>
      <c r="B114" s="192">
        <v>0.67670138888888898</v>
      </c>
      <c r="C114" s="39"/>
      <c r="D114" s="39">
        <f>IF(I114=Categories!$E$4,VLOOKUP(H114,Categories!$A$4:$C$15,3,FALSE),VLOOKUP(I114,Categories!$E$4:$G$27,3,FALSE))</f>
        <v>60</v>
      </c>
      <c r="E114" s="39"/>
      <c r="F114" s="39"/>
      <c r="G114" s="40">
        <v>13</v>
      </c>
      <c r="H114" s="41" t="s">
        <v>66</v>
      </c>
      <c r="I114" s="59" t="s">
        <v>346</v>
      </c>
      <c r="J114" s="42"/>
      <c r="K114" s="60">
        <v>2500</v>
      </c>
      <c r="L114" s="43">
        <v>3</v>
      </c>
      <c r="M114" s="44">
        <f>IFERROR(VLOOKUP(VLOOKUP(O114,O114,1,1),Categories!$K$4:$V$17,2+VLOOKUP(L114,L114,1,FALSE),FALSE),"-"  )</f>
        <v>10</v>
      </c>
      <c r="N114" s="44" t="str">
        <f>IFERROR(VLOOKUP(VLOOKUP(O114,O114,1,1),Categories!$K$3:$V$17,7+VLOOKUP(L114,L114,1,FALSE),FALSE),"-")</f>
        <v>1.25 rev.</v>
      </c>
      <c r="O114" s="45" t="s">
        <v>88</v>
      </c>
      <c r="P114" s="46" t="s">
        <v>58</v>
      </c>
      <c r="Q114" s="47" t="s">
        <v>58</v>
      </c>
      <c r="R114" s="48"/>
      <c r="S114" s="48"/>
      <c r="T114" s="49"/>
      <c r="U114" s="61"/>
      <c r="V114" s="50"/>
      <c r="W114" s="50"/>
      <c r="X114" s="53"/>
      <c r="Y114" s="52"/>
      <c r="Z114" s="52"/>
      <c r="AA114" s="52"/>
      <c r="AB114" s="52"/>
      <c r="AC114" s="52"/>
      <c r="AD114" s="52"/>
      <c r="AE114" s="52"/>
      <c r="AF114" s="52"/>
      <c r="AG114" s="53"/>
      <c r="AH114" s="54"/>
      <c r="AI114" s="55"/>
      <c r="AJ114" s="56"/>
      <c r="AK114" s="57"/>
      <c r="AL114" s="57"/>
    </row>
    <row r="115" spans="1:38" ht="31.95" customHeight="1" x14ac:dyDescent="0.3">
      <c r="A115" s="66">
        <v>44074</v>
      </c>
      <c r="B115" s="192">
        <v>0.67739583333333331</v>
      </c>
      <c r="C115" s="39"/>
      <c r="D115" s="39">
        <f>IF(I115=Categories!$E$4,VLOOKUP(H115,Categories!$A$4:$C$15,3,FALSE),VLOOKUP(I115,Categories!$E$4:$G$27,3,FALSE))</f>
        <v>120</v>
      </c>
      <c r="E115" s="39"/>
      <c r="F115" s="39"/>
      <c r="G115" s="40">
        <v>13</v>
      </c>
      <c r="H115" s="41" t="s">
        <v>62</v>
      </c>
      <c r="I115" s="68" t="s">
        <v>58</v>
      </c>
      <c r="J115" s="42"/>
      <c r="K115" s="60">
        <v>2500</v>
      </c>
      <c r="L115" s="43">
        <v>3</v>
      </c>
      <c r="M115" s="44">
        <f>IFERROR(VLOOKUP(VLOOKUP(O115,O115,1,1),Categories!$K$4:$V$17,2+VLOOKUP(L115,L115,1,FALSE),FALSE),"-"  )</f>
        <v>10</v>
      </c>
      <c r="N115" s="44" t="str">
        <f>IFERROR(VLOOKUP(VLOOKUP(O115,O115,1,1),Categories!$K$3:$V$17,7+VLOOKUP(L115,L115,1,FALSE),FALSE),"-")</f>
        <v>1.25 rev.</v>
      </c>
      <c r="O115" s="45" t="s">
        <v>88</v>
      </c>
      <c r="P115" s="46" t="s">
        <v>58</v>
      </c>
      <c r="Q115" s="47" t="s">
        <v>58</v>
      </c>
      <c r="R115" s="48"/>
      <c r="S115" s="48"/>
      <c r="T115" s="49"/>
      <c r="U115" s="61"/>
      <c r="V115" s="50">
        <v>4.0999999999999996</v>
      </c>
      <c r="W115" s="50">
        <v>3</v>
      </c>
      <c r="X115" s="53">
        <v>5.47</v>
      </c>
      <c r="Y115" s="52"/>
      <c r="Z115" s="52"/>
      <c r="AA115" s="52"/>
      <c r="AB115" s="52"/>
      <c r="AC115" s="52"/>
      <c r="AD115" s="52"/>
      <c r="AE115" s="52"/>
      <c r="AF115" s="52"/>
      <c r="AG115" s="53"/>
      <c r="AH115" s="54"/>
      <c r="AI115" s="55"/>
      <c r="AJ115" s="56"/>
      <c r="AK115" s="57"/>
      <c r="AL115" s="57"/>
    </row>
    <row r="116" spans="1:38" ht="31.95" customHeight="1" x14ac:dyDescent="0.3">
      <c r="A116" s="66">
        <v>44074</v>
      </c>
      <c r="B116" s="192">
        <v>0.67924768518518519</v>
      </c>
      <c r="C116" s="39"/>
      <c r="D116" s="39">
        <f>IF(I116=Categories!$E$4,VLOOKUP(H116,Categories!$A$4:$C$15,3,FALSE),VLOOKUP(I116,Categories!$E$4:$G$27,3,FALSE))</f>
        <v>60</v>
      </c>
      <c r="E116" s="39"/>
      <c r="F116" s="39"/>
      <c r="G116" s="40">
        <v>13</v>
      </c>
      <c r="H116" s="41" t="s">
        <v>66</v>
      </c>
      <c r="I116" s="59" t="s">
        <v>346</v>
      </c>
      <c r="J116" s="42"/>
      <c r="K116" s="60">
        <v>2500</v>
      </c>
      <c r="L116" s="43">
        <v>4</v>
      </c>
      <c r="M116" s="44">
        <f>IFERROR(VLOOKUP(VLOOKUP(O116,O116,1,1),Categories!$K$4:$V$17,2+VLOOKUP(L116,L116,1,FALSE),FALSE),"-"  )</f>
        <v>11</v>
      </c>
      <c r="N116" s="44" t="str">
        <f>IFERROR(VLOOKUP(VLOOKUP(O116,O116,1,1),Categories!$K$3:$V$17,7+VLOOKUP(L116,L116,1,FALSE),FALSE),"-")</f>
        <v>1.5 rev.</v>
      </c>
      <c r="O116" s="45" t="s">
        <v>88</v>
      </c>
      <c r="P116" s="46" t="s">
        <v>58</v>
      </c>
      <c r="Q116" s="47" t="s">
        <v>58</v>
      </c>
      <c r="R116" s="48"/>
      <c r="S116" s="48"/>
      <c r="T116" s="49"/>
      <c r="U116" s="61"/>
      <c r="V116" s="50"/>
      <c r="W116" s="50"/>
      <c r="X116" s="53"/>
      <c r="Y116" s="52"/>
      <c r="Z116" s="52"/>
      <c r="AA116" s="52"/>
      <c r="AB116" s="52"/>
      <c r="AC116" s="52"/>
      <c r="AD116" s="52"/>
      <c r="AE116" s="52"/>
      <c r="AF116" s="52"/>
      <c r="AG116" s="53"/>
      <c r="AH116" s="54"/>
      <c r="AI116" s="55"/>
      <c r="AJ116" s="56"/>
      <c r="AK116" s="57"/>
      <c r="AL116" s="57"/>
    </row>
    <row r="117" spans="1:38" ht="31.95" customHeight="1" x14ac:dyDescent="0.3">
      <c r="A117" s="66">
        <v>44074</v>
      </c>
      <c r="B117" s="192">
        <v>0.67994212962962963</v>
      </c>
      <c r="C117" s="39"/>
      <c r="D117" s="39">
        <f>IF(I117=Categories!$E$4,VLOOKUP(H117,Categories!$A$4:$C$15,3,FALSE),VLOOKUP(I117,Categories!$E$4:$G$27,3,FALSE))</f>
        <v>120</v>
      </c>
      <c r="E117" s="39"/>
      <c r="F117" s="39"/>
      <c r="G117" s="40">
        <v>13</v>
      </c>
      <c r="H117" s="41" t="s">
        <v>62</v>
      </c>
      <c r="I117" s="68" t="s">
        <v>58</v>
      </c>
      <c r="J117" s="42"/>
      <c r="K117" s="60">
        <v>2500</v>
      </c>
      <c r="L117" s="43">
        <v>4</v>
      </c>
      <c r="M117" s="44">
        <f>IFERROR(VLOOKUP(VLOOKUP(O117,O117,1,1),Categories!$K$4:$V$17,2+VLOOKUP(L117,L117,1,FALSE),FALSE),"-"  )</f>
        <v>11</v>
      </c>
      <c r="N117" s="44" t="str">
        <f>IFERROR(VLOOKUP(VLOOKUP(O117,O117,1,1),Categories!$K$3:$V$17,7+VLOOKUP(L117,L117,1,FALSE),FALSE),"-")</f>
        <v>1.5 rev.</v>
      </c>
      <c r="O117" s="45" t="s">
        <v>88</v>
      </c>
      <c r="P117" s="46" t="s">
        <v>58</v>
      </c>
      <c r="Q117" s="47" t="s">
        <v>58</v>
      </c>
      <c r="R117" s="48"/>
      <c r="S117" s="48"/>
      <c r="T117" s="49"/>
      <c r="U117" s="61"/>
      <c r="V117" s="50">
        <v>3.1</v>
      </c>
      <c r="W117" s="50">
        <v>2.6</v>
      </c>
      <c r="X117" s="53">
        <v>4.16</v>
      </c>
      <c r="Y117" s="52"/>
      <c r="Z117" s="52"/>
      <c r="AA117" s="52"/>
      <c r="AB117" s="52"/>
      <c r="AC117" s="52"/>
      <c r="AD117" s="52"/>
      <c r="AE117" s="52"/>
      <c r="AF117" s="52"/>
      <c r="AG117" s="53"/>
      <c r="AH117" s="54"/>
      <c r="AI117" s="55"/>
      <c r="AJ117" s="56"/>
      <c r="AK117" s="57"/>
      <c r="AL117" s="57"/>
    </row>
    <row r="118" spans="1:38" ht="31.95" customHeight="1" x14ac:dyDescent="0.3">
      <c r="A118" s="66">
        <v>44074</v>
      </c>
      <c r="B118" s="192">
        <v>0.68143518518518509</v>
      </c>
      <c r="C118" s="39"/>
      <c r="D118" s="39">
        <f>IF(I118=Categories!$E$4,VLOOKUP(H118,Categories!$A$4:$C$15,3,FALSE),VLOOKUP(I118,Categories!$E$4:$G$27,3,FALSE))</f>
        <v>60</v>
      </c>
      <c r="E118" s="39"/>
      <c r="F118" s="39"/>
      <c r="G118" s="40">
        <v>13</v>
      </c>
      <c r="H118" s="41" t="s">
        <v>66</v>
      </c>
      <c r="I118" s="59" t="s">
        <v>346</v>
      </c>
      <c r="J118" s="42"/>
      <c r="K118" s="60">
        <v>2500</v>
      </c>
      <c r="L118" s="43">
        <v>5</v>
      </c>
      <c r="M118" s="44">
        <f>IFERROR(VLOOKUP(VLOOKUP(O118,O118,1,1),Categories!$K$4:$V$17,2+VLOOKUP(L118,L118,1,FALSE),FALSE),"-"  )</f>
        <v>12</v>
      </c>
      <c r="N118" s="44" t="str">
        <f>IFERROR(VLOOKUP(VLOOKUP(O118,O118,1,1),Categories!$K$3:$V$17,7+VLOOKUP(L118,L118,1,FALSE),FALSE),"-")</f>
        <v>2.0 Rev</v>
      </c>
      <c r="O118" s="45" t="s">
        <v>88</v>
      </c>
      <c r="P118" s="46" t="s">
        <v>58</v>
      </c>
      <c r="Q118" s="47" t="s">
        <v>58</v>
      </c>
      <c r="R118" s="48"/>
      <c r="S118" s="48"/>
      <c r="T118" s="49"/>
      <c r="U118" s="61"/>
      <c r="V118" s="50"/>
      <c r="W118" s="50"/>
      <c r="X118" s="53"/>
      <c r="Y118" s="52"/>
      <c r="Z118" s="52"/>
      <c r="AA118" s="52"/>
      <c r="AB118" s="52"/>
      <c r="AC118" s="52"/>
      <c r="AD118" s="52"/>
      <c r="AE118" s="52"/>
      <c r="AF118" s="52"/>
      <c r="AG118" s="53"/>
      <c r="AH118" s="54"/>
      <c r="AI118" s="55"/>
      <c r="AJ118" s="56"/>
      <c r="AK118" s="57"/>
      <c r="AL118" s="57"/>
    </row>
    <row r="119" spans="1:38" ht="31.95" customHeight="1" x14ac:dyDescent="0.3">
      <c r="A119" s="66">
        <v>44074</v>
      </c>
      <c r="B119" s="192">
        <v>0.68212962962962964</v>
      </c>
      <c r="C119" s="39"/>
      <c r="D119" s="39">
        <f>IF(I119=Categories!$E$4,VLOOKUP(H119,Categories!$A$4:$C$15,3,FALSE),VLOOKUP(I119,Categories!$E$4:$G$27,3,FALSE))</f>
        <v>120</v>
      </c>
      <c r="E119" s="39"/>
      <c r="F119" s="39"/>
      <c r="G119" s="40">
        <v>13</v>
      </c>
      <c r="H119" s="41" t="s">
        <v>62</v>
      </c>
      <c r="I119" s="68" t="s">
        <v>58</v>
      </c>
      <c r="J119" s="42"/>
      <c r="K119" s="60">
        <v>2500</v>
      </c>
      <c r="L119" s="43">
        <v>5</v>
      </c>
      <c r="M119" s="44">
        <f>IFERROR(VLOOKUP(VLOOKUP(O119,O119,1,1),Categories!$K$4:$V$17,2+VLOOKUP(L119,L119,1,FALSE),FALSE),"-"  )</f>
        <v>12</v>
      </c>
      <c r="N119" s="44" t="str">
        <f>IFERROR(VLOOKUP(VLOOKUP(O119,O119,1,1),Categories!$K$3:$V$17,7+VLOOKUP(L119,L119,1,FALSE),FALSE),"-")</f>
        <v>2.0 Rev</v>
      </c>
      <c r="O119" s="45" t="s">
        <v>88</v>
      </c>
      <c r="P119" s="46" t="s">
        <v>58</v>
      </c>
      <c r="Q119" s="47" t="s">
        <v>58</v>
      </c>
      <c r="R119" s="48"/>
      <c r="S119" s="48"/>
      <c r="T119" s="49"/>
      <c r="U119" s="61"/>
      <c r="V119" s="50">
        <v>3</v>
      </c>
      <c r="W119" s="50">
        <v>2.6</v>
      </c>
      <c r="X119" s="53">
        <v>4.16</v>
      </c>
      <c r="Y119" s="52"/>
      <c r="Z119" s="52"/>
      <c r="AA119" s="52"/>
      <c r="AB119" s="52"/>
      <c r="AC119" s="52"/>
      <c r="AD119" s="52"/>
      <c r="AE119" s="52"/>
      <c r="AF119" s="52"/>
      <c r="AG119" s="53"/>
      <c r="AH119" s="54"/>
      <c r="AI119" s="55"/>
      <c r="AJ119" s="56"/>
      <c r="AK119" s="57"/>
      <c r="AL119" s="57"/>
    </row>
    <row r="120" spans="1:38" ht="31.95" customHeight="1" x14ac:dyDescent="0.3">
      <c r="A120" s="66">
        <v>44074</v>
      </c>
      <c r="B120" s="192">
        <v>0.68445601851851856</v>
      </c>
      <c r="C120" s="39"/>
      <c r="D120" s="39">
        <f>IF(I120=Categories!$E$4,VLOOKUP(H120,Categories!$A$4:$C$15,3,FALSE),VLOOKUP(I120,Categories!$E$4:$G$27,3,FALSE))</f>
        <v>45</v>
      </c>
      <c r="E120" s="39"/>
      <c r="F120" s="39"/>
      <c r="G120" s="40">
        <v>13</v>
      </c>
      <c r="H120" s="41" t="s">
        <v>66</v>
      </c>
      <c r="I120" s="59" t="s">
        <v>323</v>
      </c>
      <c r="J120" s="42"/>
      <c r="K120" s="60">
        <v>2500</v>
      </c>
      <c r="L120" s="43">
        <v>1</v>
      </c>
      <c r="M120" s="44">
        <f>IFERROR(VLOOKUP(VLOOKUP(O120,O120,1,1),Categories!$K$4:$V$17,2+VLOOKUP(L120,L120,1,FALSE),FALSE),"-"  )</f>
        <v>2.33</v>
      </c>
      <c r="N120" s="44" t="str">
        <f>IFERROR(VLOOKUP(VLOOKUP(O120,O120,1,1),Categories!$K$3:$V$17,7+VLOOKUP(L120,L120,1,FALSE),FALSE),"-")</f>
        <v>0 rev.</v>
      </c>
      <c r="O120" s="45" t="s">
        <v>88</v>
      </c>
      <c r="P120" s="46" t="s">
        <v>58</v>
      </c>
      <c r="Q120" s="47" t="s">
        <v>58</v>
      </c>
      <c r="R120" s="48"/>
      <c r="S120" s="48"/>
      <c r="T120" s="49"/>
      <c r="U120" s="61"/>
      <c r="V120" s="50"/>
      <c r="W120" s="50"/>
      <c r="X120" s="53"/>
      <c r="Y120" s="52"/>
      <c r="Z120" s="52"/>
      <c r="AA120" s="52"/>
      <c r="AB120" s="52"/>
      <c r="AC120" s="52"/>
      <c r="AD120" s="52"/>
      <c r="AE120" s="52"/>
      <c r="AF120" s="52"/>
      <c r="AG120" s="53"/>
      <c r="AH120" s="54"/>
      <c r="AI120" s="55"/>
      <c r="AJ120" s="56"/>
      <c r="AK120" s="57"/>
      <c r="AL120" s="57"/>
    </row>
    <row r="121" spans="1:38" ht="31.95" customHeight="1" x14ac:dyDescent="0.3">
      <c r="A121" s="66">
        <v>44074</v>
      </c>
      <c r="B121" s="192">
        <v>0.68525462962962969</v>
      </c>
      <c r="C121" s="39"/>
      <c r="D121" s="39">
        <f>IF(I121=Categories!$E$4,VLOOKUP(H121,Categories!$A$4:$C$15,3,FALSE),VLOOKUP(I121,Categories!$E$4:$G$27,3,FALSE))</f>
        <v>60</v>
      </c>
      <c r="E121" s="39"/>
      <c r="F121" s="39"/>
      <c r="G121" s="40">
        <v>13</v>
      </c>
      <c r="H121" s="41" t="s">
        <v>78</v>
      </c>
      <c r="I121" s="68" t="s">
        <v>58</v>
      </c>
      <c r="J121" s="42"/>
      <c r="K121" s="60">
        <v>2500</v>
      </c>
      <c r="L121" s="43">
        <v>1</v>
      </c>
      <c r="M121" s="44">
        <f>IFERROR(VLOOKUP(VLOOKUP(O121,O121,1,1),Categories!$K$4:$V$17,2+VLOOKUP(L121,L121,1,FALSE),FALSE),"-"  )</f>
        <v>2.33</v>
      </c>
      <c r="N121" s="44" t="str">
        <f>IFERROR(VLOOKUP(VLOOKUP(O121,O121,1,1),Categories!$K$3:$V$17,7+VLOOKUP(L121,L121,1,FALSE),FALSE),"-")</f>
        <v>0 rev.</v>
      </c>
      <c r="O121" s="45" t="s">
        <v>88</v>
      </c>
      <c r="P121" s="46" t="s">
        <v>58</v>
      </c>
      <c r="Q121" s="47" t="s">
        <v>58</v>
      </c>
      <c r="R121" s="48"/>
      <c r="S121" s="48"/>
      <c r="T121" s="49"/>
      <c r="U121" s="61"/>
      <c r="V121" s="50">
        <v>4.0999999999999996</v>
      </c>
      <c r="W121" s="50">
        <v>3</v>
      </c>
      <c r="X121" s="53">
        <v>5.52</v>
      </c>
      <c r="Y121" s="52"/>
      <c r="Z121" s="52"/>
      <c r="AA121" s="52"/>
      <c r="AB121" s="52"/>
      <c r="AC121" s="52"/>
      <c r="AD121" s="52"/>
      <c r="AE121" s="52"/>
      <c r="AF121" s="52"/>
      <c r="AG121" s="53"/>
      <c r="AH121" s="54"/>
      <c r="AI121" s="55"/>
      <c r="AJ121" s="56"/>
      <c r="AK121" s="57"/>
      <c r="AL121" s="57"/>
    </row>
    <row r="122" spans="1:38" ht="31.95" customHeight="1" x14ac:dyDescent="0.3">
      <c r="A122" s="66">
        <v>44074</v>
      </c>
      <c r="B122" s="192">
        <v>0.68598379629629624</v>
      </c>
      <c r="C122" s="39"/>
      <c r="D122" s="39" t="str">
        <f>IF(I122=Categories!$E$4,VLOOKUP(H122,Categories!$A$4:$C$15,3,FALSE),VLOOKUP(I122,Categories!$E$4:$G$27,3,FALSE))</f>
        <v>-</v>
      </c>
      <c r="E122" s="39"/>
      <c r="F122" s="39"/>
      <c r="G122" s="40" t="s">
        <v>58</v>
      </c>
      <c r="H122" s="41" t="s">
        <v>72</v>
      </c>
      <c r="I122" s="59" t="s">
        <v>58</v>
      </c>
      <c r="J122" s="42"/>
      <c r="K122" s="60">
        <v>2800</v>
      </c>
      <c r="L122" s="43">
        <v>1</v>
      </c>
      <c r="M122" s="44">
        <f>IFERROR(VLOOKUP(VLOOKUP(O122,O122,1,1),Categories!$K$4:$V$17,2+VLOOKUP(L122,L122,1,FALSE),FALSE),"-"  )</f>
        <v>2.33</v>
      </c>
      <c r="N122" s="44" t="str">
        <f>IFERROR(VLOOKUP(VLOOKUP(O122,O122,1,1),Categories!$K$3:$V$17,7+VLOOKUP(L122,L122,1,FALSE),FALSE),"-")</f>
        <v>0 rev.</v>
      </c>
      <c r="O122" s="45" t="s">
        <v>88</v>
      </c>
      <c r="P122" s="46" t="s">
        <v>58</v>
      </c>
      <c r="Q122" s="47" t="s">
        <v>58</v>
      </c>
      <c r="R122" s="48"/>
      <c r="S122" s="48"/>
      <c r="T122" s="49"/>
      <c r="U122" s="61"/>
      <c r="V122" s="50"/>
      <c r="W122" s="50"/>
      <c r="X122" s="53"/>
      <c r="Y122" s="52"/>
      <c r="Z122" s="52"/>
      <c r="AA122" s="52"/>
      <c r="AB122" s="52"/>
      <c r="AC122" s="52"/>
      <c r="AD122" s="52"/>
      <c r="AE122" s="52"/>
      <c r="AF122" s="52"/>
      <c r="AG122" s="53"/>
      <c r="AH122" s="54"/>
      <c r="AI122" s="55" t="s">
        <v>349</v>
      </c>
      <c r="AJ122" s="57"/>
      <c r="AK122" s="57"/>
      <c r="AL122" s="57"/>
    </row>
    <row r="123" spans="1:38" ht="31.95" customHeight="1" x14ac:dyDescent="0.3">
      <c r="A123" s="66">
        <v>44074</v>
      </c>
      <c r="B123" s="192">
        <v>0.73177083333333337</v>
      </c>
      <c r="C123" s="39"/>
      <c r="D123" s="39" t="str">
        <f>IF(I123=Categories!$E$4,VLOOKUP(H123,Categories!$A$4:$C$15,3,FALSE),VLOOKUP(I123,Categories!$E$4:$G$27,3,FALSE))</f>
        <v>-</v>
      </c>
      <c r="E123" s="39"/>
      <c r="F123" s="39"/>
      <c r="G123" s="40" t="s">
        <v>58</v>
      </c>
      <c r="H123" s="41" t="s">
        <v>72</v>
      </c>
      <c r="I123" s="59" t="s">
        <v>58</v>
      </c>
      <c r="J123" s="42"/>
      <c r="K123" s="60">
        <v>2800</v>
      </c>
      <c r="L123" s="43">
        <v>1</v>
      </c>
      <c r="M123" s="44">
        <f>IFERROR(VLOOKUP(VLOOKUP(O123,O123,1,1),Categories!$K$4:$V$17,2+VLOOKUP(L123,L123,1,FALSE),FALSE),"-"  )</f>
        <v>2.33</v>
      </c>
      <c r="N123" s="44" t="str">
        <f>IFERROR(VLOOKUP(VLOOKUP(O123,O123,1,1),Categories!$K$3:$V$17,7+VLOOKUP(L123,L123,1,FALSE),FALSE),"-")</f>
        <v>0 rev.</v>
      </c>
      <c r="O123" s="45" t="s">
        <v>88</v>
      </c>
      <c r="P123" s="46" t="s">
        <v>58</v>
      </c>
      <c r="Q123" s="47" t="s">
        <v>58</v>
      </c>
      <c r="R123" s="48"/>
      <c r="S123" s="48"/>
      <c r="T123" s="49"/>
      <c r="U123" s="61"/>
      <c r="V123" s="50"/>
      <c r="W123" s="50"/>
      <c r="X123" s="53"/>
      <c r="Y123" s="52"/>
      <c r="Z123" s="52"/>
      <c r="AA123" s="52"/>
      <c r="AB123" s="52"/>
      <c r="AC123" s="52"/>
      <c r="AD123" s="52"/>
      <c r="AE123" s="52"/>
      <c r="AF123" s="52"/>
      <c r="AG123" s="53"/>
      <c r="AH123" s="54"/>
      <c r="AI123" s="55"/>
      <c r="AJ123" s="56" t="s">
        <v>350</v>
      </c>
      <c r="AK123" s="57"/>
      <c r="AL123" s="57"/>
    </row>
    <row r="124" spans="1:38" ht="31.95" customHeight="1" x14ac:dyDescent="0.3">
      <c r="A124" s="37">
        <v>44075</v>
      </c>
      <c r="B124" s="193">
        <v>0.46510416666666665</v>
      </c>
      <c r="C124" s="39"/>
      <c r="D124" s="39">
        <f>IF(I124=Categories!$E$4,VLOOKUP(H124,Categories!$A$4:$C$15,3,FALSE),VLOOKUP(I124,Categories!$E$4:$G$27,3,FALSE))</f>
        <v>120</v>
      </c>
      <c r="E124" s="39"/>
      <c r="F124" s="39"/>
      <c r="G124" s="40">
        <v>14</v>
      </c>
      <c r="H124" s="41" t="s">
        <v>62</v>
      </c>
      <c r="I124" s="59" t="s">
        <v>58</v>
      </c>
      <c r="J124" s="42"/>
      <c r="K124" s="60">
        <v>3100</v>
      </c>
      <c r="L124" s="43" t="s">
        <v>58</v>
      </c>
      <c r="M124" s="44" t="str">
        <f>IFERROR(VLOOKUP(VLOOKUP(O124,O124,1,1),Categories!$K$4:$V$17,2+VLOOKUP(L124,L124,1,FALSE),FALSE),"-"  )</f>
        <v>-</v>
      </c>
      <c r="N124" s="44" t="str">
        <f>IFERROR(VLOOKUP(VLOOKUP(O124,O124,1,1),Categories!$K$3:$V$17,7+VLOOKUP(L124,L124,1,FALSE),FALSE),"-")</f>
        <v>-</v>
      </c>
      <c r="O124" s="45" t="s">
        <v>58</v>
      </c>
      <c r="P124" s="46" t="s">
        <v>58</v>
      </c>
      <c r="Q124" s="47" t="s">
        <v>58</v>
      </c>
      <c r="R124" s="61"/>
      <c r="S124" s="61"/>
      <c r="T124" s="62"/>
      <c r="U124" s="61"/>
      <c r="V124" s="63">
        <v>5.5</v>
      </c>
      <c r="W124" s="63">
        <v>5.6</v>
      </c>
      <c r="X124" s="51">
        <v>7.02</v>
      </c>
      <c r="Y124" s="64"/>
      <c r="Z124" s="64"/>
      <c r="AA124" s="64"/>
      <c r="AB124" s="64"/>
      <c r="AC124" s="64"/>
      <c r="AD124" s="64"/>
      <c r="AE124" s="64"/>
      <c r="AF124" s="64"/>
      <c r="AG124" s="51"/>
      <c r="AH124" s="65"/>
      <c r="AI124" s="55" t="s">
        <v>63</v>
      </c>
      <c r="AJ124" s="57" t="s">
        <v>351</v>
      </c>
      <c r="AK124" s="57"/>
      <c r="AL124" s="57" t="s">
        <v>65</v>
      </c>
    </row>
    <row r="125" spans="1:38" ht="31.95" customHeight="1" x14ac:dyDescent="0.3">
      <c r="A125" s="37">
        <v>44075</v>
      </c>
      <c r="B125" s="194">
        <v>0.46674768518518522</v>
      </c>
      <c r="C125" s="39"/>
      <c r="D125" s="39">
        <f>IF(I125=Categories!$E$4,VLOOKUP(H125,Categories!$A$4:$C$15,3,FALSE),VLOOKUP(I125,Categories!$E$4:$G$27,3,FALSE))</f>
        <v>30</v>
      </c>
      <c r="E125" s="39"/>
      <c r="F125" s="39"/>
      <c r="G125" s="40">
        <v>14</v>
      </c>
      <c r="H125" s="41" t="s">
        <v>66</v>
      </c>
      <c r="I125" s="59" t="s">
        <v>67</v>
      </c>
      <c r="J125" s="42"/>
      <c r="K125" s="60">
        <v>2800</v>
      </c>
      <c r="L125" s="43" t="s">
        <v>58</v>
      </c>
      <c r="M125" s="44" t="str">
        <f>IFERROR(VLOOKUP(VLOOKUP(O125,O125,1,1),Categories!$K$4:$V$17,2+VLOOKUP(L125,L125,1,FALSE),FALSE),"-"  )</f>
        <v>-</v>
      </c>
      <c r="N125" s="44" t="str">
        <f>IFERROR(VLOOKUP(VLOOKUP(O125,O125,1,1),Categories!$K$3:$V$17,7+VLOOKUP(L125,L125,1,FALSE),FALSE),"-")</f>
        <v>-</v>
      </c>
      <c r="O125" s="45" t="s">
        <v>58</v>
      </c>
      <c r="P125" s="46" t="s">
        <v>58</v>
      </c>
      <c r="Q125" s="47" t="s">
        <v>58</v>
      </c>
      <c r="R125" s="61"/>
      <c r="S125" s="61"/>
      <c r="T125" s="62"/>
      <c r="U125" s="61"/>
      <c r="V125" s="63"/>
      <c r="W125" s="63"/>
      <c r="X125" s="51"/>
      <c r="Y125" s="64"/>
      <c r="Z125" s="64"/>
      <c r="AA125" s="64"/>
      <c r="AB125" s="64"/>
      <c r="AC125" s="64"/>
      <c r="AD125" s="64"/>
      <c r="AE125" s="64"/>
      <c r="AF125" s="64"/>
      <c r="AG125" s="51"/>
      <c r="AH125" s="65"/>
      <c r="AI125" s="55"/>
      <c r="AJ125" s="57"/>
      <c r="AK125" s="57"/>
      <c r="AL125" s="57" t="s">
        <v>67</v>
      </c>
    </row>
    <row r="126" spans="1:38" ht="31.95" customHeight="1" x14ac:dyDescent="0.3">
      <c r="A126" s="37">
        <v>44075</v>
      </c>
      <c r="B126" s="194">
        <v>0.46724537037037034</v>
      </c>
      <c r="C126" s="39"/>
      <c r="D126" s="39">
        <f>IF(I126=Categories!$E$4,VLOOKUP(H126,Categories!$A$4:$C$15,3,FALSE),VLOOKUP(I126,Categories!$E$4:$G$27,3,FALSE))</f>
        <v>120</v>
      </c>
      <c r="E126" s="39"/>
      <c r="F126" s="39"/>
      <c r="G126" s="40">
        <v>14</v>
      </c>
      <c r="H126" s="41" t="s">
        <v>68</v>
      </c>
      <c r="I126" s="59" t="s">
        <v>58</v>
      </c>
      <c r="J126" s="42"/>
      <c r="K126" s="60">
        <v>2800</v>
      </c>
      <c r="L126" s="43" t="s">
        <v>58</v>
      </c>
      <c r="M126" s="44" t="str">
        <f>IFERROR(VLOOKUP(VLOOKUP(O126,O126,1,1),Categories!$K$4:$V$17,2+VLOOKUP(L126,L126,1,FALSE),FALSE),"-"  )</f>
        <v>-</v>
      </c>
      <c r="N126" s="44" t="str">
        <f>IFERROR(VLOOKUP(VLOOKUP(O126,O126,1,1),Categories!$K$3:$V$17,7+VLOOKUP(L126,L126,1,FALSE),FALSE),"-")</f>
        <v>-</v>
      </c>
      <c r="O126" s="45" t="s">
        <v>58</v>
      </c>
      <c r="P126" s="46" t="s">
        <v>58</v>
      </c>
      <c r="Q126" s="47" t="s">
        <v>58</v>
      </c>
      <c r="R126" s="61"/>
      <c r="S126" s="61"/>
      <c r="T126" s="62"/>
      <c r="U126" s="61"/>
      <c r="V126" s="63">
        <v>4.5999999999999996</v>
      </c>
      <c r="W126" s="63">
        <v>4.0999999999999996</v>
      </c>
      <c r="X126" s="51">
        <v>6.29</v>
      </c>
      <c r="Y126" s="64"/>
      <c r="Z126" s="64"/>
      <c r="AA126" s="64"/>
      <c r="AB126" s="64"/>
      <c r="AC126" s="64"/>
      <c r="AD126" s="64"/>
      <c r="AE126" s="64"/>
      <c r="AF126" s="64"/>
      <c r="AG126" s="51"/>
      <c r="AH126" s="65"/>
      <c r="AI126" s="55"/>
      <c r="AJ126" s="57"/>
      <c r="AK126" s="57"/>
      <c r="AL126" s="57" t="s">
        <v>69</v>
      </c>
    </row>
    <row r="127" spans="1:38" ht="31.95" customHeight="1" x14ac:dyDescent="0.3">
      <c r="A127" s="37">
        <v>44075</v>
      </c>
      <c r="B127" s="194">
        <v>0.46886574074074078</v>
      </c>
      <c r="C127" s="39"/>
      <c r="D127" s="39">
        <f>IF(I127=Categories!$E$4,VLOOKUP(H127,Categories!$A$4:$C$15,3,FALSE),VLOOKUP(I127,Categories!$E$4:$G$27,3,FALSE))</f>
        <v>30</v>
      </c>
      <c r="E127" s="39"/>
      <c r="F127" s="39"/>
      <c r="G127" s="40">
        <v>14</v>
      </c>
      <c r="H127" s="41" t="s">
        <v>66</v>
      </c>
      <c r="I127" s="59" t="s">
        <v>67</v>
      </c>
      <c r="J127" s="42"/>
      <c r="K127" s="60">
        <v>2500</v>
      </c>
      <c r="L127" s="43" t="s">
        <v>58</v>
      </c>
      <c r="M127" s="44" t="str">
        <f>IFERROR(VLOOKUP(VLOOKUP(O127,O127,1,1),Categories!$K$4:$V$17,2+VLOOKUP(L127,L127,1,FALSE),FALSE),"-"  )</f>
        <v>-</v>
      </c>
      <c r="N127" s="44" t="str">
        <f>IFERROR(VLOOKUP(VLOOKUP(O127,O127,1,1),Categories!$K$3:$V$17,7+VLOOKUP(L127,L127,1,FALSE),FALSE),"-")</f>
        <v>-</v>
      </c>
      <c r="O127" s="45" t="s">
        <v>58</v>
      </c>
      <c r="P127" s="46" t="s">
        <v>58</v>
      </c>
      <c r="Q127" s="47" t="s">
        <v>58</v>
      </c>
      <c r="R127" s="61"/>
      <c r="S127" s="61"/>
      <c r="T127" s="62"/>
      <c r="U127" s="61"/>
      <c r="V127" s="63"/>
      <c r="W127" s="63"/>
      <c r="X127" s="51"/>
      <c r="Y127" s="64"/>
      <c r="Z127" s="64"/>
      <c r="AA127" s="64"/>
      <c r="AB127" s="64"/>
      <c r="AC127" s="64"/>
      <c r="AD127" s="64"/>
      <c r="AE127" s="64"/>
      <c r="AF127" s="64"/>
      <c r="AG127" s="51"/>
      <c r="AH127" s="65"/>
      <c r="AI127" s="55"/>
      <c r="AJ127" s="57" t="s">
        <v>352</v>
      </c>
      <c r="AK127" s="57"/>
      <c r="AL127" s="57" t="s">
        <v>67</v>
      </c>
    </row>
    <row r="128" spans="1:38" ht="31.95" customHeight="1" x14ac:dyDescent="0.3">
      <c r="A128" s="37">
        <v>44075</v>
      </c>
      <c r="B128" s="194">
        <v>0.46932870370370372</v>
      </c>
      <c r="C128" s="39"/>
      <c r="D128" s="39">
        <f>IF(I128=Categories!$E$4,VLOOKUP(H128,Categories!$A$4:$C$15,3,FALSE),VLOOKUP(I128,Categories!$E$4:$G$27,3,FALSE))</f>
        <v>120</v>
      </c>
      <c r="E128" s="39"/>
      <c r="F128" s="39"/>
      <c r="G128" s="40">
        <v>14</v>
      </c>
      <c r="H128" s="41" t="s">
        <v>62</v>
      </c>
      <c r="I128" s="59" t="s">
        <v>58</v>
      </c>
      <c r="J128" s="42"/>
      <c r="K128" s="60">
        <v>2500</v>
      </c>
      <c r="L128" s="43" t="s">
        <v>58</v>
      </c>
      <c r="M128" s="44" t="str">
        <f>IFERROR(VLOOKUP(VLOOKUP(O128,O128,1,1),Categories!$K$4:$V$17,2+VLOOKUP(L128,L128,1,FALSE),FALSE),"-"  )</f>
        <v>-</v>
      </c>
      <c r="N128" s="44" t="str">
        <f>IFERROR(VLOOKUP(VLOOKUP(O128,O128,1,1),Categories!$K$3:$V$17,7+VLOOKUP(L128,L128,1,FALSE),FALSE),"-")</f>
        <v>-</v>
      </c>
      <c r="O128" s="45" t="s">
        <v>58</v>
      </c>
      <c r="P128" s="46" t="s">
        <v>58</v>
      </c>
      <c r="Q128" s="47" t="s">
        <v>58</v>
      </c>
      <c r="R128" s="61"/>
      <c r="S128" s="61"/>
      <c r="T128" s="62"/>
      <c r="U128" s="48"/>
      <c r="V128" s="63">
        <v>4.0999999999999996</v>
      </c>
      <c r="W128" s="63">
        <v>3</v>
      </c>
      <c r="X128" s="51">
        <v>5.56</v>
      </c>
      <c r="Y128" s="64"/>
      <c r="Z128" s="64"/>
      <c r="AA128" s="64"/>
      <c r="AB128" s="64"/>
      <c r="AC128" s="64"/>
      <c r="AD128" s="64"/>
      <c r="AE128" s="64"/>
      <c r="AF128" s="64"/>
      <c r="AG128" s="51"/>
      <c r="AH128" s="65"/>
      <c r="AI128" s="55"/>
      <c r="AJ128" s="57"/>
      <c r="AK128" s="57"/>
      <c r="AL128" s="57" t="s">
        <v>70</v>
      </c>
    </row>
    <row r="129" spans="1:38" ht="31.95" customHeight="1" x14ac:dyDescent="0.3">
      <c r="A129" s="37">
        <v>44075</v>
      </c>
      <c r="B129" s="194">
        <v>0.47076388888888893</v>
      </c>
      <c r="C129" s="39"/>
      <c r="D129" s="39">
        <f>IF(I129=Categories!$E$4,VLOOKUP(H129,Categories!$A$4:$C$15,3,FALSE),VLOOKUP(I129,Categories!$E$4:$G$27,3,FALSE))</f>
        <v>30</v>
      </c>
      <c r="E129" s="39"/>
      <c r="F129" s="39"/>
      <c r="G129" s="40">
        <v>14</v>
      </c>
      <c r="H129" s="41" t="s">
        <v>66</v>
      </c>
      <c r="I129" s="59" t="s">
        <v>67</v>
      </c>
      <c r="J129" s="42"/>
      <c r="K129" s="60">
        <v>2200</v>
      </c>
      <c r="L129" s="43" t="s">
        <v>58</v>
      </c>
      <c r="M129" s="44" t="str">
        <f>IFERROR(VLOOKUP(VLOOKUP(O129,O129,1,1),Categories!$K$4:$V$17,2+VLOOKUP(L129,L129,1,FALSE),FALSE),"-"  )</f>
        <v>-</v>
      </c>
      <c r="N129" s="44" t="str">
        <f>IFERROR(VLOOKUP(VLOOKUP(O129,O129,1,1),Categories!$K$3:$V$17,7+VLOOKUP(L129,L129,1,FALSE),FALSE),"-")</f>
        <v>-</v>
      </c>
      <c r="O129" s="45" t="s">
        <v>58</v>
      </c>
      <c r="P129" s="46" t="s">
        <v>58</v>
      </c>
      <c r="Q129" s="47" t="s">
        <v>58</v>
      </c>
      <c r="R129" s="61"/>
      <c r="S129" s="61"/>
      <c r="T129" s="62"/>
      <c r="U129" s="48"/>
      <c r="V129" s="63"/>
      <c r="W129" s="63"/>
      <c r="X129" s="51"/>
      <c r="Y129" s="64"/>
      <c r="Z129" s="64"/>
      <c r="AA129" s="64"/>
      <c r="AB129" s="64"/>
      <c r="AC129" s="64"/>
      <c r="AD129" s="64"/>
      <c r="AE129" s="64"/>
      <c r="AF129" s="64"/>
      <c r="AG129" s="51"/>
      <c r="AH129" s="65"/>
      <c r="AI129" s="55"/>
      <c r="AJ129" s="57"/>
      <c r="AK129" s="57"/>
      <c r="AL129" s="57" t="s">
        <v>67</v>
      </c>
    </row>
    <row r="130" spans="1:38" ht="31.95" customHeight="1" x14ac:dyDescent="0.3">
      <c r="A130" s="37">
        <v>44075</v>
      </c>
      <c r="B130" s="194">
        <v>0.47143518518518518</v>
      </c>
      <c r="C130" s="39"/>
      <c r="D130" s="39">
        <f>IF(I130=Categories!$E$4,VLOOKUP(H130,Categories!$A$4:$C$15,3,FALSE),VLOOKUP(I130,Categories!$E$4:$G$27,3,FALSE))</f>
        <v>120</v>
      </c>
      <c r="E130" s="39"/>
      <c r="F130" s="39"/>
      <c r="G130" s="40">
        <v>14</v>
      </c>
      <c r="H130" s="41" t="s">
        <v>62</v>
      </c>
      <c r="I130" s="59" t="s">
        <v>58</v>
      </c>
      <c r="J130" s="42"/>
      <c r="K130" s="60">
        <v>2200</v>
      </c>
      <c r="L130" s="43" t="s">
        <v>58</v>
      </c>
      <c r="M130" s="44" t="str">
        <f>IFERROR(VLOOKUP(VLOOKUP(O130,O130,1,1),Categories!$K$4:$V$17,2+VLOOKUP(L130,L130,1,FALSE),FALSE),"-"  )</f>
        <v>-</v>
      </c>
      <c r="N130" s="44" t="str">
        <f>IFERROR(VLOOKUP(VLOOKUP(O130,O130,1,1),Categories!$K$3:$V$17,7+VLOOKUP(L130,L130,1,FALSE),FALSE),"-")</f>
        <v>-</v>
      </c>
      <c r="O130" s="45" t="s">
        <v>58</v>
      </c>
      <c r="P130" s="46" t="s">
        <v>58</v>
      </c>
      <c r="Q130" s="47" t="s">
        <v>58</v>
      </c>
      <c r="R130" s="61"/>
      <c r="S130" s="61"/>
      <c r="T130" s="62"/>
      <c r="U130" s="48"/>
      <c r="V130" s="63">
        <v>3.4</v>
      </c>
      <c r="W130" s="63">
        <v>2.1</v>
      </c>
      <c r="X130" s="51">
        <v>4.83</v>
      </c>
      <c r="Y130" s="64"/>
      <c r="Z130" s="64"/>
      <c r="AA130" s="64"/>
      <c r="AB130" s="64"/>
      <c r="AC130" s="64"/>
      <c r="AD130" s="64"/>
      <c r="AE130" s="64"/>
      <c r="AF130" s="64"/>
      <c r="AG130" s="51"/>
      <c r="AH130" s="65"/>
      <c r="AI130" s="55"/>
      <c r="AJ130" s="57"/>
      <c r="AK130" s="57"/>
      <c r="AL130" s="57" t="s">
        <v>71</v>
      </c>
    </row>
    <row r="131" spans="1:38" ht="31.95" customHeight="1" x14ac:dyDescent="0.3">
      <c r="A131" s="66">
        <v>44075</v>
      </c>
      <c r="B131" s="195">
        <v>0.47304398148148147</v>
      </c>
      <c r="C131" s="39"/>
      <c r="D131" s="39" t="str">
        <f>IF(I131=Categories!$E$4,VLOOKUP(H131,Categories!$A$4:$C$15,3,FALSE),VLOOKUP(I131,Categories!$E$4:$G$27,3,FALSE))</f>
        <v>-</v>
      </c>
      <c r="E131" s="39"/>
      <c r="F131" s="39"/>
      <c r="G131" s="40" t="s">
        <v>58</v>
      </c>
      <c r="H131" s="41" t="s">
        <v>72</v>
      </c>
      <c r="I131" s="59" t="s">
        <v>58</v>
      </c>
      <c r="J131" s="42"/>
      <c r="K131" s="60">
        <v>2200</v>
      </c>
      <c r="L131" s="43" t="s">
        <v>58</v>
      </c>
      <c r="M131" s="44" t="str">
        <f>IFERROR(VLOOKUP(VLOOKUP(O131,O131,1,1),Categories!$K$4:$V$17,2+VLOOKUP(L131,L131,1,FALSE),FALSE),"-"  )</f>
        <v>-</v>
      </c>
      <c r="N131" s="44" t="str">
        <f>IFERROR(VLOOKUP(VLOOKUP(O131,O131,1,1),Categories!$K$3:$V$17,7+VLOOKUP(L131,L131,1,FALSE),FALSE),"-")</f>
        <v>-</v>
      </c>
      <c r="O131" s="45" t="s">
        <v>58</v>
      </c>
      <c r="P131" s="46" t="s">
        <v>58</v>
      </c>
      <c r="Q131" s="47" t="s">
        <v>58</v>
      </c>
      <c r="R131" s="48"/>
      <c r="S131" s="48"/>
      <c r="T131" s="49"/>
      <c r="U131" s="61"/>
      <c r="V131" s="50"/>
      <c r="W131" s="50"/>
      <c r="X131" s="53"/>
      <c r="Y131" s="52"/>
      <c r="Z131" s="52"/>
      <c r="AA131" s="52"/>
      <c r="AB131" s="52"/>
      <c r="AC131" s="52"/>
      <c r="AD131" s="52"/>
      <c r="AE131" s="52"/>
      <c r="AF131" s="52"/>
      <c r="AG131" s="53"/>
      <c r="AH131" s="54"/>
      <c r="AI131" s="55"/>
      <c r="AJ131" s="56"/>
      <c r="AK131" s="57"/>
      <c r="AL131" s="57"/>
    </row>
    <row r="132" spans="1:38" ht="31.95" customHeight="1" x14ac:dyDescent="0.3">
      <c r="A132" s="37">
        <v>44075</v>
      </c>
      <c r="B132" s="194">
        <v>0.47792824074074075</v>
      </c>
      <c r="C132" s="39"/>
      <c r="D132" s="39" t="str">
        <f>IF(I132=Categories!$E$4,VLOOKUP(H132,Categories!$A$4:$C$15,3,FALSE),VLOOKUP(I132,Categories!$E$4:$G$27,3,FALSE))</f>
        <v>-</v>
      </c>
      <c r="E132" s="39"/>
      <c r="F132" s="39"/>
      <c r="G132" s="40" t="s">
        <v>58</v>
      </c>
      <c r="H132" s="41" t="s">
        <v>72</v>
      </c>
      <c r="I132" s="59" t="s">
        <v>73</v>
      </c>
      <c r="J132" s="42"/>
      <c r="K132" s="60">
        <v>2200</v>
      </c>
      <c r="L132" s="43">
        <v>1</v>
      </c>
      <c r="M132" s="44">
        <f>IFERROR(VLOOKUP(VLOOKUP(O132,O132,1,1),Categories!$K$4:$V$17,2+VLOOKUP(L132,L132,1,FALSE),FALSE),"-"  )</f>
        <v>2.33</v>
      </c>
      <c r="N132" s="44" t="str">
        <f>IFERROR(VLOOKUP(VLOOKUP(O132,O132,1,1),Categories!$K$3:$V$17,7+VLOOKUP(L132,L132,1,FALSE),FALSE),"-")</f>
        <v>0 rev.</v>
      </c>
      <c r="O132" s="45" t="s">
        <v>88</v>
      </c>
      <c r="P132" s="46" t="s">
        <v>58</v>
      </c>
      <c r="Q132" s="47" t="s">
        <v>58</v>
      </c>
      <c r="R132" s="61"/>
      <c r="S132" s="61"/>
      <c r="T132" s="62"/>
      <c r="U132" s="61"/>
      <c r="V132" s="63"/>
      <c r="W132" s="63"/>
      <c r="X132" s="51"/>
      <c r="Y132" s="64"/>
      <c r="Z132" s="64"/>
      <c r="AA132" s="64"/>
      <c r="AB132" s="64"/>
      <c r="AC132" s="64"/>
      <c r="AD132" s="64"/>
      <c r="AE132" s="64"/>
      <c r="AF132" s="64"/>
      <c r="AG132" s="51"/>
      <c r="AH132" s="65"/>
      <c r="AI132" s="55"/>
      <c r="AJ132" s="57" t="s">
        <v>354</v>
      </c>
      <c r="AK132" s="57"/>
      <c r="AL132" s="57"/>
    </row>
    <row r="133" spans="1:38" ht="31.95" customHeight="1" x14ac:dyDescent="0.3">
      <c r="A133" s="37">
        <v>44075</v>
      </c>
      <c r="B133" s="194">
        <v>0.48386574074074074</v>
      </c>
      <c r="C133" s="39"/>
      <c r="D133" s="39">
        <f>IF(I133=Categories!$E$4,VLOOKUP(H133,Categories!$A$4:$C$15,3,FALSE),VLOOKUP(I133,Categories!$E$4:$G$27,3,FALSE))</f>
        <v>120</v>
      </c>
      <c r="E133" s="39"/>
      <c r="F133" s="39"/>
      <c r="G133" s="40">
        <v>15</v>
      </c>
      <c r="H133" s="41" t="s">
        <v>62</v>
      </c>
      <c r="I133" s="59" t="s">
        <v>58</v>
      </c>
      <c r="J133" s="42"/>
      <c r="K133" s="60">
        <v>2200</v>
      </c>
      <c r="L133" s="43">
        <v>1</v>
      </c>
      <c r="M133" s="44">
        <f>IFERROR(VLOOKUP(VLOOKUP(O133,O133,1,1),Categories!$K$4:$V$17,2+VLOOKUP(L133,L133,1,FALSE),FALSE),"-"  )</f>
        <v>2.33</v>
      </c>
      <c r="N133" s="44" t="str">
        <f>IFERROR(VLOOKUP(VLOOKUP(O133,O133,1,1),Categories!$K$3:$V$17,7+VLOOKUP(L133,L133,1,FALSE),FALSE),"-")</f>
        <v>0 rev.</v>
      </c>
      <c r="O133" s="45" t="s">
        <v>88</v>
      </c>
      <c r="P133" s="46" t="s">
        <v>58</v>
      </c>
      <c r="Q133" s="47" t="s">
        <v>58</v>
      </c>
      <c r="R133" s="61"/>
      <c r="S133" s="61"/>
      <c r="T133" s="62"/>
      <c r="U133" s="61"/>
      <c r="V133" s="63">
        <v>3.4</v>
      </c>
      <c r="W133" s="63">
        <v>2.1</v>
      </c>
      <c r="X133" s="51">
        <v>4.82</v>
      </c>
      <c r="Y133" s="64"/>
      <c r="Z133" s="64"/>
      <c r="AA133" s="64"/>
      <c r="AB133" s="64"/>
      <c r="AC133" s="64"/>
      <c r="AD133" s="64"/>
      <c r="AE133" s="64"/>
      <c r="AF133" s="64"/>
      <c r="AG133" s="51"/>
      <c r="AH133" s="65"/>
      <c r="AI133" s="55"/>
      <c r="AJ133" s="57"/>
      <c r="AK133" s="57"/>
      <c r="AL133" s="57"/>
    </row>
    <row r="134" spans="1:38" ht="31.95" customHeight="1" x14ac:dyDescent="0.3">
      <c r="A134" s="37">
        <v>44075</v>
      </c>
      <c r="B134" s="194">
        <v>0.48527777777777775</v>
      </c>
      <c r="C134" s="39"/>
      <c r="D134" s="39">
        <f>IF(I134=Categories!$E$4,VLOOKUP(H134,Categories!$A$4:$C$15,3,FALSE),VLOOKUP(I134,Categories!$E$4:$G$27,3,FALSE))</f>
        <v>60</v>
      </c>
      <c r="E134" s="39"/>
      <c r="F134" s="39"/>
      <c r="G134" s="40">
        <v>15</v>
      </c>
      <c r="H134" s="41" t="s">
        <v>66</v>
      </c>
      <c r="I134" s="59" t="s">
        <v>346</v>
      </c>
      <c r="J134" s="42"/>
      <c r="K134" s="60">
        <v>2200</v>
      </c>
      <c r="L134" s="43">
        <v>2</v>
      </c>
      <c r="M134" s="44">
        <f>IFERROR(VLOOKUP(VLOOKUP(O134,O134,1,1),Categories!$K$4:$V$17,2+VLOOKUP(L134,L134,1,FALSE),FALSE),"-"  )</f>
        <v>9</v>
      </c>
      <c r="N134" s="44" t="str">
        <f>IFERROR(VLOOKUP(VLOOKUP(O134,O134,1,1),Categories!$K$3:$V$17,7+VLOOKUP(L134,L134,1,FALSE),FALSE),"-")</f>
        <v>1.0 rev.</v>
      </c>
      <c r="O134" s="45" t="s">
        <v>88</v>
      </c>
      <c r="P134" s="46" t="s">
        <v>58</v>
      </c>
      <c r="Q134" s="47" t="s">
        <v>58</v>
      </c>
      <c r="R134" s="61"/>
      <c r="S134" s="61"/>
      <c r="T134" s="62"/>
      <c r="U134" s="61"/>
      <c r="V134" s="63"/>
      <c r="W134" s="63"/>
      <c r="X134" s="51"/>
      <c r="Y134" s="64"/>
      <c r="Z134" s="64"/>
      <c r="AA134" s="64"/>
      <c r="AB134" s="64"/>
      <c r="AC134" s="64"/>
      <c r="AD134" s="64"/>
      <c r="AE134" s="64"/>
      <c r="AF134" s="64"/>
      <c r="AG134" s="51"/>
      <c r="AH134" s="65"/>
      <c r="AI134" s="55"/>
      <c r="AJ134" s="57"/>
      <c r="AK134" s="57"/>
      <c r="AL134" s="57"/>
    </row>
    <row r="135" spans="1:38" ht="31.95" customHeight="1" x14ac:dyDescent="0.3">
      <c r="A135" s="66">
        <v>44075</v>
      </c>
      <c r="B135" s="195">
        <v>0.48591435185185183</v>
      </c>
      <c r="C135" s="39"/>
      <c r="D135" s="39">
        <f>IF(I135=Categories!$E$4,VLOOKUP(H135,Categories!$A$4:$C$15,3,FALSE),VLOOKUP(I135,Categories!$E$4:$G$27,3,FALSE))</f>
        <v>120</v>
      </c>
      <c r="E135" s="39"/>
      <c r="F135" s="39"/>
      <c r="G135" s="40">
        <v>15</v>
      </c>
      <c r="H135" s="41" t="s">
        <v>62</v>
      </c>
      <c r="I135" s="68" t="s">
        <v>58</v>
      </c>
      <c r="J135" s="42"/>
      <c r="K135" s="60">
        <v>2200</v>
      </c>
      <c r="L135" s="43">
        <v>2</v>
      </c>
      <c r="M135" s="44">
        <f>IFERROR(VLOOKUP(VLOOKUP(O135,O135,1,1),Categories!$K$4:$V$17,2+VLOOKUP(L135,L135,1,FALSE),FALSE),"-"  )</f>
        <v>9</v>
      </c>
      <c r="N135" s="44" t="str">
        <f>IFERROR(VLOOKUP(VLOOKUP(O135,O135,1,1),Categories!$K$3:$V$17,7+VLOOKUP(L135,L135,1,FALSE),FALSE),"-")</f>
        <v>1.0 rev.</v>
      </c>
      <c r="O135" s="45" t="s">
        <v>88</v>
      </c>
      <c r="P135" s="46" t="s">
        <v>58</v>
      </c>
      <c r="Q135" s="47" t="s">
        <v>58</v>
      </c>
      <c r="R135" s="48"/>
      <c r="S135" s="48"/>
      <c r="T135" s="49"/>
      <c r="U135" s="61"/>
      <c r="V135" s="50">
        <v>3.4</v>
      </c>
      <c r="W135" s="50">
        <v>2.1</v>
      </c>
      <c r="X135" s="53">
        <v>4.67</v>
      </c>
      <c r="Y135" s="52"/>
      <c r="Z135" s="52"/>
      <c r="AA135" s="52"/>
      <c r="AB135" s="52"/>
      <c r="AC135" s="52"/>
      <c r="AD135" s="52"/>
      <c r="AE135" s="52"/>
      <c r="AF135" s="52"/>
      <c r="AG135" s="53"/>
      <c r="AH135" s="54"/>
      <c r="AI135" s="55"/>
      <c r="AJ135" s="56"/>
      <c r="AK135" s="57"/>
      <c r="AL135" s="57"/>
    </row>
    <row r="136" spans="1:38" ht="31.95" customHeight="1" x14ac:dyDescent="0.3">
      <c r="A136" s="66">
        <v>44075</v>
      </c>
      <c r="B136" s="195">
        <v>0.48744212962962963</v>
      </c>
      <c r="C136" s="39"/>
      <c r="D136" s="39">
        <f>IF(I136=Categories!$E$4,VLOOKUP(H136,Categories!$A$4:$C$15,3,FALSE),VLOOKUP(I136,Categories!$E$4:$G$27,3,FALSE))</f>
        <v>60</v>
      </c>
      <c r="E136" s="39"/>
      <c r="F136" s="39"/>
      <c r="G136" s="40">
        <v>15</v>
      </c>
      <c r="H136" s="41" t="s">
        <v>66</v>
      </c>
      <c r="I136" s="59" t="s">
        <v>346</v>
      </c>
      <c r="J136" s="42"/>
      <c r="K136" s="60">
        <v>2200</v>
      </c>
      <c r="L136" s="43">
        <v>3</v>
      </c>
      <c r="M136" s="44">
        <f>IFERROR(VLOOKUP(VLOOKUP(O136,O136,1,1),Categories!$K$4:$V$17,2+VLOOKUP(L136,L136,1,FALSE),FALSE),"-"  )</f>
        <v>10</v>
      </c>
      <c r="N136" s="44" t="str">
        <f>IFERROR(VLOOKUP(VLOOKUP(O136,O136,1,1),Categories!$K$3:$V$17,7+VLOOKUP(L136,L136,1,FALSE),FALSE),"-")</f>
        <v>1.25 rev.</v>
      </c>
      <c r="O136" s="45" t="s">
        <v>88</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v>44075</v>
      </c>
      <c r="B137" s="195">
        <v>0.48813657407407413</v>
      </c>
      <c r="C137" s="39"/>
      <c r="D137" s="39">
        <f>IF(I137=Categories!$E$4,VLOOKUP(H137,Categories!$A$4:$C$15,3,FALSE),VLOOKUP(I137,Categories!$E$4:$G$27,3,FALSE))</f>
        <v>120</v>
      </c>
      <c r="E137" s="39"/>
      <c r="F137" s="39"/>
      <c r="G137" s="40">
        <v>15</v>
      </c>
      <c r="H137" s="41" t="s">
        <v>62</v>
      </c>
      <c r="I137" s="68" t="s">
        <v>58</v>
      </c>
      <c r="J137" s="42"/>
      <c r="K137" s="60">
        <v>2200</v>
      </c>
      <c r="L137" s="43">
        <v>3</v>
      </c>
      <c r="M137" s="44">
        <f>IFERROR(VLOOKUP(VLOOKUP(O137,O137,1,1),Categories!$K$4:$V$17,2+VLOOKUP(L137,L137,1,FALSE),FALSE),"-"  )</f>
        <v>10</v>
      </c>
      <c r="N137" s="44" t="str">
        <f>IFERROR(VLOOKUP(VLOOKUP(O137,O137,1,1),Categories!$K$3:$V$17,7+VLOOKUP(L137,L137,1,FALSE),FALSE),"-")</f>
        <v>1.25 rev.</v>
      </c>
      <c r="O137" s="45" t="s">
        <v>88</v>
      </c>
      <c r="P137" s="46" t="s">
        <v>58</v>
      </c>
      <c r="Q137" s="47" t="s">
        <v>58</v>
      </c>
      <c r="R137" s="48"/>
      <c r="S137" s="48"/>
      <c r="T137" s="49"/>
      <c r="U137" s="61"/>
      <c r="V137" s="50">
        <v>3</v>
      </c>
      <c r="W137" s="50">
        <v>2</v>
      </c>
      <c r="X137" s="53">
        <v>4.3099999999999996</v>
      </c>
      <c r="Y137" s="52"/>
      <c r="Z137" s="52"/>
      <c r="AA137" s="52"/>
      <c r="AB137" s="52"/>
      <c r="AC137" s="52"/>
      <c r="AD137" s="52"/>
      <c r="AE137" s="52"/>
      <c r="AF137" s="52"/>
      <c r="AG137" s="53"/>
      <c r="AH137" s="54"/>
      <c r="AI137" s="55"/>
      <c r="AJ137" s="56"/>
      <c r="AK137" s="57"/>
      <c r="AL137" s="57"/>
    </row>
    <row r="138" spans="1:38" ht="31.95" customHeight="1" x14ac:dyDescent="0.3">
      <c r="A138" s="66">
        <v>44075</v>
      </c>
      <c r="B138" s="195">
        <v>0.48982638888888891</v>
      </c>
      <c r="C138" s="39"/>
      <c r="D138" s="39">
        <f>IF(I138=Categories!$E$4,VLOOKUP(H138,Categories!$A$4:$C$15,3,FALSE),VLOOKUP(I138,Categories!$E$4:$G$27,3,FALSE))</f>
        <v>60</v>
      </c>
      <c r="E138" s="39"/>
      <c r="F138" s="39"/>
      <c r="G138" s="40">
        <v>15</v>
      </c>
      <c r="H138" s="41" t="s">
        <v>66</v>
      </c>
      <c r="I138" s="59" t="s">
        <v>346</v>
      </c>
      <c r="J138" s="42"/>
      <c r="K138" s="60">
        <v>2200</v>
      </c>
      <c r="L138" s="43">
        <v>4</v>
      </c>
      <c r="M138" s="44">
        <f>IFERROR(VLOOKUP(VLOOKUP(O138,O138,1,1),Categories!$K$4:$V$17,2+VLOOKUP(L138,L138,1,FALSE),FALSE),"-"  )</f>
        <v>11</v>
      </c>
      <c r="N138" s="44" t="str">
        <f>IFERROR(VLOOKUP(VLOOKUP(O138,O138,1,1),Categories!$K$3:$V$17,7+VLOOKUP(L138,L138,1,FALSE),FALSE),"-")</f>
        <v>1.5 rev.</v>
      </c>
      <c r="O138" s="45" t="s">
        <v>88</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6"/>
      <c r="AK138" s="57"/>
      <c r="AL138" s="57"/>
    </row>
    <row r="139" spans="1:38" ht="31.95" customHeight="1" x14ac:dyDescent="0.3">
      <c r="A139" s="66">
        <v>44075</v>
      </c>
      <c r="B139" s="195">
        <v>0.49068287037037034</v>
      </c>
      <c r="C139" s="39"/>
      <c r="D139" s="39">
        <f>IF(I139=Categories!$E$4,VLOOKUP(H139,Categories!$A$4:$C$15,3,FALSE),VLOOKUP(I139,Categories!$E$4:$G$27,3,FALSE))</f>
        <v>120</v>
      </c>
      <c r="E139" s="39"/>
      <c r="F139" s="39"/>
      <c r="G139" s="40">
        <v>15</v>
      </c>
      <c r="H139" s="41" t="s">
        <v>62</v>
      </c>
      <c r="I139" s="68" t="s">
        <v>58</v>
      </c>
      <c r="J139" s="42"/>
      <c r="K139" s="60">
        <v>2200</v>
      </c>
      <c r="L139" s="43">
        <v>4</v>
      </c>
      <c r="M139" s="44">
        <f>IFERROR(VLOOKUP(VLOOKUP(O139,O139,1,1),Categories!$K$4:$V$17,2+VLOOKUP(L139,L139,1,FALSE),FALSE),"-"  )</f>
        <v>11</v>
      </c>
      <c r="N139" s="44" t="str">
        <f>IFERROR(VLOOKUP(VLOOKUP(O139,O139,1,1),Categories!$K$3:$V$17,7+VLOOKUP(L139,L139,1,FALSE),FALSE),"-")</f>
        <v>1.5 rev.</v>
      </c>
      <c r="O139" s="45" t="s">
        <v>88</v>
      </c>
      <c r="P139" s="46" t="s">
        <v>58</v>
      </c>
      <c r="Q139" s="47" t="s">
        <v>58</v>
      </c>
      <c r="R139" s="48"/>
      <c r="S139" s="48"/>
      <c r="T139" s="49"/>
      <c r="U139" s="61"/>
      <c r="V139" s="50">
        <v>2.4</v>
      </c>
      <c r="W139" s="50">
        <v>1.9</v>
      </c>
      <c r="X139" s="53">
        <v>3.57</v>
      </c>
      <c r="Y139" s="52"/>
      <c r="Z139" s="52"/>
      <c r="AA139" s="52"/>
      <c r="AB139" s="52"/>
      <c r="AC139" s="52"/>
      <c r="AD139" s="52"/>
      <c r="AE139" s="52"/>
      <c r="AF139" s="52"/>
      <c r="AG139" s="53"/>
      <c r="AH139" s="54"/>
      <c r="AI139" s="55"/>
      <c r="AJ139" s="56"/>
      <c r="AK139" s="57"/>
      <c r="AL139" s="57"/>
    </row>
    <row r="140" spans="1:38" ht="31.95" customHeight="1" x14ac:dyDescent="0.3">
      <c r="A140" s="66">
        <v>44075</v>
      </c>
      <c r="B140" s="195">
        <v>0.4927199074074074</v>
      </c>
      <c r="C140" s="39"/>
      <c r="D140" s="39">
        <f>IF(I140=Categories!$E$4,VLOOKUP(H140,Categories!$A$4:$C$15,3,FALSE),VLOOKUP(I140,Categories!$E$4:$G$27,3,FALSE))</f>
        <v>60</v>
      </c>
      <c r="E140" s="39"/>
      <c r="F140" s="39"/>
      <c r="G140" s="40">
        <v>15</v>
      </c>
      <c r="H140" s="41" t="s">
        <v>66</v>
      </c>
      <c r="I140" s="59" t="s">
        <v>346</v>
      </c>
      <c r="J140" s="42"/>
      <c r="K140" s="60">
        <v>2200</v>
      </c>
      <c r="L140" s="43">
        <v>5</v>
      </c>
      <c r="M140" s="44">
        <f>IFERROR(VLOOKUP(VLOOKUP(O140,O140,1,1),Categories!$K$4:$V$17,2+VLOOKUP(L140,L140,1,FALSE),FALSE),"-"  )</f>
        <v>12</v>
      </c>
      <c r="N140" s="44" t="str">
        <f>IFERROR(VLOOKUP(VLOOKUP(O140,O140,1,1),Categories!$K$3:$V$17,7+VLOOKUP(L140,L140,1,FALSE),FALSE),"-")</f>
        <v>2.0 Rev</v>
      </c>
      <c r="O140" s="45" t="s">
        <v>88</v>
      </c>
      <c r="P140" s="46" t="s">
        <v>58</v>
      </c>
      <c r="Q140" s="47" t="s">
        <v>58</v>
      </c>
      <c r="R140" s="48"/>
      <c r="S140" s="48"/>
      <c r="T140" s="49"/>
      <c r="U140" s="61"/>
      <c r="V140" s="50"/>
      <c r="W140" s="50"/>
      <c r="X140" s="53"/>
      <c r="Y140" s="52"/>
      <c r="Z140" s="52"/>
      <c r="AA140" s="52"/>
      <c r="AB140" s="52"/>
      <c r="AC140" s="52"/>
      <c r="AD140" s="52"/>
      <c r="AE140" s="52"/>
      <c r="AF140" s="52"/>
      <c r="AG140" s="53"/>
      <c r="AH140" s="54"/>
      <c r="AI140" s="55"/>
      <c r="AJ140" s="56" t="s">
        <v>341</v>
      </c>
      <c r="AK140" s="57"/>
      <c r="AL140" s="57"/>
    </row>
    <row r="141" spans="1:38" ht="31.95" customHeight="1" x14ac:dyDescent="0.3">
      <c r="A141" s="66">
        <v>44075</v>
      </c>
      <c r="B141" s="194">
        <v>0.51898148148148149</v>
      </c>
      <c r="C141" s="39"/>
      <c r="D141" s="39" t="str">
        <f>IF(I141=Categories!$E$4,VLOOKUP(H141,Categories!$A$4:$C$15,3,FALSE),VLOOKUP(I141,Categories!$E$4:$G$27,3,FALSE))</f>
        <v>-</v>
      </c>
      <c r="E141" s="39"/>
      <c r="F141" s="39"/>
      <c r="G141" s="40" t="s">
        <v>58</v>
      </c>
      <c r="H141" s="41" t="s">
        <v>72</v>
      </c>
      <c r="I141" s="59" t="s">
        <v>73</v>
      </c>
      <c r="J141" s="42"/>
      <c r="K141" s="60">
        <v>2200</v>
      </c>
      <c r="L141" s="43">
        <v>1</v>
      </c>
      <c r="M141" s="44">
        <f>IFERROR(VLOOKUP(VLOOKUP(O141,O141,1,1),Categories!$K$4:$V$17,2+VLOOKUP(L141,L141,1,FALSE),FALSE),"-"  )</f>
        <v>2.33</v>
      </c>
      <c r="N141" s="44" t="str">
        <f>IFERROR(VLOOKUP(VLOOKUP(O141,O141,1,1),Categories!$K$3:$V$17,7+VLOOKUP(L141,L141,1,FALSE),FALSE),"-")</f>
        <v>0 rev.</v>
      </c>
      <c r="O141" s="45" t="s">
        <v>88</v>
      </c>
      <c r="P141" s="46" t="s">
        <v>58</v>
      </c>
      <c r="Q141" s="47" t="s">
        <v>58</v>
      </c>
      <c r="R141" s="61"/>
      <c r="S141" s="61"/>
      <c r="T141" s="62"/>
      <c r="U141" s="61"/>
      <c r="V141" s="63"/>
      <c r="W141" s="63"/>
      <c r="X141" s="51"/>
      <c r="Y141" s="64"/>
      <c r="Z141" s="64"/>
      <c r="AA141" s="64"/>
      <c r="AB141" s="64"/>
      <c r="AC141" s="64"/>
      <c r="AD141" s="64"/>
      <c r="AE141" s="64"/>
      <c r="AF141" s="64"/>
      <c r="AG141" s="51"/>
      <c r="AH141" s="65"/>
      <c r="AI141" s="55"/>
      <c r="AJ141" s="57" t="s">
        <v>354</v>
      </c>
      <c r="AK141" s="57"/>
      <c r="AL141" s="57"/>
    </row>
    <row r="142" spans="1:38" ht="31.95" customHeight="1" x14ac:dyDescent="0.3">
      <c r="A142" s="37">
        <v>44075</v>
      </c>
      <c r="B142" s="194">
        <v>0.52037037037037037</v>
      </c>
      <c r="C142" s="39"/>
      <c r="D142" s="39">
        <f>IF(I142=Categories!$E$4,VLOOKUP(H142,Categories!$A$4:$C$15,3,FALSE),VLOOKUP(I142,Categories!$E$4:$G$27,3,FALSE))</f>
        <v>120</v>
      </c>
      <c r="E142" s="39"/>
      <c r="F142" s="39"/>
      <c r="G142" s="40">
        <v>16</v>
      </c>
      <c r="H142" s="41" t="s">
        <v>62</v>
      </c>
      <c r="I142" s="59" t="s">
        <v>58</v>
      </c>
      <c r="J142" s="42"/>
      <c r="K142" s="60">
        <v>2200</v>
      </c>
      <c r="L142" s="43">
        <v>1</v>
      </c>
      <c r="M142" s="44">
        <f>IFERROR(VLOOKUP(VLOOKUP(O142,O142,1,1),Categories!$K$4:$V$17,2+VLOOKUP(L142,L142,1,FALSE),FALSE),"-"  )</f>
        <v>2.33</v>
      </c>
      <c r="N142" s="44" t="str">
        <f>IFERROR(VLOOKUP(VLOOKUP(O142,O142,1,1),Categories!$K$3:$V$17,7+VLOOKUP(L142,L142,1,FALSE),FALSE),"-")</f>
        <v>0 rev.</v>
      </c>
      <c r="O142" s="45" t="s">
        <v>88</v>
      </c>
      <c r="P142" s="46" t="s">
        <v>58</v>
      </c>
      <c r="Q142" s="47" t="s">
        <v>58</v>
      </c>
      <c r="R142" s="61"/>
      <c r="S142" s="61"/>
      <c r="T142" s="62"/>
      <c r="U142" s="61"/>
      <c r="V142" s="63">
        <v>3.4</v>
      </c>
      <c r="W142" s="63">
        <v>2.1</v>
      </c>
      <c r="X142" s="51">
        <v>4.82</v>
      </c>
      <c r="Y142" s="64"/>
      <c r="Z142" s="64"/>
      <c r="AA142" s="64"/>
      <c r="AB142" s="64"/>
      <c r="AC142" s="64"/>
      <c r="AD142" s="64"/>
      <c r="AE142" s="64"/>
      <c r="AF142" s="64"/>
      <c r="AG142" s="51"/>
      <c r="AH142" s="65"/>
      <c r="AI142" s="55"/>
      <c r="AJ142" s="57"/>
      <c r="AK142" s="57"/>
      <c r="AL142" s="57"/>
    </row>
    <row r="143" spans="1:38" ht="31.95" customHeight="1" x14ac:dyDescent="0.3">
      <c r="A143" s="37">
        <v>44075</v>
      </c>
      <c r="B143" s="194">
        <v>0.52178240740740744</v>
      </c>
      <c r="C143" s="39"/>
      <c r="D143" s="39">
        <f>IF(I143=Categories!$E$4,VLOOKUP(H143,Categories!$A$4:$C$15,3,FALSE),VLOOKUP(I143,Categories!$E$4:$G$27,3,FALSE))</f>
        <v>60</v>
      </c>
      <c r="E143" s="39"/>
      <c r="F143" s="39"/>
      <c r="G143" s="40">
        <v>16</v>
      </c>
      <c r="H143" s="41" t="s">
        <v>66</v>
      </c>
      <c r="I143" s="59" t="s">
        <v>346</v>
      </c>
      <c r="J143" s="42"/>
      <c r="K143" s="60">
        <v>2200</v>
      </c>
      <c r="L143" s="43">
        <v>2</v>
      </c>
      <c r="M143" s="44">
        <f>IFERROR(VLOOKUP(VLOOKUP(O143,O143,1,1),Categories!$K$4:$V$17,2+VLOOKUP(L143,L143,1,FALSE),FALSE),"-"  )</f>
        <v>9</v>
      </c>
      <c r="N143" s="44" t="str">
        <f>IFERROR(VLOOKUP(VLOOKUP(O143,O143,1,1),Categories!$K$3:$V$17,7+VLOOKUP(L143,L143,1,FALSE),FALSE),"-")</f>
        <v>1.0 rev.</v>
      </c>
      <c r="O143" s="45" t="s">
        <v>88</v>
      </c>
      <c r="P143" s="46" t="s">
        <v>58</v>
      </c>
      <c r="Q143" s="47" t="s">
        <v>58</v>
      </c>
      <c r="R143" s="61"/>
      <c r="S143" s="61"/>
      <c r="T143" s="62"/>
      <c r="U143" s="61"/>
      <c r="V143" s="63"/>
      <c r="W143" s="63"/>
      <c r="X143" s="51"/>
      <c r="Y143" s="64"/>
      <c r="Z143" s="64"/>
      <c r="AA143" s="64"/>
      <c r="AB143" s="64"/>
      <c r="AC143" s="64"/>
      <c r="AD143" s="64"/>
      <c r="AE143" s="64"/>
      <c r="AF143" s="64"/>
      <c r="AG143" s="51"/>
      <c r="AH143" s="65"/>
      <c r="AI143" s="55"/>
      <c r="AJ143" s="57"/>
      <c r="AK143" s="57"/>
      <c r="AL143" s="57"/>
    </row>
    <row r="144" spans="1:38" ht="31.95" customHeight="1" x14ac:dyDescent="0.3">
      <c r="A144" s="66">
        <v>44075</v>
      </c>
      <c r="B144" s="195">
        <v>0.52251157407407411</v>
      </c>
      <c r="C144" s="39"/>
      <c r="D144" s="39">
        <f>IF(I144=Categories!$E$4,VLOOKUP(H144,Categories!$A$4:$C$15,3,FALSE),VLOOKUP(I144,Categories!$E$4:$G$27,3,FALSE))</f>
        <v>120</v>
      </c>
      <c r="E144" s="39"/>
      <c r="F144" s="39"/>
      <c r="G144" s="40">
        <v>16</v>
      </c>
      <c r="H144" s="41" t="s">
        <v>62</v>
      </c>
      <c r="I144" s="68" t="s">
        <v>58</v>
      </c>
      <c r="J144" s="42"/>
      <c r="K144" s="60">
        <v>2200</v>
      </c>
      <c r="L144" s="43">
        <v>2</v>
      </c>
      <c r="M144" s="44">
        <f>IFERROR(VLOOKUP(VLOOKUP(O144,O144,1,1),Categories!$K$4:$V$17,2+VLOOKUP(L144,L144,1,FALSE),FALSE),"-"  )</f>
        <v>9</v>
      </c>
      <c r="N144" s="44" t="str">
        <f>IFERROR(VLOOKUP(VLOOKUP(O144,O144,1,1),Categories!$K$3:$V$17,7+VLOOKUP(L144,L144,1,FALSE),FALSE),"-")</f>
        <v>1.0 rev.</v>
      </c>
      <c r="O144" s="45" t="s">
        <v>88</v>
      </c>
      <c r="P144" s="46" t="s">
        <v>58</v>
      </c>
      <c r="Q144" s="47" t="s">
        <v>58</v>
      </c>
      <c r="R144" s="48"/>
      <c r="S144" s="48"/>
      <c r="T144" s="49"/>
      <c r="U144" s="61"/>
      <c r="V144" s="50">
        <v>3.6</v>
      </c>
      <c r="W144" s="50">
        <v>2.1</v>
      </c>
      <c r="X144" s="53">
        <v>4.7699999999999996</v>
      </c>
      <c r="Y144" s="52"/>
      <c r="Z144" s="52"/>
      <c r="AA144" s="52"/>
      <c r="AB144" s="52"/>
      <c r="AC144" s="52"/>
      <c r="AD144" s="52"/>
      <c r="AE144" s="52"/>
      <c r="AF144" s="52"/>
      <c r="AG144" s="53"/>
      <c r="AH144" s="54"/>
      <c r="AI144" s="55"/>
      <c r="AJ144" s="56" t="s">
        <v>90</v>
      </c>
      <c r="AK144" s="57"/>
      <c r="AL144" s="57"/>
    </row>
    <row r="145" spans="1:38" ht="31.95" customHeight="1" x14ac:dyDescent="0.3">
      <c r="A145" s="66">
        <v>44075</v>
      </c>
      <c r="B145" s="195">
        <v>0.52417824074074071</v>
      </c>
      <c r="C145" s="39"/>
      <c r="D145" s="39">
        <f>IF(I145=Categories!$E$4,VLOOKUP(H145,Categories!$A$4:$C$15,3,FALSE),VLOOKUP(I145,Categories!$E$4:$G$27,3,FALSE))</f>
        <v>60</v>
      </c>
      <c r="E145" s="39"/>
      <c r="F145" s="39"/>
      <c r="G145" s="40">
        <v>16</v>
      </c>
      <c r="H145" s="41" t="s">
        <v>66</v>
      </c>
      <c r="I145" s="59" t="s">
        <v>346</v>
      </c>
      <c r="J145" s="42"/>
      <c r="K145" s="60">
        <v>2200</v>
      </c>
      <c r="L145" s="43">
        <v>3</v>
      </c>
      <c r="M145" s="44">
        <f>IFERROR(VLOOKUP(VLOOKUP(O145,O145,1,1),Categories!$K$4:$V$17,2+VLOOKUP(L145,L145,1,FALSE),FALSE),"-"  )</f>
        <v>10</v>
      </c>
      <c r="N145" s="44" t="str">
        <f>IFERROR(VLOOKUP(VLOOKUP(O145,O145,1,1),Categories!$K$3:$V$17,7+VLOOKUP(L145,L145,1,FALSE),FALSE),"-")</f>
        <v>1.25 rev.</v>
      </c>
      <c r="O145" s="45" t="s">
        <v>88</v>
      </c>
      <c r="P145" s="46" t="s">
        <v>58</v>
      </c>
      <c r="Q145" s="47" t="s">
        <v>58</v>
      </c>
      <c r="R145" s="48"/>
      <c r="S145" s="48"/>
      <c r="T145" s="49"/>
      <c r="U145" s="61"/>
      <c r="V145" s="50"/>
      <c r="W145" s="50"/>
      <c r="X145" s="53"/>
      <c r="Y145" s="52"/>
      <c r="Z145" s="52"/>
      <c r="AA145" s="52"/>
      <c r="AB145" s="52"/>
      <c r="AC145" s="52"/>
      <c r="AD145" s="52"/>
      <c r="AE145" s="52"/>
      <c r="AF145" s="52"/>
      <c r="AG145" s="53"/>
      <c r="AH145" s="54"/>
      <c r="AI145" s="55"/>
      <c r="AJ145" s="56"/>
      <c r="AK145" s="57"/>
      <c r="AL145" s="57"/>
    </row>
    <row r="146" spans="1:38" ht="31.95" customHeight="1" x14ac:dyDescent="0.3">
      <c r="A146" s="66">
        <v>44075</v>
      </c>
      <c r="B146" s="195">
        <v>0.52495370370370364</v>
      </c>
      <c r="C146" s="39"/>
      <c r="D146" s="39">
        <f>IF(I146=Categories!$E$4,VLOOKUP(H146,Categories!$A$4:$C$15,3,FALSE),VLOOKUP(I146,Categories!$E$4:$G$27,3,FALSE))</f>
        <v>120</v>
      </c>
      <c r="E146" s="39"/>
      <c r="F146" s="39"/>
      <c r="G146" s="40">
        <v>16</v>
      </c>
      <c r="H146" s="41" t="s">
        <v>62</v>
      </c>
      <c r="I146" s="68" t="s">
        <v>58</v>
      </c>
      <c r="J146" s="42"/>
      <c r="K146" s="60">
        <v>2200</v>
      </c>
      <c r="L146" s="43">
        <v>3</v>
      </c>
      <c r="M146" s="44">
        <f>IFERROR(VLOOKUP(VLOOKUP(O146,O146,1,1),Categories!$K$4:$V$17,2+VLOOKUP(L146,L146,1,FALSE),FALSE),"-"  )</f>
        <v>10</v>
      </c>
      <c r="N146" s="44" t="str">
        <f>IFERROR(VLOOKUP(VLOOKUP(O146,O146,1,1),Categories!$K$3:$V$17,7+VLOOKUP(L146,L146,1,FALSE),FALSE),"-")</f>
        <v>1.25 rev.</v>
      </c>
      <c r="O146" s="45" t="s">
        <v>88</v>
      </c>
      <c r="P146" s="46" t="s">
        <v>58</v>
      </c>
      <c r="Q146" s="47" t="s">
        <v>58</v>
      </c>
      <c r="R146" s="48"/>
      <c r="S146" s="48"/>
      <c r="T146" s="49"/>
      <c r="U146" s="61"/>
      <c r="V146" s="50">
        <v>3.1</v>
      </c>
      <c r="W146" s="50">
        <v>2</v>
      </c>
      <c r="X146" s="53">
        <v>4.3</v>
      </c>
      <c r="Y146" s="52"/>
      <c r="Z146" s="52"/>
      <c r="AA146" s="52"/>
      <c r="AB146" s="52"/>
      <c r="AC146" s="52"/>
      <c r="AD146" s="52"/>
      <c r="AE146" s="52"/>
      <c r="AF146" s="52"/>
      <c r="AG146" s="53"/>
      <c r="AH146" s="54"/>
      <c r="AI146" s="55"/>
      <c r="AJ146" s="56"/>
      <c r="AK146" s="57"/>
      <c r="AL146" s="57"/>
    </row>
    <row r="147" spans="1:38" ht="31.95" customHeight="1" x14ac:dyDescent="0.3">
      <c r="A147" s="66">
        <v>44075</v>
      </c>
      <c r="B147" s="195">
        <v>0.5264699074074074</v>
      </c>
      <c r="C147" s="39"/>
      <c r="D147" s="39">
        <f>IF(I147=Categories!$E$4,VLOOKUP(H147,Categories!$A$4:$C$15,3,FALSE),VLOOKUP(I147,Categories!$E$4:$G$27,3,FALSE))</f>
        <v>60</v>
      </c>
      <c r="E147" s="39"/>
      <c r="F147" s="39"/>
      <c r="G147" s="40">
        <v>16</v>
      </c>
      <c r="H147" s="41" t="s">
        <v>66</v>
      </c>
      <c r="I147" s="59" t="s">
        <v>346</v>
      </c>
      <c r="J147" s="42"/>
      <c r="K147" s="60">
        <v>2200</v>
      </c>
      <c r="L147" s="43">
        <v>4</v>
      </c>
      <c r="M147" s="44">
        <f>IFERROR(VLOOKUP(VLOOKUP(O147,O147,1,1),Categories!$K$4:$V$17,2+VLOOKUP(L147,L147,1,FALSE),FALSE),"-"  )</f>
        <v>11</v>
      </c>
      <c r="N147" s="44" t="str">
        <f>IFERROR(VLOOKUP(VLOOKUP(O147,O147,1,1),Categories!$K$3:$V$17,7+VLOOKUP(L147,L147,1,FALSE),FALSE),"-")</f>
        <v>1.5 rev.</v>
      </c>
      <c r="O147" s="45" t="s">
        <v>88</v>
      </c>
      <c r="P147" s="46" t="s">
        <v>58</v>
      </c>
      <c r="Q147" s="47" t="s">
        <v>58</v>
      </c>
      <c r="R147" s="48"/>
      <c r="S147" s="48"/>
      <c r="T147" s="49"/>
      <c r="U147" s="61"/>
      <c r="V147" s="50"/>
      <c r="W147" s="50"/>
      <c r="X147" s="53"/>
      <c r="Y147" s="52"/>
      <c r="Z147" s="52"/>
      <c r="AA147" s="52"/>
      <c r="AB147" s="52"/>
      <c r="AC147" s="52"/>
      <c r="AD147" s="52"/>
      <c r="AE147" s="52"/>
      <c r="AF147" s="52"/>
      <c r="AG147" s="53"/>
      <c r="AH147" s="54"/>
      <c r="AI147" s="55"/>
      <c r="AJ147" s="56"/>
      <c r="AK147" s="57"/>
      <c r="AL147" s="57"/>
    </row>
    <row r="148" spans="1:38" ht="31.95" customHeight="1" x14ac:dyDescent="0.3">
      <c r="A148" s="66">
        <v>44075</v>
      </c>
      <c r="B148" s="195">
        <v>0.52728009259259256</v>
      </c>
      <c r="C148" s="39"/>
      <c r="D148" s="39">
        <f>IF(I148=Categories!$E$4,VLOOKUP(H148,Categories!$A$4:$C$15,3,FALSE),VLOOKUP(I148,Categories!$E$4:$G$27,3,FALSE))</f>
        <v>120</v>
      </c>
      <c r="E148" s="39"/>
      <c r="F148" s="39"/>
      <c r="G148" s="40">
        <v>16</v>
      </c>
      <c r="H148" s="41" t="s">
        <v>62</v>
      </c>
      <c r="I148" s="68" t="s">
        <v>58</v>
      </c>
      <c r="J148" s="42"/>
      <c r="K148" s="60">
        <v>2200</v>
      </c>
      <c r="L148" s="43">
        <v>4</v>
      </c>
      <c r="M148" s="44">
        <f>IFERROR(VLOOKUP(VLOOKUP(O148,O148,1,1),Categories!$K$4:$V$17,2+VLOOKUP(L148,L148,1,FALSE),FALSE),"-"  )</f>
        <v>11</v>
      </c>
      <c r="N148" s="44" t="str">
        <f>IFERROR(VLOOKUP(VLOOKUP(O148,O148,1,1),Categories!$K$3:$V$17,7+VLOOKUP(L148,L148,1,FALSE),FALSE),"-")</f>
        <v>1.5 rev.</v>
      </c>
      <c r="O148" s="45" t="s">
        <v>88</v>
      </c>
      <c r="P148" s="46" t="s">
        <v>58</v>
      </c>
      <c r="Q148" s="47" t="s">
        <v>58</v>
      </c>
      <c r="R148" s="48"/>
      <c r="S148" s="48"/>
      <c r="T148" s="49"/>
      <c r="U148" s="61"/>
      <c r="V148" s="50">
        <v>2.7</v>
      </c>
      <c r="W148" s="50">
        <v>1.9</v>
      </c>
      <c r="X148" s="53">
        <v>3.84</v>
      </c>
      <c r="Y148" s="52"/>
      <c r="Z148" s="52"/>
      <c r="AA148" s="52"/>
      <c r="AB148" s="52"/>
      <c r="AC148" s="52"/>
      <c r="AD148" s="52"/>
      <c r="AE148" s="52"/>
      <c r="AF148" s="52"/>
      <c r="AG148" s="53"/>
      <c r="AH148" s="54"/>
      <c r="AI148" s="55"/>
      <c r="AJ148" s="56"/>
      <c r="AK148" s="57"/>
      <c r="AL148" s="57"/>
    </row>
    <row r="149" spans="1:38" ht="31.95" customHeight="1" x14ac:dyDescent="0.3">
      <c r="A149" s="66">
        <v>44075</v>
      </c>
      <c r="B149" s="195">
        <v>0.52899305555555554</v>
      </c>
      <c r="C149" s="39"/>
      <c r="D149" s="39">
        <f>IF(I149=Categories!$E$4,VLOOKUP(H149,Categories!$A$4:$C$15,3,FALSE),VLOOKUP(I149,Categories!$E$4:$G$27,3,FALSE))</f>
        <v>60</v>
      </c>
      <c r="E149" s="39"/>
      <c r="F149" s="39"/>
      <c r="G149" s="40">
        <v>16</v>
      </c>
      <c r="H149" s="41" t="s">
        <v>66</v>
      </c>
      <c r="I149" s="59" t="s">
        <v>346</v>
      </c>
      <c r="J149" s="42"/>
      <c r="K149" s="60">
        <v>2200</v>
      </c>
      <c r="L149" s="43">
        <v>5</v>
      </c>
      <c r="M149" s="44">
        <f>IFERROR(VLOOKUP(VLOOKUP(O149,O149,1,1),Categories!$K$4:$V$17,2+VLOOKUP(L149,L149,1,FALSE),FALSE),"-"  )</f>
        <v>12</v>
      </c>
      <c r="N149" s="44" t="str">
        <f>IFERROR(VLOOKUP(VLOOKUP(O149,O149,1,1),Categories!$K$3:$V$17,7+VLOOKUP(L149,L149,1,FALSE),FALSE),"-")</f>
        <v>2.0 Rev</v>
      </c>
      <c r="O149" s="45" t="s">
        <v>88</v>
      </c>
      <c r="P149" s="46" t="s">
        <v>58</v>
      </c>
      <c r="Q149" s="47" t="s">
        <v>58</v>
      </c>
      <c r="R149" s="48"/>
      <c r="S149" s="48"/>
      <c r="T149" s="49"/>
      <c r="U149" s="61"/>
      <c r="V149" s="50"/>
      <c r="W149" s="50"/>
      <c r="X149" s="53"/>
      <c r="Y149" s="52"/>
      <c r="Z149" s="52"/>
      <c r="AA149" s="52"/>
      <c r="AB149" s="52"/>
      <c r="AC149" s="52"/>
      <c r="AD149" s="52"/>
      <c r="AE149" s="52"/>
      <c r="AF149" s="52"/>
      <c r="AG149" s="53"/>
      <c r="AH149" s="54"/>
      <c r="AI149" s="55"/>
      <c r="AJ149" s="56"/>
      <c r="AK149" s="57"/>
      <c r="AL149" s="57"/>
    </row>
    <row r="150" spans="1:38" ht="31.95" customHeight="1" x14ac:dyDescent="0.3">
      <c r="A150" s="66">
        <v>44075</v>
      </c>
      <c r="B150" s="195">
        <v>0.52984953703703697</v>
      </c>
      <c r="C150" s="39"/>
      <c r="D150" s="39">
        <f>IF(I150=Categories!$E$4,VLOOKUP(H150,Categories!$A$4:$C$15,3,FALSE),VLOOKUP(I150,Categories!$E$4:$G$27,3,FALSE))</f>
        <v>120</v>
      </c>
      <c r="E150" s="39"/>
      <c r="F150" s="39"/>
      <c r="G150" s="40">
        <v>16</v>
      </c>
      <c r="H150" s="41" t="s">
        <v>62</v>
      </c>
      <c r="I150" s="68" t="s">
        <v>58</v>
      </c>
      <c r="J150" s="42"/>
      <c r="K150" s="60">
        <v>2200</v>
      </c>
      <c r="L150" s="43">
        <v>5</v>
      </c>
      <c r="M150" s="44">
        <f>IFERROR(VLOOKUP(VLOOKUP(O150,O150,1,1),Categories!$K$4:$V$17,2+VLOOKUP(L150,L150,1,FALSE),FALSE),"-"  )</f>
        <v>12</v>
      </c>
      <c r="N150" s="44" t="str">
        <f>IFERROR(VLOOKUP(VLOOKUP(O150,O150,1,1),Categories!$K$3:$V$17,7+VLOOKUP(L150,L150,1,FALSE),FALSE),"-")</f>
        <v>2.0 Rev</v>
      </c>
      <c r="O150" s="45" t="s">
        <v>88</v>
      </c>
      <c r="P150" s="46" t="s">
        <v>58</v>
      </c>
      <c r="Q150" s="47" t="s">
        <v>58</v>
      </c>
      <c r="R150" s="48"/>
      <c r="S150" s="48"/>
      <c r="T150" s="49"/>
      <c r="U150" s="61"/>
      <c r="V150" s="50">
        <v>1.9</v>
      </c>
      <c r="W150" s="50">
        <v>1.7</v>
      </c>
      <c r="X150" s="53">
        <v>2.96</v>
      </c>
      <c r="Y150" s="52"/>
      <c r="Z150" s="52"/>
      <c r="AA150" s="52"/>
      <c r="AB150" s="52"/>
      <c r="AC150" s="52"/>
      <c r="AD150" s="52"/>
      <c r="AE150" s="52"/>
      <c r="AF150" s="52"/>
      <c r="AG150" s="53"/>
      <c r="AH150" s="54"/>
      <c r="AI150" s="55"/>
      <c r="AJ150" s="56"/>
      <c r="AK150" s="57"/>
      <c r="AL150" s="57"/>
    </row>
    <row r="151" spans="1:38" ht="31.95" customHeight="1" x14ac:dyDescent="0.3">
      <c r="A151" s="66">
        <v>44075</v>
      </c>
      <c r="B151" s="195">
        <v>0.53128472222222223</v>
      </c>
      <c r="C151" s="39"/>
      <c r="D151" s="39">
        <f>IF(I151=Categories!$E$4,VLOOKUP(H151,Categories!$A$4:$C$15,3,FALSE),VLOOKUP(I151,Categories!$E$4:$G$27,3,FALSE))</f>
        <v>45</v>
      </c>
      <c r="E151" s="39"/>
      <c r="F151" s="39"/>
      <c r="G151" s="40">
        <v>16</v>
      </c>
      <c r="H151" s="41" t="s">
        <v>66</v>
      </c>
      <c r="I151" s="59" t="s">
        <v>323</v>
      </c>
      <c r="J151" s="42"/>
      <c r="K151" s="60">
        <v>2200</v>
      </c>
      <c r="L151" s="43">
        <v>1</v>
      </c>
      <c r="M151" s="44">
        <f>IFERROR(VLOOKUP(VLOOKUP(O151,O151,1,1),Categories!$K$4:$V$17,2+VLOOKUP(L151,L151,1,FALSE),FALSE),"-"  )</f>
        <v>2.33</v>
      </c>
      <c r="N151" s="44" t="str">
        <f>IFERROR(VLOOKUP(VLOOKUP(O151,O151,1,1),Categories!$K$3:$V$17,7+VLOOKUP(L151,L151,1,FALSE),FALSE),"-")</f>
        <v>0 rev.</v>
      </c>
      <c r="O151" s="45" t="s">
        <v>88</v>
      </c>
      <c r="P151" s="46" t="s">
        <v>58</v>
      </c>
      <c r="Q151" s="47" t="s">
        <v>58</v>
      </c>
      <c r="R151" s="48"/>
      <c r="S151" s="48"/>
      <c r="T151" s="49"/>
      <c r="U151" s="61"/>
      <c r="V151" s="50"/>
      <c r="W151" s="50"/>
      <c r="X151" s="53"/>
      <c r="Y151" s="52"/>
      <c r="Z151" s="52"/>
      <c r="AA151" s="52"/>
      <c r="AB151" s="52"/>
      <c r="AC151" s="52"/>
      <c r="AD151" s="52"/>
      <c r="AE151" s="52"/>
      <c r="AF151" s="52"/>
      <c r="AG151" s="53"/>
      <c r="AH151" s="54"/>
      <c r="AI151" s="55"/>
      <c r="AJ151" s="56"/>
      <c r="AK151" s="57"/>
      <c r="AL151" s="57"/>
    </row>
    <row r="152" spans="1:38" ht="31.95" customHeight="1" x14ac:dyDescent="0.3">
      <c r="A152" s="66">
        <v>44075</v>
      </c>
      <c r="B152" s="195">
        <v>0.53194444444444444</v>
      </c>
      <c r="C152" s="39"/>
      <c r="D152" s="39">
        <f>IF(I152=Categories!$E$4,VLOOKUP(H152,Categories!$A$4:$C$15,3,FALSE),VLOOKUP(I152,Categories!$E$4:$G$27,3,FALSE))</f>
        <v>60</v>
      </c>
      <c r="E152" s="39"/>
      <c r="F152" s="39"/>
      <c r="G152" s="40">
        <v>16</v>
      </c>
      <c r="H152" s="41" t="s">
        <v>78</v>
      </c>
      <c r="I152" s="68" t="s">
        <v>58</v>
      </c>
      <c r="J152" s="42"/>
      <c r="K152" s="60">
        <v>2200</v>
      </c>
      <c r="L152" s="43">
        <v>1</v>
      </c>
      <c r="M152" s="44">
        <f>IFERROR(VLOOKUP(VLOOKUP(O152,O152,1,1),Categories!$K$4:$V$17,2+VLOOKUP(L152,L152,1,FALSE),FALSE),"-"  )</f>
        <v>2.33</v>
      </c>
      <c r="N152" s="44" t="str">
        <f>IFERROR(VLOOKUP(VLOOKUP(O152,O152,1,1),Categories!$K$3:$V$17,7+VLOOKUP(L152,L152,1,FALSE),FALSE),"-")</f>
        <v>0 rev.</v>
      </c>
      <c r="O152" s="45" t="s">
        <v>88</v>
      </c>
      <c r="P152" s="46" t="s">
        <v>58</v>
      </c>
      <c r="Q152" s="47" t="s">
        <v>58</v>
      </c>
      <c r="R152" s="48"/>
      <c r="S152" s="48"/>
      <c r="T152" s="49"/>
      <c r="U152" s="61"/>
      <c r="V152" s="50">
        <v>3.4</v>
      </c>
      <c r="W152" s="50">
        <v>2.1</v>
      </c>
      <c r="X152" s="53">
        <v>4.82</v>
      </c>
      <c r="Y152" s="52"/>
      <c r="Z152" s="52"/>
      <c r="AA152" s="52"/>
      <c r="AB152" s="52"/>
      <c r="AC152" s="52"/>
      <c r="AD152" s="52"/>
      <c r="AE152" s="52"/>
      <c r="AF152" s="52"/>
      <c r="AG152" s="53"/>
      <c r="AH152" s="54"/>
      <c r="AI152" s="55"/>
      <c r="AJ152" s="56"/>
      <c r="AK152" s="57"/>
      <c r="AL152" s="57"/>
    </row>
    <row r="153" spans="1:38" ht="31.95" customHeight="1" x14ac:dyDescent="0.3">
      <c r="A153" s="66">
        <v>44075</v>
      </c>
      <c r="B153" s="195">
        <v>0.53281250000000002</v>
      </c>
      <c r="C153" s="39"/>
      <c r="D153" s="39" t="str">
        <f>IF(I153=Categories!$E$4,VLOOKUP(H153,Categories!$A$4:$C$15,3,FALSE),VLOOKUP(I153,Categories!$E$4:$G$27,3,FALSE))</f>
        <v>-</v>
      </c>
      <c r="E153" s="39"/>
      <c r="F153" s="39"/>
      <c r="G153" s="40" t="s">
        <v>58</v>
      </c>
      <c r="H153" s="41" t="s">
        <v>72</v>
      </c>
      <c r="I153" s="59" t="s">
        <v>58</v>
      </c>
      <c r="J153" s="42"/>
      <c r="K153" s="60">
        <v>2500</v>
      </c>
      <c r="L153" s="43">
        <v>1</v>
      </c>
      <c r="M153" s="44">
        <f>IFERROR(VLOOKUP(VLOOKUP(O153,O153,1,1),Categories!$K$4:$V$17,2+VLOOKUP(L153,L153,1,FALSE),FALSE),"-"  )</f>
        <v>2.33</v>
      </c>
      <c r="N153" s="44" t="str">
        <f>IFERROR(VLOOKUP(VLOOKUP(O153,O153,1,1),Categories!$K$3:$V$17,7+VLOOKUP(L153,L153,1,FALSE),FALSE),"-")</f>
        <v>0 rev.</v>
      </c>
      <c r="O153" s="45" t="s">
        <v>88</v>
      </c>
      <c r="P153" s="46" t="s">
        <v>58</v>
      </c>
      <c r="Q153" s="47" t="s">
        <v>58</v>
      </c>
      <c r="R153" s="48"/>
      <c r="S153" s="48"/>
      <c r="T153" s="49"/>
      <c r="U153" s="61"/>
      <c r="V153" s="50"/>
      <c r="W153" s="50"/>
      <c r="X153" s="53"/>
      <c r="Y153" s="52"/>
      <c r="Z153" s="52"/>
      <c r="AA153" s="52"/>
      <c r="AB153" s="52"/>
      <c r="AC153" s="52"/>
      <c r="AD153" s="52"/>
      <c r="AE153" s="52"/>
      <c r="AF153" s="52"/>
      <c r="AG153" s="53"/>
      <c r="AH153" s="54"/>
      <c r="AI153" s="55"/>
      <c r="AJ153" s="56"/>
      <c r="AK153" s="57"/>
      <c r="AL153" s="57"/>
    </row>
    <row r="154" spans="1:38" ht="31.95" customHeight="1" x14ac:dyDescent="0.3">
      <c r="A154" s="66"/>
      <c r="B154" s="192"/>
      <c r="C154" s="39"/>
      <c r="D154" s="39">
        <f>IF(I154=Categories!$E$4,VLOOKUP(H154,Categories!$A$4:$C$15,3,FALSE),VLOOKUP(I154,Categories!$E$4:$G$27,3,FALSE))</f>
        <v>30</v>
      </c>
      <c r="E154" s="39"/>
      <c r="F154" s="39"/>
      <c r="G154" s="40" t="s">
        <v>58</v>
      </c>
      <c r="H154" s="41" t="s">
        <v>66</v>
      </c>
      <c r="I154" s="59" t="s">
        <v>67</v>
      </c>
      <c r="J154" s="42"/>
      <c r="K154" s="60">
        <v>2500</v>
      </c>
      <c r="L154" s="43">
        <v>1</v>
      </c>
      <c r="M154" s="44">
        <f>IFERROR(VLOOKUP(VLOOKUP(O154,O154,1,1),Categories!$K$4:$V$17,2+VLOOKUP(L154,L154,1,FALSE),FALSE),"-"  )</f>
        <v>2.33</v>
      </c>
      <c r="N154" s="44" t="str">
        <f>IFERROR(VLOOKUP(VLOOKUP(O154,O154,1,1),Categories!$K$3:$V$17,7+VLOOKUP(L154,L154,1,FALSE),FALSE),"-")</f>
        <v>0 rev.</v>
      </c>
      <c r="O154" s="45" t="s">
        <v>88</v>
      </c>
      <c r="P154" s="46" t="s">
        <v>58</v>
      </c>
      <c r="Q154" s="47" t="s">
        <v>58</v>
      </c>
      <c r="R154" s="48"/>
      <c r="S154" s="48"/>
      <c r="T154" s="49"/>
      <c r="U154" s="61"/>
      <c r="V154" s="50"/>
      <c r="W154" s="50"/>
      <c r="X154" s="53"/>
      <c r="Y154" s="52"/>
      <c r="Z154" s="52"/>
      <c r="AA154" s="52"/>
      <c r="AB154" s="52"/>
      <c r="AC154" s="52"/>
      <c r="AD154" s="52"/>
      <c r="AE154" s="52"/>
      <c r="AF154" s="52"/>
      <c r="AG154" s="53"/>
      <c r="AH154" s="54"/>
      <c r="AI154" s="55" t="s">
        <v>63</v>
      </c>
      <c r="AJ154" s="57" t="s">
        <v>356</v>
      </c>
      <c r="AK154" s="57"/>
      <c r="AL154" s="57"/>
    </row>
    <row r="155" spans="1:38" ht="31.95" customHeight="1" x14ac:dyDescent="0.3">
      <c r="A155" s="37">
        <v>44075</v>
      </c>
      <c r="B155" s="194">
        <v>0.53332175925925929</v>
      </c>
      <c r="C155" s="39"/>
      <c r="D155" s="39">
        <f>IF(I155=Categories!$E$4,VLOOKUP(H155,Categories!$A$4:$C$15,3,FALSE),VLOOKUP(I155,Categories!$E$4:$G$27,3,FALSE))</f>
        <v>120</v>
      </c>
      <c r="E155" s="39"/>
      <c r="F155" s="39"/>
      <c r="G155" s="40">
        <v>17</v>
      </c>
      <c r="H155" s="41" t="s">
        <v>62</v>
      </c>
      <c r="I155" s="59" t="s">
        <v>58</v>
      </c>
      <c r="J155" s="42"/>
      <c r="K155" s="60">
        <v>2500</v>
      </c>
      <c r="L155" s="43">
        <v>1</v>
      </c>
      <c r="M155" s="44">
        <f>IFERROR(VLOOKUP(VLOOKUP(O155,O155,1,1),Categories!$K$4:$V$17,2+VLOOKUP(L155,L155,1,FALSE),FALSE),"-"  )</f>
        <v>2.33</v>
      </c>
      <c r="N155" s="44" t="str">
        <f>IFERROR(VLOOKUP(VLOOKUP(O155,O155,1,1),Categories!$K$3:$V$17,7+VLOOKUP(L155,L155,1,FALSE),FALSE),"-")</f>
        <v>0 rev.</v>
      </c>
      <c r="O155" s="45" t="s">
        <v>88</v>
      </c>
      <c r="P155" s="46" t="s">
        <v>58</v>
      </c>
      <c r="Q155" s="47" t="s">
        <v>58</v>
      </c>
      <c r="R155" s="61"/>
      <c r="S155" s="61"/>
      <c r="T155" s="62"/>
      <c r="U155" s="61"/>
      <c r="V155" s="63">
        <v>4</v>
      </c>
      <c r="W155" s="63">
        <v>2.9</v>
      </c>
      <c r="X155" s="51">
        <v>5.54</v>
      </c>
      <c r="Y155" s="64"/>
      <c r="Z155" s="64"/>
      <c r="AA155" s="64"/>
      <c r="AB155" s="64"/>
      <c r="AC155" s="64"/>
      <c r="AD155" s="64"/>
      <c r="AE155" s="64"/>
      <c r="AF155" s="64"/>
      <c r="AG155" s="51"/>
      <c r="AH155" s="65"/>
      <c r="AI155" s="55"/>
      <c r="AJ155" s="57" t="s">
        <v>354</v>
      </c>
      <c r="AK155" s="57"/>
      <c r="AL155" s="57"/>
    </row>
    <row r="156" spans="1:38" ht="31.95" customHeight="1" x14ac:dyDescent="0.3">
      <c r="A156" s="37">
        <v>44075</v>
      </c>
      <c r="B156" s="194">
        <v>0.53479166666666667</v>
      </c>
      <c r="C156" s="39"/>
      <c r="D156" s="39">
        <f>IF(I156=Categories!$E$4,VLOOKUP(H156,Categories!$A$4:$C$15,3,FALSE),VLOOKUP(I156,Categories!$E$4:$G$27,3,FALSE))</f>
        <v>60</v>
      </c>
      <c r="E156" s="39"/>
      <c r="F156" s="39"/>
      <c r="G156" s="40">
        <v>17</v>
      </c>
      <c r="H156" s="41" t="s">
        <v>66</v>
      </c>
      <c r="I156" s="59" t="s">
        <v>346</v>
      </c>
      <c r="J156" s="42"/>
      <c r="K156" s="60">
        <v>2500</v>
      </c>
      <c r="L156" s="43">
        <v>2</v>
      </c>
      <c r="M156" s="44">
        <f>IFERROR(VLOOKUP(VLOOKUP(O156,O156,1,1),Categories!$K$4:$V$17,2+VLOOKUP(L156,L156,1,FALSE),FALSE),"-"  )</f>
        <v>9</v>
      </c>
      <c r="N156" s="44" t="str">
        <f>IFERROR(VLOOKUP(VLOOKUP(O156,O156,1,1),Categories!$K$3:$V$17,7+VLOOKUP(L156,L156,1,FALSE),FALSE),"-")</f>
        <v>1.0 rev.</v>
      </c>
      <c r="O156" s="45" t="s">
        <v>88</v>
      </c>
      <c r="P156" s="46" t="s">
        <v>58</v>
      </c>
      <c r="Q156" s="47" t="s">
        <v>58</v>
      </c>
      <c r="R156" s="61"/>
      <c r="S156" s="61"/>
      <c r="T156" s="62"/>
      <c r="U156" s="61"/>
      <c r="V156" s="63"/>
      <c r="W156" s="63"/>
      <c r="X156" s="51"/>
      <c r="Y156" s="64"/>
      <c r="Z156" s="64"/>
      <c r="AA156" s="64"/>
      <c r="AB156" s="64"/>
      <c r="AC156" s="64"/>
      <c r="AD156" s="64"/>
      <c r="AE156" s="64"/>
      <c r="AF156" s="64"/>
      <c r="AG156" s="51"/>
      <c r="AH156" s="65"/>
      <c r="AI156" s="55"/>
      <c r="AJ156" s="57"/>
      <c r="AK156" s="57"/>
      <c r="AL156" s="57"/>
    </row>
    <row r="157" spans="1:38" ht="31.95" customHeight="1" x14ac:dyDescent="0.3">
      <c r="A157" s="66">
        <v>44075</v>
      </c>
      <c r="B157" s="195">
        <v>0.53553240740740737</v>
      </c>
      <c r="C157" s="39"/>
      <c r="D157" s="39">
        <f>IF(I157=Categories!$E$4,VLOOKUP(H157,Categories!$A$4:$C$15,3,FALSE),VLOOKUP(I157,Categories!$E$4:$G$27,3,FALSE))</f>
        <v>120</v>
      </c>
      <c r="E157" s="39"/>
      <c r="F157" s="39"/>
      <c r="G157" s="40">
        <v>17</v>
      </c>
      <c r="H157" s="41" t="s">
        <v>62</v>
      </c>
      <c r="I157" s="68" t="s">
        <v>58</v>
      </c>
      <c r="J157" s="42"/>
      <c r="K157" s="60">
        <v>2500</v>
      </c>
      <c r="L157" s="43">
        <v>2</v>
      </c>
      <c r="M157" s="44">
        <f>IFERROR(VLOOKUP(VLOOKUP(O157,O157,1,1),Categories!$K$4:$V$17,2+VLOOKUP(L157,L157,1,FALSE),FALSE),"-"  )</f>
        <v>9</v>
      </c>
      <c r="N157" s="44" t="str">
        <f>IFERROR(VLOOKUP(VLOOKUP(O157,O157,1,1),Categories!$K$3:$V$17,7+VLOOKUP(L157,L157,1,FALSE),FALSE),"-")</f>
        <v>1.0 rev.</v>
      </c>
      <c r="O157" s="45" t="s">
        <v>88</v>
      </c>
      <c r="P157" s="46" t="s">
        <v>58</v>
      </c>
      <c r="Q157" s="47" t="s">
        <v>58</v>
      </c>
      <c r="R157" s="48"/>
      <c r="S157" s="48"/>
      <c r="T157" s="49"/>
      <c r="U157" s="61"/>
      <c r="V157" s="50">
        <v>4.0999999999999996</v>
      </c>
      <c r="W157" s="50">
        <v>3</v>
      </c>
      <c r="X157" s="53">
        <v>5.35</v>
      </c>
      <c r="Y157" s="52"/>
      <c r="Z157" s="52"/>
      <c r="AA157" s="52"/>
      <c r="AB157" s="52"/>
      <c r="AC157" s="52"/>
      <c r="AD157" s="52"/>
      <c r="AE157" s="52"/>
      <c r="AF157" s="52"/>
      <c r="AG157" s="53"/>
      <c r="AH157" s="54"/>
      <c r="AI157" s="55"/>
      <c r="AJ157" s="56"/>
      <c r="AK157" s="57"/>
      <c r="AL157" s="57"/>
    </row>
    <row r="158" spans="1:38" ht="31.95" customHeight="1" x14ac:dyDescent="0.3">
      <c r="A158" s="66">
        <v>44075</v>
      </c>
      <c r="B158" s="195">
        <v>0.53728009259259257</v>
      </c>
      <c r="C158" s="39"/>
      <c r="D158" s="39">
        <f>IF(I158=Categories!$E$4,VLOOKUP(H158,Categories!$A$4:$C$15,3,FALSE),VLOOKUP(I158,Categories!$E$4:$G$27,3,FALSE))</f>
        <v>60</v>
      </c>
      <c r="E158" s="39"/>
      <c r="F158" s="39"/>
      <c r="G158" s="40">
        <v>17</v>
      </c>
      <c r="H158" s="41" t="s">
        <v>66</v>
      </c>
      <c r="I158" s="59" t="s">
        <v>346</v>
      </c>
      <c r="J158" s="42"/>
      <c r="K158" s="60">
        <v>2500</v>
      </c>
      <c r="L158" s="43">
        <v>3</v>
      </c>
      <c r="M158" s="44">
        <f>IFERROR(VLOOKUP(VLOOKUP(O158,O158,1,1),Categories!$K$4:$V$17,2+VLOOKUP(L158,L158,1,FALSE),FALSE),"-"  )</f>
        <v>10</v>
      </c>
      <c r="N158" s="44" t="str">
        <f>IFERROR(VLOOKUP(VLOOKUP(O158,O158,1,1),Categories!$K$3:$V$17,7+VLOOKUP(L158,L158,1,FALSE),FALSE),"-")</f>
        <v>1.25 rev.</v>
      </c>
      <c r="O158" s="45" t="s">
        <v>88</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v>44075</v>
      </c>
      <c r="B159" s="195">
        <v>0.53809027777777774</v>
      </c>
      <c r="C159" s="39"/>
      <c r="D159" s="39">
        <f>IF(I159=Categories!$E$4,VLOOKUP(H159,Categories!$A$4:$C$15,3,FALSE),VLOOKUP(I159,Categories!$E$4:$G$27,3,FALSE))</f>
        <v>120</v>
      </c>
      <c r="E159" s="39"/>
      <c r="F159" s="39"/>
      <c r="G159" s="40">
        <v>17</v>
      </c>
      <c r="H159" s="41" t="s">
        <v>62</v>
      </c>
      <c r="I159" s="68" t="s">
        <v>58</v>
      </c>
      <c r="J159" s="42"/>
      <c r="K159" s="60">
        <v>2500</v>
      </c>
      <c r="L159" s="43">
        <v>3</v>
      </c>
      <c r="M159" s="44">
        <f>IFERROR(VLOOKUP(VLOOKUP(O159,O159,1,1),Categories!$K$4:$V$17,2+VLOOKUP(L159,L159,1,FALSE),FALSE),"-"  )</f>
        <v>10</v>
      </c>
      <c r="N159" s="44" t="str">
        <f>IFERROR(VLOOKUP(VLOOKUP(O159,O159,1,1),Categories!$K$3:$V$17,7+VLOOKUP(L159,L159,1,FALSE),FALSE),"-")</f>
        <v>1.25 rev.</v>
      </c>
      <c r="O159" s="45" t="s">
        <v>88</v>
      </c>
      <c r="P159" s="46" t="s">
        <v>58</v>
      </c>
      <c r="Q159" s="47" t="s">
        <v>58</v>
      </c>
      <c r="R159" s="48"/>
      <c r="S159" s="48"/>
      <c r="T159" s="49"/>
      <c r="U159" s="61"/>
      <c r="V159" s="50">
        <v>3.8</v>
      </c>
      <c r="W159" s="50">
        <v>2.9</v>
      </c>
      <c r="X159" s="53">
        <v>5.01</v>
      </c>
      <c r="Y159" s="52"/>
      <c r="Z159" s="52"/>
      <c r="AA159" s="52"/>
      <c r="AB159" s="52"/>
      <c r="AC159" s="52"/>
      <c r="AD159" s="52"/>
      <c r="AE159" s="52"/>
      <c r="AF159" s="52"/>
      <c r="AG159" s="53"/>
      <c r="AH159" s="54"/>
      <c r="AI159" s="55"/>
      <c r="AJ159" s="56"/>
      <c r="AK159" s="57"/>
      <c r="AL159" s="57"/>
    </row>
    <row r="160" spans="1:38" ht="31.95" customHeight="1" x14ac:dyDescent="0.3">
      <c r="A160" s="66">
        <v>44075</v>
      </c>
      <c r="B160" s="195">
        <v>0.53971064814814818</v>
      </c>
      <c r="C160" s="39"/>
      <c r="D160" s="39">
        <f>IF(I160=Categories!$E$4,VLOOKUP(H160,Categories!$A$4:$C$15,3,FALSE),VLOOKUP(I160,Categories!$E$4:$G$27,3,FALSE))</f>
        <v>60</v>
      </c>
      <c r="E160" s="39"/>
      <c r="F160" s="39"/>
      <c r="G160" s="40">
        <v>17</v>
      </c>
      <c r="H160" s="41" t="s">
        <v>66</v>
      </c>
      <c r="I160" s="59" t="s">
        <v>346</v>
      </c>
      <c r="J160" s="42"/>
      <c r="K160" s="60">
        <v>2500</v>
      </c>
      <c r="L160" s="43">
        <v>4</v>
      </c>
      <c r="M160" s="44">
        <f>IFERROR(VLOOKUP(VLOOKUP(O160,O160,1,1),Categories!$K$4:$V$17,2+VLOOKUP(L160,L160,1,FALSE),FALSE),"-"  )</f>
        <v>11</v>
      </c>
      <c r="N160" s="44" t="str">
        <f>IFERROR(VLOOKUP(VLOOKUP(O160,O160,1,1),Categories!$K$3:$V$17,7+VLOOKUP(L160,L160,1,FALSE),FALSE),"-")</f>
        <v>1.5 rev.</v>
      </c>
      <c r="O160" s="45" t="s">
        <v>88</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66">
        <v>44075</v>
      </c>
      <c r="B161" s="195">
        <v>0.54048611111111111</v>
      </c>
      <c r="C161" s="39"/>
      <c r="D161" s="39">
        <f>IF(I161=Categories!$E$4,VLOOKUP(H161,Categories!$A$4:$C$15,3,FALSE),VLOOKUP(I161,Categories!$E$4:$G$27,3,FALSE))</f>
        <v>120</v>
      </c>
      <c r="E161" s="39"/>
      <c r="F161" s="39"/>
      <c r="G161" s="40">
        <v>17</v>
      </c>
      <c r="H161" s="41" t="s">
        <v>62</v>
      </c>
      <c r="I161" s="68" t="s">
        <v>58</v>
      </c>
      <c r="J161" s="42"/>
      <c r="K161" s="60">
        <v>2500</v>
      </c>
      <c r="L161" s="43">
        <v>4</v>
      </c>
      <c r="M161" s="44">
        <f>IFERROR(VLOOKUP(VLOOKUP(O161,O161,1,1),Categories!$K$4:$V$17,2+VLOOKUP(L161,L161,1,FALSE),FALSE),"-"  )</f>
        <v>11</v>
      </c>
      <c r="N161" s="44" t="str">
        <f>IFERROR(VLOOKUP(VLOOKUP(O161,O161,1,1),Categories!$K$3:$V$17,7+VLOOKUP(L161,L161,1,FALSE),FALSE),"-")</f>
        <v>1.5 rev.</v>
      </c>
      <c r="O161" s="45" t="s">
        <v>88</v>
      </c>
      <c r="P161" s="46" t="s">
        <v>58</v>
      </c>
      <c r="Q161" s="47" t="s">
        <v>58</v>
      </c>
      <c r="R161" s="48"/>
      <c r="S161" s="48"/>
      <c r="T161" s="49"/>
      <c r="U161" s="61"/>
      <c r="V161" s="50">
        <v>3.3</v>
      </c>
      <c r="W161" s="50">
        <v>2.7</v>
      </c>
      <c r="X161" s="53">
        <v>4.46</v>
      </c>
      <c r="Y161" s="52"/>
      <c r="Z161" s="52"/>
      <c r="AA161" s="52"/>
      <c r="AB161" s="52"/>
      <c r="AC161" s="52"/>
      <c r="AD161" s="52"/>
      <c r="AE161" s="52"/>
      <c r="AF161" s="52"/>
      <c r="AG161" s="53"/>
      <c r="AH161" s="54"/>
      <c r="AI161" s="55"/>
      <c r="AJ161" s="56"/>
      <c r="AK161" s="57"/>
      <c r="AL161" s="57"/>
    </row>
    <row r="162" spans="1:38" ht="31.95" customHeight="1" x14ac:dyDescent="0.3">
      <c r="A162" s="66">
        <v>44075</v>
      </c>
      <c r="B162" s="195">
        <v>0.54196759259259253</v>
      </c>
      <c r="C162" s="39"/>
      <c r="D162" s="39">
        <f>IF(I162=Categories!$E$4,VLOOKUP(H162,Categories!$A$4:$C$15,3,FALSE),VLOOKUP(I162,Categories!$E$4:$G$27,3,FALSE))</f>
        <v>60</v>
      </c>
      <c r="E162" s="39"/>
      <c r="F162" s="39"/>
      <c r="G162" s="40">
        <v>17</v>
      </c>
      <c r="H162" s="41" t="s">
        <v>66</v>
      </c>
      <c r="I162" s="59" t="s">
        <v>346</v>
      </c>
      <c r="J162" s="42"/>
      <c r="K162" s="60">
        <v>2500</v>
      </c>
      <c r="L162" s="43">
        <v>5</v>
      </c>
      <c r="M162" s="44">
        <f>IFERROR(VLOOKUP(VLOOKUP(O162,O162,1,1),Categories!$K$4:$V$17,2+VLOOKUP(L162,L162,1,FALSE),FALSE),"-"  )</f>
        <v>12</v>
      </c>
      <c r="N162" s="44" t="str">
        <f>IFERROR(VLOOKUP(VLOOKUP(O162,O162,1,1),Categories!$K$3:$V$17,7+VLOOKUP(L162,L162,1,FALSE),FALSE),"-")</f>
        <v>2.0 Rev</v>
      </c>
      <c r="O162" s="45" t="s">
        <v>88</v>
      </c>
      <c r="P162" s="46" t="s">
        <v>58</v>
      </c>
      <c r="Q162" s="47" t="s">
        <v>58</v>
      </c>
      <c r="R162" s="48"/>
      <c r="S162" s="48"/>
      <c r="T162" s="49"/>
      <c r="U162" s="61"/>
      <c r="V162" s="50"/>
      <c r="W162" s="50"/>
      <c r="X162" s="53"/>
      <c r="Y162" s="52"/>
      <c r="Z162" s="52"/>
      <c r="AA162" s="52"/>
      <c r="AB162" s="52"/>
      <c r="AC162" s="52"/>
      <c r="AD162" s="52"/>
      <c r="AE162" s="52"/>
      <c r="AF162" s="52"/>
      <c r="AG162" s="53"/>
      <c r="AH162" s="54"/>
      <c r="AI162" s="55"/>
      <c r="AJ162" s="56"/>
      <c r="AK162" s="57"/>
      <c r="AL162" s="57"/>
    </row>
    <row r="163" spans="1:38" ht="31.95" customHeight="1" x14ac:dyDescent="0.3">
      <c r="A163" s="66">
        <v>44075</v>
      </c>
      <c r="B163" s="195">
        <v>0.54268518518518516</v>
      </c>
      <c r="C163" s="39"/>
      <c r="D163" s="39">
        <f>IF(I163=Categories!$E$4,VLOOKUP(H163,Categories!$A$4:$C$15,3,FALSE),VLOOKUP(I163,Categories!$E$4:$G$27,3,FALSE))</f>
        <v>120</v>
      </c>
      <c r="E163" s="39"/>
      <c r="F163" s="39"/>
      <c r="G163" s="40">
        <v>17</v>
      </c>
      <c r="H163" s="41" t="s">
        <v>62</v>
      </c>
      <c r="I163" s="68" t="s">
        <v>58</v>
      </c>
      <c r="J163" s="42"/>
      <c r="K163" s="60">
        <v>2500</v>
      </c>
      <c r="L163" s="43">
        <v>5</v>
      </c>
      <c r="M163" s="44">
        <f>IFERROR(VLOOKUP(VLOOKUP(O163,O163,1,1),Categories!$K$4:$V$17,2+VLOOKUP(L163,L163,1,FALSE),FALSE),"-"  )</f>
        <v>12</v>
      </c>
      <c r="N163" s="44" t="str">
        <f>IFERROR(VLOOKUP(VLOOKUP(O163,O163,1,1),Categories!$K$3:$V$17,7+VLOOKUP(L163,L163,1,FALSE),FALSE),"-")</f>
        <v>2.0 Rev</v>
      </c>
      <c r="O163" s="45" t="s">
        <v>88</v>
      </c>
      <c r="P163" s="46" t="s">
        <v>58</v>
      </c>
      <c r="Q163" s="47" t="s">
        <v>58</v>
      </c>
      <c r="R163" s="48"/>
      <c r="S163" s="48"/>
      <c r="T163" s="49"/>
      <c r="U163" s="61"/>
      <c r="V163" s="50">
        <v>2.2999999999999998</v>
      </c>
      <c r="W163" s="50">
        <v>2.4</v>
      </c>
      <c r="X163" s="53">
        <v>3.36</v>
      </c>
      <c r="Y163" s="52"/>
      <c r="Z163" s="52"/>
      <c r="AA163" s="52"/>
      <c r="AB163" s="52"/>
      <c r="AC163" s="52"/>
      <c r="AD163" s="52"/>
      <c r="AE163" s="52"/>
      <c r="AF163" s="52"/>
      <c r="AG163" s="53"/>
      <c r="AH163" s="54"/>
      <c r="AI163" s="55"/>
      <c r="AJ163" s="56"/>
      <c r="AK163" s="57"/>
      <c r="AL163" s="57"/>
    </row>
    <row r="164" spans="1:38" ht="31.95" customHeight="1" x14ac:dyDescent="0.3">
      <c r="A164" s="66">
        <v>44075</v>
      </c>
      <c r="B164" s="195">
        <v>0.54421296296296295</v>
      </c>
      <c r="C164" s="39"/>
      <c r="D164" s="39">
        <f>IF(I164=Categories!$E$4,VLOOKUP(H164,Categories!$A$4:$C$15,3,FALSE),VLOOKUP(I164,Categories!$E$4:$G$27,3,FALSE))</f>
        <v>45</v>
      </c>
      <c r="E164" s="39"/>
      <c r="F164" s="39"/>
      <c r="G164" s="40">
        <v>17</v>
      </c>
      <c r="H164" s="41" t="s">
        <v>66</v>
      </c>
      <c r="I164" s="59" t="s">
        <v>323</v>
      </c>
      <c r="J164" s="42"/>
      <c r="K164" s="60">
        <v>2500</v>
      </c>
      <c r="L164" s="43">
        <v>1</v>
      </c>
      <c r="M164" s="44">
        <f>IFERROR(VLOOKUP(VLOOKUP(O164,O164,1,1),Categories!$K$4:$V$17,2+VLOOKUP(L164,L164,1,FALSE),FALSE),"-"  )</f>
        <v>2.33</v>
      </c>
      <c r="N164" s="44" t="str">
        <f>IFERROR(VLOOKUP(VLOOKUP(O164,O164,1,1),Categories!$K$3:$V$17,7+VLOOKUP(L164,L164,1,FALSE),FALSE),"-")</f>
        <v>0 rev.</v>
      </c>
      <c r="O164" s="45" t="s">
        <v>88</v>
      </c>
      <c r="P164" s="46" t="s">
        <v>58</v>
      </c>
      <c r="Q164" s="47" t="s">
        <v>58</v>
      </c>
      <c r="R164" s="48"/>
      <c r="S164" s="48"/>
      <c r="T164" s="49"/>
      <c r="U164" s="61"/>
      <c r="V164" s="50"/>
      <c r="W164" s="50"/>
      <c r="X164" s="53"/>
      <c r="Y164" s="52"/>
      <c r="Z164" s="52"/>
      <c r="AA164" s="52"/>
      <c r="AB164" s="52"/>
      <c r="AC164" s="52"/>
      <c r="AD164" s="52"/>
      <c r="AE164" s="52"/>
      <c r="AF164" s="52"/>
      <c r="AG164" s="53"/>
      <c r="AH164" s="54"/>
      <c r="AI164" s="55"/>
      <c r="AJ164" s="56"/>
      <c r="AK164" s="57"/>
      <c r="AL164" s="57"/>
    </row>
    <row r="165" spans="1:38" ht="31.95" customHeight="1" x14ac:dyDescent="0.3">
      <c r="A165" s="66">
        <v>44075</v>
      </c>
      <c r="B165" s="195">
        <v>0.54481481481481475</v>
      </c>
      <c r="C165" s="39"/>
      <c r="D165" s="39">
        <f>IF(I165=Categories!$E$4,VLOOKUP(H165,Categories!$A$4:$C$15,3,FALSE),VLOOKUP(I165,Categories!$E$4:$G$27,3,FALSE))</f>
        <v>60</v>
      </c>
      <c r="E165" s="39"/>
      <c r="F165" s="39"/>
      <c r="G165" s="40">
        <v>17</v>
      </c>
      <c r="H165" s="41" t="s">
        <v>78</v>
      </c>
      <c r="I165" s="68" t="s">
        <v>58</v>
      </c>
      <c r="J165" s="42"/>
      <c r="K165" s="60">
        <v>2500</v>
      </c>
      <c r="L165" s="43">
        <v>1</v>
      </c>
      <c r="M165" s="44">
        <f>IFERROR(VLOOKUP(VLOOKUP(O165,O165,1,1),Categories!$K$4:$V$17,2+VLOOKUP(L165,L165,1,FALSE),FALSE),"-"  )</f>
        <v>2.33</v>
      </c>
      <c r="N165" s="44" t="str">
        <f>IFERROR(VLOOKUP(VLOOKUP(O165,O165,1,1),Categories!$K$3:$V$17,7+VLOOKUP(L165,L165,1,FALSE),FALSE),"-")</f>
        <v>0 rev.</v>
      </c>
      <c r="O165" s="45" t="s">
        <v>88</v>
      </c>
      <c r="P165" s="46" t="s">
        <v>58</v>
      </c>
      <c r="Q165" s="47" t="s">
        <v>58</v>
      </c>
      <c r="R165" s="48"/>
      <c r="S165" s="48"/>
      <c r="T165" s="49"/>
      <c r="U165" s="61"/>
      <c r="V165" s="50">
        <v>4.0999999999999996</v>
      </c>
      <c r="W165" s="50">
        <v>3</v>
      </c>
      <c r="X165" s="53">
        <v>5.54</v>
      </c>
      <c r="Y165" s="52"/>
      <c r="Z165" s="52"/>
      <c r="AA165" s="52"/>
      <c r="AB165" s="52"/>
      <c r="AC165" s="52"/>
      <c r="AD165" s="52"/>
      <c r="AE165" s="52"/>
      <c r="AF165" s="52"/>
      <c r="AG165" s="53"/>
      <c r="AH165" s="54"/>
      <c r="AI165" s="55"/>
      <c r="AJ165" s="56"/>
      <c r="AK165" s="57"/>
      <c r="AL165" s="57"/>
    </row>
    <row r="166" spans="1:38" ht="31.95" customHeight="1" x14ac:dyDescent="0.3">
      <c r="A166" s="66">
        <v>44075</v>
      </c>
      <c r="B166" s="195">
        <v>0.54563657407407407</v>
      </c>
      <c r="C166" s="39"/>
      <c r="D166" s="39">
        <f>IF(I166=Categories!$E$4,VLOOKUP(H166,Categories!$A$4:$C$15,3,FALSE),VLOOKUP(I166,Categories!$E$4:$G$27,3,FALSE))</f>
        <v>30</v>
      </c>
      <c r="E166" s="39"/>
      <c r="F166" s="39"/>
      <c r="G166" s="40" t="s">
        <v>58</v>
      </c>
      <c r="H166" s="41" t="s">
        <v>66</v>
      </c>
      <c r="I166" s="59" t="s">
        <v>67</v>
      </c>
      <c r="J166" s="42"/>
      <c r="K166" s="60">
        <v>2800</v>
      </c>
      <c r="L166" s="43">
        <v>1</v>
      </c>
      <c r="M166" s="44">
        <f>IFERROR(VLOOKUP(VLOOKUP(O166,O166,1,1),Categories!$K$4:$V$17,2+VLOOKUP(L166,L166,1,FALSE),FALSE),"-"  )</f>
        <v>2.33</v>
      </c>
      <c r="N166" s="44" t="str">
        <f>IFERROR(VLOOKUP(VLOOKUP(O166,O166,1,1),Categories!$K$3:$V$17,7+VLOOKUP(L166,L166,1,FALSE),FALSE),"-")</f>
        <v>0 rev.</v>
      </c>
      <c r="O166" s="45" t="s">
        <v>88</v>
      </c>
      <c r="P166" s="46" t="s">
        <v>58</v>
      </c>
      <c r="Q166" s="47" t="s">
        <v>58</v>
      </c>
      <c r="R166" s="48"/>
      <c r="S166" s="48"/>
      <c r="T166" s="49"/>
      <c r="U166" s="61"/>
      <c r="V166" s="50"/>
      <c r="W166" s="50"/>
      <c r="X166" s="53"/>
      <c r="Y166" s="52"/>
      <c r="Z166" s="52"/>
      <c r="AA166" s="52"/>
      <c r="AB166" s="52"/>
      <c r="AC166" s="52"/>
      <c r="AD166" s="52"/>
      <c r="AE166" s="52"/>
      <c r="AF166" s="52"/>
      <c r="AG166" s="53"/>
      <c r="AH166" s="54"/>
      <c r="AI166" s="55"/>
      <c r="AJ166" s="56"/>
      <c r="AK166" s="57"/>
      <c r="AL166" s="57"/>
    </row>
    <row r="167" spans="1:38" ht="31.95" customHeight="1" x14ac:dyDescent="0.3">
      <c r="A167" s="37">
        <v>44075</v>
      </c>
      <c r="B167" s="194">
        <v>0.54618055555555556</v>
      </c>
      <c r="C167" s="39"/>
      <c r="D167" s="39">
        <f>IF(I167=Categories!$E$4,VLOOKUP(H167,Categories!$A$4:$C$15,3,FALSE),VLOOKUP(I167,Categories!$E$4:$G$27,3,FALSE))</f>
        <v>120</v>
      </c>
      <c r="E167" s="39"/>
      <c r="F167" s="39"/>
      <c r="G167" s="40">
        <v>18</v>
      </c>
      <c r="H167" s="41" t="s">
        <v>62</v>
      </c>
      <c r="I167" s="59" t="s">
        <v>58</v>
      </c>
      <c r="J167" s="42"/>
      <c r="K167" s="60">
        <v>2800</v>
      </c>
      <c r="L167" s="43">
        <v>1</v>
      </c>
      <c r="M167" s="44">
        <f>IFERROR(VLOOKUP(VLOOKUP(O167,O167,1,1),Categories!$K$4:$V$17,2+VLOOKUP(L167,L167,1,FALSE),FALSE),"-"  )</f>
        <v>2.33</v>
      </c>
      <c r="N167" s="44" t="str">
        <f>IFERROR(VLOOKUP(VLOOKUP(O167,O167,1,1),Categories!$K$3:$V$17,7+VLOOKUP(L167,L167,1,FALSE),FALSE),"-")</f>
        <v>0 rev.</v>
      </c>
      <c r="O167" s="45" t="s">
        <v>88</v>
      </c>
      <c r="P167" s="46" t="s">
        <v>58</v>
      </c>
      <c r="Q167" s="47" t="s">
        <v>58</v>
      </c>
      <c r="R167" s="61"/>
      <c r="S167" s="61"/>
      <c r="T167" s="62"/>
      <c r="U167" s="61"/>
      <c r="V167" s="63">
        <v>4.5999999999999996</v>
      </c>
      <c r="W167" s="63">
        <v>4.0999999999999996</v>
      </c>
      <c r="X167" s="51">
        <v>6.26</v>
      </c>
      <c r="Y167" s="64"/>
      <c r="Z167" s="64"/>
      <c r="AA167" s="64"/>
      <c r="AB167" s="64"/>
      <c r="AC167" s="64"/>
      <c r="AD167" s="64"/>
      <c r="AE167" s="64"/>
      <c r="AF167" s="64"/>
      <c r="AG167" s="51"/>
      <c r="AH167" s="65"/>
      <c r="AI167" s="55"/>
      <c r="AJ167" s="56"/>
      <c r="AK167" s="57"/>
      <c r="AL167" s="57"/>
    </row>
    <row r="168" spans="1:38" ht="31.95" customHeight="1" x14ac:dyDescent="0.3">
      <c r="A168" s="37">
        <v>44075</v>
      </c>
      <c r="B168" s="194">
        <v>0.54767361111111112</v>
      </c>
      <c r="C168" s="39"/>
      <c r="D168" s="39">
        <f>IF(I168=Categories!$E$4,VLOOKUP(H168,Categories!$A$4:$C$15,3,FALSE),VLOOKUP(I168,Categories!$E$4:$G$27,3,FALSE))</f>
        <v>60</v>
      </c>
      <c r="E168" s="39"/>
      <c r="F168" s="39"/>
      <c r="G168" s="40">
        <v>18</v>
      </c>
      <c r="H168" s="41" t="s">
        <v>66</v>
      </c>
      <c r="I168" s="59" t="s">
        <v>346</v>
      </c>
      <c r="J168" s="42"/>
      <c r="K168" s="60">
        <v>2800</v>
      </c>
      <c r="L168" s="43">
        <v>2</v>
      </c>
      <c r="M168" s="44">
        <f>IFERROR(VLOOKUP(VLOOKUP(O168,O168,1,1),Categories!$K$4:$V$17,2+VLOOKUP(L168,L168,1,FALSE),FALSE),"-"  )</f>
        <v>9</v>
      </c>
      <c r="N168" s="44" t="str">
        <f>IFERROR(VLOOKUP(VLOOKUP(O168,O168,1,1),Categories!$K$3:$V$17,7+VLOOKUP(L168,L168,1,FALSE),FALSE),"-")</f>
        <v>1.0 rev.</v>
      </c>
      <c r="O168" s="45" t="s">
        <v>88</v>
      </c>
      <c r="P168" s="46" t="s">
        <v>58</v>
      </c>
      <c r="Q168" s="47" t="s">
        <v>58</v>
      </c>
      <c r="R168" s="61"/>
      <c r="S168" s="61"/>
      <c r="T168" s="62"/>
      <c r="U168" s="61"/>
      <c r="V168" s="63"/>
      <c r="W168" s="63"/>
      <c r="X168" s="51"/>
      <c r="Y168" s="64"/>
      <c r="Z168" s="64"/>
      <c r="AA168" s="64"/>
      <c r="AB168" s="64"/>
      <c r="AC168" s="64"/>
      <c r="AD168" s="64"/>
      <c r="AE168" s="64"/>
      <c r="AF168" s="64"/>
      <c r="AG168" s="51"/>
      <c r="AH168" s="65"/>
      <c r="AI168" s="55"/>
      <c r="AJ168" s="56"/>
      <c r="AK168" s="57"/>
      <c r="AL168" s="57"/>
    </row>
    <row r="169" spans="1:38" ht="31.95" customHeight="1" x14ac:dyDescent="0.3">
      <c r="A169" s="66">
        <v>44075</v>
      </c>
      <c r="B169" s="195">
        <v>0.54844907407407406</v>
      </c>
      <c r="C169" s="39"/>
      <c r="D169" s="39">
        <f>IF(I169=Categories!$E$4,VLOOKUP(H169,Categories!$A$4:$C$15,3,FALSE),VLOOKUP(I169,Categories!$E$4:$G$27,3,FALSE))</f>
        <v>120</v>
      </c>
      <c r="E169" s="39"/>
      <c r="F169" s="39"/>
      <c r="G169" s="40">
        <v>18</v>
      </c>
      <c r="H169" s="41" t="s">
        <v>62</v>
      </c>
      <c r="I169" s="68" t="s">
        <v>58</v>
      </c>
      <c r="J169" s="42"/>
      <c r="K169" s="60">
        <v>2800</v>
      </c>
      <c r="L169" s="43">
        <v>2</v>
      </c>
      <c r="M169" s="44">
        <f>IFERROR(VLOOKUP(VLOOKUP(O169,O169,1,1),Categories!$K$4:$V$17,2+VLOOKUP(L169,L169,1,FALSE),FALSE),"-"  )</f>
        <v>9</v>
      </c>
      <c r="N169" s="44" t="str">
        <f>IFERROR(VLOOKUP(VLOOKUP(O169,O169,1,1),Categories!$K$3:$V$17,7+VLOOKUP(L169,L169,1,FALSE),FALSE),"-")</f>
        <v>1.0 rev.</v>
      </c>
      <c r="O169" s="45" t="s">
        <v>88</v>
      </c>
      <c r="P169" s="46" t="s">
        <v>58</v>
      </c>
      <c r="Q169" s="47" t="s">
        <v>58</v>
      </c>
      <c r="R169" s="48"/>
      <c r="S169" s="48"/>
      <c r="T169" s="49"/>
      <c r="U169" s="61"/>
      <c r="V169" s="50">
        <v>4.7</v>
      </c>
      <c r="W169" s="50">
        <v>4.2</v>
      </c>
      <c r="X169" s="53">
        <v>6.06</v>
      </c>
      <c r="Y169" s="52"/>
      <c r="Z169" s="52"/>
      <c r="AA169" s="52"/>
      <c r="AB169" s="52"/>
      <c r="AC169" s="52"/>
      <c r="AD169" s="52"/>
      <c r="AE169" s="52"/>
      <c r="AF169" s="52"/>
      <c r="AG169" s="53"/>
      <c r="AH169" s="54"/>
      <c r="AI169" s="55"/>
      <c r="AJ169" s="56"/>
      <c r="AK169" s="57"/>
      <c r="AL169" s="57"/>
    </row>
    <row r="170" spans="1:38" ht="31.95" customHeight="1" x14ac:dyDescent="0.3">
      <c r="A170" s="66">
        <v>44075</v>
      </c>
      <c r="B170" s="195">
        <v>0.54994212962962963</v>
      </c>
      <c r="C170" s="39"/>
      <c r="D170" s="39">
        <f>IF(I170=Categories!$E$4,VLOOKUP(H170,Categories!$A$4:$C$15,3,FALSE),VLOOKUP(I170,Categories!$E$4:$G$27,3,FALSE))</f>
        <v>60</v>
      </c>
      <c r="E170" s="39"/>
      <c r="F170" s="39"/>
      <c r="G170" s="40">
        <v>18</v>
      </c>
      <c r="H170" s="41" t="s">
        <v>66</v>
      </c>
      <c r="I170" s="59" t="s">
        <v>346</v>
      </c>
      <c r="J170" s="42"/>
      <c r="K170" s="60">
        <v>2800</v>
      </c>
      <c r="L170" s="43">
        <v>3</v>
      </c>
      <c r="M170" s="44">
        <f>IFERROR(VLOOKUP(VLOOKUP(O170,O170,1,1),Categories!$K$4:$V$17,2+VLOOKUP(L170,L170,1,FALSE),FALSE),"-"  )</f>
        <v>10</v>
      </c>
      <c r="N170" s="44" t="str">
        <f>IFERROR(VLOOKUP(VLOOKUP(O170,O170,1,1),Categories!$K$3:$V$17,7+VLOOKUP(L170,L170,1,FALSE),FALSE),"-")</f>
        <v>1.25 rev.</v>
      </c>
      <c r="O170" s="45" t="s">
        <v>88</v>
      </c>
      <c r="P170" s="46" t="s">
        <v>58</v>
      </c>
      <c r="Q170" s="47" t="s">
        <v>58</v>
      </c>
      <c r="R170" s="48"/>
      <c r="S170" s="48"/>
      <c r="T170" s="49"/>
      <c r="U170" s="61"/>
      <c r="V170" s="50"/>
      <c r="W170" s="50"/>
      <c r="X170" s="53"/>
      <c r="Y170" s="52"/>
      <c r="Z170" s="52"/>
      <c r="AA170" s="52"/>
      <c r="AB170" s="52"/>
      <c r="AC170" s="52"/>
      <c r="AD170" s="52"/>
      <c r="AE170" s="52"/>
      <c r="AF170" s="52"/>
      <c r="AG170" s="53"/>
      <c r="AH170" s="54"/>
      <c r="AI170" s="55"/>
      <c r="AJ170" s="56"/>
      <c r="AK170" s="57"/>
      <c r="AL170" s="57"/>
    </row>
    <row r="171" spans="1:38" ht="31.95" customHeight="1" x14ac:dyDescent="0.3">
      <c r="A171" s="66">
        <v>44075</v>
      </c>
      <c r="B171" s="195">
        <v>0.55078703703703702</v>
      </c>
      <c r="C171" s="39"/>
      <c r="D171" s="39">
        <f>IF(I171=Categories!$E$4,VLOOKUP(H171,Categories!$A$4:$C$15,3,FALSE),VLOOKUP(I171,Categories!$E$4:$G$27,3,FALSE))</f>
        <v>120</v>
      </c>
      <c r="E171" s="39"/>
      <c r="F171" s="39"/>
      <c r="G171" s="40">
        <v>18</v>
      </c>
      <c r="H171" s="41" t="s">
        <v>62</v>
      </c>
      <c r="I171" s="68" t="s">
        <v>58</v>
      </c>
      <c r="J171" s="42"/>
      <c r="K171" s="60">
        <v>2800</v>
      </c>
      <c r="L171" s="43">
        <v>3</v>
      </c>
      <c r="M171" s="44">
        <f>IFERROR(VLOOKUP(VLOOKUP(O171,O171,1,1),Categories!$K$4:$V$17,2+VLOOKUP(L171,L171,1,FALSE),FALSE),"-"  )</f>
        <v>10</v>
      </c>
      <c r="N171" s="44" t="str">
        <f>IFERROR(VLOOKUP(VLOOKUP(O171,O171,1,1),Categories!$K$3:$V$17,7+VLOOKUP(L171,L171,1,FALSE),FALSE),"-")</f>
        <v>1.25 rev.</v>
      </c>
      <c r="O171" s="45" t="s">
        <v>88</v>
      </c>
      <c r="P171" s="46" t="s">
        <v>58</v>
      </c>
      <c r="Q171" s="47" t="s">
        <v>58</v>
      </c>
      <c r="R171" s="48"/>
      <c r="S171" s="48"/>
      <c r="T171" s="49"/>
      <c r="U171" s="61"/>
      <c r="V171" s="50">
        <v>4.4000000000000004</v>
      </c>
      <c r="W171" s="50">
        <v>4</v>
      </c>
      <c r="X171" s="53">
        <v>5.75</v>
      </c>
      <c r="Y171" s="52"/>
      <c r="Z171" s="52"/>
      <c r="AA171" s="52"/>
      <c r="AB171" s="52"/>
      <c r="AC171" s="52"/>
      <c r="AD171" s="52"/>
      <c r="AE171" s="52"/>
      <c r="AF171" s="52"/>
      <c r="AG171" s="53"/>
      <c r="AH171" s="54"/>
      <c r="AI171" s="55"/>
      <c r="AJ171" s="56"/>
      <c r="AK171" s="57"/>
      <c r="AL171" s="57"/>
    </row>
    <row r="172" spans="1:38" ht="31.95" customHeight="1" x14ac:dyDescent="0.3">
      <c r="A172" s="66">
        <v>44075</v>
      </c>
      <c r="B172" s="195">
        <v>0.55229166666666674</v>
      </c>
      <c r="C172" s="39"/>
      <c r="D172" s="39">
        <f>IF(I172=Categories!$E$4,VLOOKUP(H172,Categories!$A$4:$C$15,3,FALSE),VLOOKUP(I172,Categories!$E$4:$G$27,3,FALSE))</f>
        <v>60</v>
      </c>
      <c r="E172" s="39"/>
      <c r="F172" s="39"/>
      <c r="G172" s="40">
        <v>18</v>
      </c>
      <c r="H172" s="41" t="s">
        <v>66</v>
      </c>
      <c r="I172" s="59" t="s">
        <v>346</v>
      </c>
      <c r="J172" s="42"/>
      <c r="K172" s="60">
        <v>2800</v>
      </c>
      <c r="L172" s="43">
        <v>4</v>
      </c>
      <c r="M172" s="44">
        <f>IFERROR(VLOOKUP(VLOOKUP(O172,O172,1,1),Categories!$K$4:$V$17,2+VLOOKUP(L172,L172,1,FALSE),FALSE),"-"  )</f>
        <v>11</v>
      </c>
      <c r="N172" s="44" t="str">
        <f>IFERROR(VLOOKUP(VLOOKUP(O172,O172,1,1),Categories!$K$3:$V$17,7+VLOOKUP(L172,L172,1,FALSE),FALSE),"-")</f>
        <v>1.5 rev.</v>
      </c>
      <c r="O172" s="45" t="s">
        <v>88</v>
      </c>
      <c r="P172" s="46" t="s">
        <v>58</v>
      </c>
      <c r="Q172" s="47" t="s">
        <v>58</v>
      </c>
      <c r="R172" s="48"/>
      <c r="S172" s="48"/>
      <c r="T172" s="49"/>
      <c r="U172" s="61"/>
      <c r="V172" s="50"/>
      <c r="W172" s="50"/>
      <c r="X172" s="53"/>
      <c r="Y172" s="52"/>
      <c r="Z172" s="52"/>
      <c r="AA172" s="52"/>
      <c r="AB172" s="52"/>
      <c r="AC172" s="52"/>
      <c r="AD172" s="52"/>
      <c r="AE172" s="52"/>
      <c r="AF172" s="52"/>
      <c r="AG172" s="53"/>
      <c r="AH172" s="54"/>
      <c r="AI172" s="55"/>
      <c r="AJ172" s="56"/>
      <c r="AK172" s="57"/>
      <c r="AL172" s="57"/>
    </row>
    <row r="173" spans="1:38" ht="31.95" customHeight="1" x14ac:dyDescent="0.3">
      <c r="A173" s="66">
        <v>44075</v>
      </c>
      <c r="B173" s="195">
        <v>0.55320601851851847</v>
      </c>
      <c r="C173" s="39"/>
      <c r="D173" s="39">
        <f>IF(I173=Categories!$E$4,VLOOKUP(H173,Categories!$A$4:$C$15,3,FALSE),VLOOKUP(I173,Categories!$E$4:$G$27,3,FALSE))</f>
        <v>120</v>
      </c>
      <c r="E173" s="39"/>
      <c r="F173" s="39"/>
      <c r="G173" s="40">
        <v>18</v>
      </c>
      <c r="H173" s="41" t="s">
        <v>62</v>
      </c>
      <c r="I173" s="68" t="s">
        <v>58</v>
      </c>
      <c r="J173" s="42"/>
      <c r="K173" s="60">
        <v>2800</v>
      </c>
      <c r="L173" s="43">
        <v>4</v>
      </c>
      <c r="M173" s="44">
        <f>IFERROR(VLOOKUP(VLOOKUP(O173,O173,1,1),Categories!$K$4:$V$17,2+VLOOKUP(L173,L173,1,FALSE),FALSE),"-"  )</f>
        <v>11</v>
      </c>
      <c r="N173" s="44" t="str">
        <f>IFERROR(VLOOKUP(VLOOKUP(O173,O173,1,1),Categories!$K$3:$V$17,7+VLOOKUP(L173,L173,1,FALSE),FALSE),"-")</f>
        <v>1.5 rev.</v>
      </c>
      <c r="O173" s="45" t="s">
        <v>88</v>
      </c>
      <c r="P173" s="46" t="s">
        <v>58</v>
      </c>
      <c r="Q173" s="47" t="s">
        <v>58</v>
      </c>
      <c r="R173" s="48"/>
      <c r="S173" s="48"/>
      <c r="T173" s="49"/>
      <c r="U173" s="61"/>
      <c r="V173" s="50">
        <v>3.7</v>
      </c>
      <c r="W173" s="50">
        <v>3.8</v>
      </c>
      <c r="X173" s="53">
        <v>5.16</v>
      </c>
      <c r="Y173" s="52"/>
      <c r="Z173" s="52"/>
      <c r="AA173" s="52"/>
      <c r="AB173" s="52"/>
      <c r="AC173" s="52"/>
      <c r="AD173" s="52"/>
      <c r="AE173" s="52"/>
      <c r="AF173" s="52"/>
      <c r="AG173" s="53"/>
      <c r="AH173" s="54"/>
      <c r="AI173" s="55"/>
      <c r="AJ173" s="56"/>
      <c r="AK173" s="57"/>
      <c r="AL173" s="57"/>
    </row>
    <row r="174" spans="1:38" ht="31.95" customHeight="1" x14ac:dyDescent="0.3">
      <c r="A174" s="66">
        <v>44075</v>
      </c>
      <c r="B174" s="195">
        <v>0.55478009259259264</v>
      </c>
      <c r="C174" s="39"/>
      <c r="D174" s="39">
        <f>IF(I174=Categories!$E$4,VLOOKUP(H174,Categories!$A$4:$C$15,3,FALSE),VLOOKUP(I174,Categories!$E$4:$G$27,3,FALSE))</f>
        <v>60</v>
      </c>
      <c r="E174" s="39"/>
      <c r="F174" s="39"/>
      <c r="G174" s="40">
        <v>18</v>
      </c>
      <c r="H174" s="41" t="s">
        <v>66</v>
      </c>
      <c r="I174" s="59" t="s">
        <v>346</v>
      </c>
      <c r="J174" s="42"/>
      <c r="K174" s="60">
        <v>2800</v>
      </c>
      <c r="L174" s="43">
        <v>5</v>
      </c>
      <c r="M174" s="44">
        <f>IFERROR(VLOOKUP(VLOOKUP(O174,O174,1,1),Categories!$K$4:$V$17,2+VLOOKUP(L174,L174,1,FALSE),FALSE),"-"  )</f>
        <v>12</v>
      </c>
      <c r="N174" s="44" t="str">
        <f>IFERROR(VLOOKUP(VLOOKUP(O174,O174,1,1),Categories!$K$3:$V$17,7+VLOOKUP(L174,L174,1,FALSE),FALSE),"-")</f>
        <v>2.0 Rev</v>
      </c>
      <c r="O174" s="45" t="s">
        <v>88</v>
      </c>
      <c r="P174" s="46" t="s">
        <v>58</v>
      </c>
      <c r="Q174" s="47" t="s">
        <v>58</v>
      </c>
      <c r="R174" s="48"/>
      <c r="S174" s="48"/>
      <c r="T174" s="49"/>
      <c r="U174" s="61"/>
      <c r="V174" s="50"/>
      <c r="W174" s="50"/>
      <c r="X174" s="53"/>
      <c r="Y174" s="52"/>
      <c r="Z174" s="52"/>
      <c r="AA174" s="52"/>
      <c r="AB174" s="52"/>
      <c r="AC174" s="52"/>
      <c r="AD174" s="52"/>
      <c r="AE174" s="52"/>
      <c r="AF174" s="52"/>
      <c r="AG174" s="53"/>
      <c r="AH174" s="54"/>
      <c r="AI174" s="55"/>
      <c r="AJ174" s="56"/>
      <c r="AK174" s="57"/>
      <c r="AL174" s="57"/>
    </row>
    <row r="175" spans="1:38" ht="31.95" customHeight="1" x14ac:dyDescent="0.3">
      <c r="A175" s="66">
        <v>44075</v>
      </c>
      <c r="B175" s="195">
        <v>0.55500000000000005</v>
      </c>
      <c r="C175" s="39"/>
      <c r="D175" s="39">
        <f>IF(I175=Categories!$E$4,VLOOKUP(H175,Categories!$A$4:$C$15,3,FALSE),VLOOKUP(I175,Categories!$E$4:$G$27,3,FALSE))</f>
        <v>120</v>
      </c>
      <c r="E175" s="39"/>
      <c r="F175" s="39"/>
      <c r="G175" s="40">
        <v>18</v>
      </c>
      <c r="H175" s="41" t="s">
        <v>62</v>
      </c>
      <c r="I175" s="68" t="s">
        <v>58</v>
      </c>
      <c r="J175" s="42"/>
      <c r="K175" s="60">
        <v>2800</v>
      </c>
      <c r="L175" s="43">
        <v>5</v>
      </c>
      <c r="M175" s="44">
        <f>IFERROR(VLOOKUP(VLOOKUP(O175,O175,1,1),Categories!$K$4:$V$17,2+VLOOKUP(L175,L175,1,FALSE),FALSE),"-"  )</f>
        <v>12</v>
      </c>
      <c r="N175" s="44" t="str">
        <f>IFERROR(VLOOKUP(VLOOKUP(O175,O175,1,1),Categories!$K$3:$V$17,7+VLOOKUP(L175,L175,1,FALSE),FALSE),"-")</f>
        <v>2.0 Rev</v>
      </c>
      <c r="O175" s="45" t="s">
        <v>88</v>
      </c>
      <c r="P175" s="46" t="s">
        <v>58</v>
      </c>
      <c r="Q175" s="47" t="s">
        <v>58</v>
      </c>
      <c r="R175" s="48"/>
      <c r="S175" s="48"/>
      <c r="T175" s="49"/>
      <c r="U175" s="61"/>
      <c r="V175" s="50">
        <v>2.7</v>
      </c>
      <c r="W175" s="50">
        <v>3.4</v>
      </c>
      <c r="X175" s="53">
        <v>3.99</v>
      </c>
      <c r="Y175" s="52"/>
      <c r="Z175" s="52"/>
      <c r="AA175" s="52"/>
      <c r="AB175" s="52"/>
      <c r="AC175" s="52"/>
      <c r="AD175" s="52"/>
      <c r="AE175" s="52"/>
      <c r="AF175" s="52"/>
      <c r="AG175" s="53"/>
      <c r="AH175" s="54"/>
      <c r="AI175" s="55"/>
      <c r="AJ175" s="56"/>
      <c r="AK175" s="57"/>
      <c r="AL175" s="57"/>
    </row>
    <row r="176" spans="1:38" ht="31.95" customHeight="1" x14ac:dyDescent="0.3">
      <c r="A176" s="66">
        <v>44075</v>
      </c>
      <c r="B176" s="195">
        <v>0.55648148148148147</v>
      </c>
      <c r="C176" s="39"/>
      <c r="D176" s="39">
        <f>IF(I176=Categories!$E$4,VLOOKUP(H176,Categories!$A$4:$C$15,3,FALSE),VLOOKUP(I176,Categories!$E$4:$G$27,3,FALSE))</f>
        <v>45</v>
      </c>
      <c r="E176" s="39"/>
      <c r="F176" s="39"/>
      <c r="G176" s="40">
        <v>18</v>
      </c>
      <c r="H176" s="41" t="s">
        <v>66</v>
      </c>
      <c r="I176" s="59" t="s">
        <v>323</v>
      </c>
      <c r="J176" s="42"/>
      <c r="K176" s="60">
        <v>2800</v>
      </c>
      <c r="L176" s="43">
        <v>1</v>
      </c>
      <c r="M176" s="44">
        <f>IFERROR(VLOOKUP(VLOOKUP(O176,O176,1,1),Categories!$K$4:$V$17,2+VLOOKUP(L176,L176,1,FALSE),FALSE),"-"  )</f>
        <v>2.33</v>
      </c>
      <c r="N176" s="44" t="str">
        <f>IFERROR(VLOOKUP(VLOOKUP(O176,O176,1,1),Categories!$K$3:$V$17,7+VLOOKUP(L176,L176,1,FALSE),FALSE),"-")</f>
        <v>0 rev.</v>
      </c>
      <c r="O176" s="45" t="s">
        <v>88</v>
      </c>
      <c r="P176" s="46" t="s">
        <v>58</v>
      </c>
      <c r="Q176" s="47" t="s">
        <v>58</v>
      </c>
      <c r="R176" s="48"/>
      <c r="S176" s="48"/>
      <c r="T176" s="49"/>
      <c r="U176" s="61"/>
      <c r="V176" s="50"/>
      <c r="W176" s="50"/>
      <c r="X176" s="53"/>
      <c r="Y176" s="52"/>
      <c r="Z176" s="52"/>
      <c r="AA176" s="52"/>
      <c r="AB176" s="52"/>
      <c r="AC176" s="52"/>
      <c r="AD176" s="52"/>
      <c r="AE176" s="52"/>
      <c r="AF176" s="52"/>
      <c r="AG176" s="53"/>
      <c r="AH176" s="54"/>
      <c r="AI176" s="55"/>
      <c r="AJ176" s="56"/>
      <c r="AK176" s="57"/>
      <c r="AL176" s="57"/>
    </row>
    <row r="177" spans="1:38" ht="31.95" customHeight="1" x14ac:dyDescent="0.3">
      <c r="A177" s="66">
        <v>44075</v>
      </c>
      <c r="B177" s="195">
        <v>0.55703703703703711</v>
      </c>
      <c r="C177" s="39"/>
      <c r="D177" s="39">
        <f>IF(I177=Categories!$E$4,VLOOKUP(H177,Categories!$A$4:$C$15,3,FALSE),VLOOKUP(I177,Categories!$E$4:$G$27,3,FALSE))</f>
        <v>60</v>
      </c>
      <c r="E177" s="39"/>
      <c r="F177" s="39"/>
      <c r="G177" s="40">
        <v>18</v>
      </c>
      <c r="H177" s="41" t="s">
        <v>78</v>
      </c>
      <c r="I177" s="68" t="s">
        <v>58</v>
      </c>
      <c r="J177" s="42"/>
      <c r="K177" s="60">
        <v>2800</v>
      </c>
      <c r="L177" s="43">
        <v>1</v>
      </c>
      <c r="M177" s="44">
        <f>IFERROR(VLOOKUP(VLOOKUP(O177,O177,1,1),Categories!$K$4:$V$17,2+VLOOKUP(L177,L177,1,FALSE),FALSE),"-"  )</f>
        <v>2.33</v>
      </c>
      <c r="N177" s="44" t="str">
        <f>IFERROR(VLOOKUP(VLOOKUP(O177,O177,1,1),Categories!$K$3:$V$17,7+VLOOKUP(L177,L177,1,FALSE),FALSE),"-")</f>
        <v>0 rev.</v>
      </c>
      <c r="O177" s="45" t="s">
        <v>88</v>
      </c>
      <c r="P177" s="46" t="s">
        <v>58</v>
      </c>
      <c r="Q177" s="47" t="s">
        <v>58</v>
      </c>
      <c r="R177" s="48"/>
      <c r="S177" s="48"/>
      <c r="T177" s="49"/>
      <c r="U177" s="61"/>
      <c r="V177" s="50">
        <v>4.5</v>
      </c>
      <c r="W177" s="50">
        <v>4.0999999999999996</v>
      </c>
      <c r="X177" s="53">
        <v>6.26</v>
      </c>
      <c r="Y177" s="52"/>
      <c r="Z177" s="52"/>
      <c r="AA177" s="52"/>
      <c r="AB177" s="52"/>
      <c r="AC177" s="52"/>
      <c r="AD177" s="52"/>
      <c r="AE177" s="52"/>
      <c r="AF177" s="52"/>
      <c r="AG177" s="53"/>
      <c r="AH177" s="54"/>
      <c r="AI177" s="55"/>
      <c r="AJ177" s="56"/>
      <c r="AK177" s="57"/>
      <c r="AL177" s="57"/>
    </row>
    <row r="178" spans="1:38" ht="31.95" customHeight="1" x14ac:dyDescent="0.3">
      <c r="A178" s="66">
        <v>44075</v>
      </c>
      <c r="B178" s="195">
        <v>0.55798611111111118</v>
      </c>
      <c r="C178" s="39"/>
      <c r="D178" s="39">
        <f>IF(I178=Categories!$E$4,VLOOKUP(H178,Categories!$A$4:$C$15,3,FALSE),VLOOKUP(I178,Categories!$E$4:$G$27,3,FALSE))</f>
        <v>30</v>
      </c>
      <c r="E178" s="39"/>
      <c r="F178" s="39"/>
      <c r="G178" s="40" t="s">
        <v>58</v>
      </c>
      <c r="H178" s="41" t="s">
        <v>72</v>
      </c>
      <c r="I178" s="59" t="s">
        <v>67</v>
      </c>
      <c r="J178" s="42"/>
      <c r="K178" s="60">
        <v>3100</v>
      </c>
      <c r="L178" s="43">
        <v>1</v>
      </c>
      <c r="M178" s="44">
        <f>IFERROR(VLOOKUP(VLOOKUP(O178,O178,1,1),Categories!$K$4:$V$17,2+VLOOKUP(L178,L178,1,FALSE),FALSE),"-"  )</f>
        <v>2.33</v>
      </c>
      <c r="N178" s="44" t="str">
        <f>IFERROR(VLOOKUP(VLOOKUP(O178,O178,1,1),Categories!$K$3:$V$17,7+VLOOKUP(L178,L178,1,FALSE),FALSE),"-")</f>
        <v>0 rev.</v>
      </c>
      <c r="O178" s="45" t="s">
        <v>88</v>
      </c>
      <c r="P178" s="46" t="s">
        <v>58</v>
      </c>
      <c r="Q178" s="47" t="s">
        <v>58</v>
      </c>
      <c r="R178" s="48"/>
      <c r="S178" s="48"/>
      <c r="T178" s="49"/>
      <c r="U178" s="61"/>
      <c r="V178" s="50"/>
      <c r="W178" s="50"/>
      <c r="X178" s="53"/>
      <c r="Y178" s="52"/>
      <c r="Z178" s="52"/>
      <c r="AA178" s="52"/>
      <c r="AB178" s="52"/>
      <c r="AC178" s="52"/>
      <c r="AD178" s="52"/>
      <c r="AE178" s="52"/>
      <c r="AF178" s="52"/>
      <c r="AG178" s="53"/>
      <c r="AH178" s="54"/>
      <c r="AI178" s="55" t="s">
        <v>63</v>
      </c>
      <c r="AJ178" s="57" t="s">
        <v>359</v>
      </c>
      <c r="AK178" s="57"/>
      <c r="AL178" s="57"/>
    </row>
    <row r="179" spans="1:38" ht="31.95" customHeight="1" x14ac:dyDescent="0.3">
      <c r="A179" s="37">
        <v>44075</v>
      </c>
      <c r="B179" s="194">
        <v>0.55902777777777779</v>
      </c>
      <c r="C179" s="39"/>
      <c r="D179" s="39">
        <f>IF(I179=Categories!$E$4,VLOOKUP(H179,Categories!$A$4:$C$15,3,FALSE),VLOOKUP(I179,Categories!$E$4:$G$27,3,FALSE))</f>
        <v>120</v>
      </c>
      <c r="E179" s="39"/>
      <c r="F179" s="39"/>
      <c r="G179" s="40">
        <v>19</v>
      </c>
      <c r="H179" s="41" t="s">
        <v>62</v>
      </c>
      <c r="I179" s="59" t="s">
        <v>58</v>
      </c>
      <c r="J179" s="42"/>
      <c r="K179" s="60">
        <v>3100</v>
      </c>
      <c r="L179" s="43">
        <v>1</v>
      </c>
      <c r="M179" s="44">
        <f>IFERROR(VLOOKUP(VLOOKUP(O179,O179,1,1),Categories!$K$4:$V$17,2+VLOOKUP(L179,L179,1,FALSE),FALSE),"-"  )</f>
        <v>2.33</v>
      </c>
      <c r="N179" s="44" t="str">
        <f>IFERROR(VLOOKUP(VLOOKUP(O179,O179,1,1),Categories!$K$3:$V$17,7+VLOOKUP(L179,L179,1,FALSE),FALSE),"-")</f>
        <v>0 rev.</v>
      </c>
      <c r="O179" s="45" t="s">
        <v>88</v>
      </c>
      <c r="P179" s="46" t="s">
        <v>58</v>
      </c>
      <c r="Q179" s="47" t="s">
        <v>58</v>
      </c>
      <c r="R179" s="61"/>
      <c r="S179" s="61"/>
      <c r="T179" s="62"/>
      <c r="U179" s="61"/>
      <c r="V179" s="63">
        <v>5.4</v>
      </c>
      <c r="W179" s="63">
        <v>5.6</v>
      </c>
      <c r="X179" s="51">
        <v>7</v>
      </c>
      <c r="Y179" s="64"/>
      <c r="Z179" s="64"/>
      <c r="AA179" s="64"/>
      <c r="AB179" s="64"/>
      <c r="AC179" s="64"/>
      <c r="AD179" s="64"/>
      <c r="AE179" s="64"/>
      <c r="AF179" s="64"/>
      <c r="AG179" s="51"/>
      <c r="AH179" s="65"/>
      <c r="AI179" s="55"/>
      <c r="AJ179" s="57"/>
      <c r="AK179" s="57"/>
      <c r="AL179" s="57"/>
    </row>
    <row r="180" spans="1:38" ht="31.95" customHeight="1" x14ac:dyDescent="0.3">
      <c r="A180" s="37">
        <v>44075</v>
      </c>
      <c r="B180" s="194">
        <v>0.56048611111111113</v>
      </c>
      <c r="C180" s="39"/>
      <c r="D180" s="39">
        <f>IF(I180=Categories!$E$4,VLOOKUP(H180,Categories!$A$4:$C$15,3,FALSE),VLOOKUP(I180,Categories!$E$4:$G$27,3,FALSE))</f>
        <v>60</v>
      </c>
      <c r="E180" s="39"/>
      <c r="F180" s="39"/>
      <c r="G180" s="40">
        <v>19</v>
      </c>
      <c r="H180" s="41" t="s">
        <v>66</v>
      </c>
      <c r="I180" s="59" t="s">
        <v>346</v>
      </c>
      <c r="J180" s="42"/>
      <c r="K180" s="60">
        <v>3100</v>
      </c>
      <c r="L180" s="43">
        <v>2</v>
      </c>
      <c r="M180" s="44">
        <f>IFERROR(VLOOKUP(VLOOKUP(O180,O180,1,1),Categories!$K$4:$V$17,2+VLOOKUP(L180,L180,1,FALSE),FALSE),"-"  )</f>
        <v>9</v>
      </c>
      <c r="N180" s="44" t="str">
        <f>IFERROR(VLOOKUP(VLOOKUP(O180,O180,1,1),Categories!$K$3:$V$17,7+VLOOKUP(L180,L180,1,FALSE),FALSE),"-")</f>
        <v>1.0 rev.</v>
      </c>
      <c r="O180" s="45" t="s">
        <v>88</v>
      </c>
      <c r="P180" s="46" t="s">
        <v>58</v>
      </c>
      <c r="Q180" s="47" t="s">
        <v>58</v>
      </c>
      <c r="R180" s="61"/>
      <c r="S180" s="61"/>
      <c r="T180" s="62"/>
      <c r="U180" s="61"/>
      <c r="V180" s="63"/>
      <c r="W180" s="63"/>
      <c r="X180" s="51"/>
      <c r="Y180" s="64"/>
      <c r="Z180" s="64"/>
      <c r="AA180" s="64"/>
      <c r="AB180" s="64"/>
      <c r="AC180" s="64"/>
      <c r="AD180" s="64"/>
      <c r="AE180" s="64"/>
      <c r="AF180" s="64"/>
      <c r="AG180" s="51"/>
      <c r="AH180" s="65"/>
      <c r="AI180" s="55"/>
      <c r="AJ180" s="57"/>
      <c r="AK180" s="57"/>
      <c r="AL180" s="57"/>
    </row>
    <row r="181" spans="1:38" ht="31.95" customHeight="1" x14ac:dyDescent="0.3">
      <c r="A181" s="66">
        <v>44075</v>
      </c>
      <c r="B181" s="195">
        <v>0.56118055555555557</v>
      </c>
      <c r="C181" s="39"/>
      <c r="D181" s="39">
        <f>IF(I181=Categories!$E$4,VLOOKUP(H181,Categories!$A$4:$C$15,3,FALSE),VLOOKUP(I181,Categories!$E$4:$G$27,3,FALSE))</f>
        <v>120</v>
      </c>
      <c r="E181" s="39"/>
      <c r="F181" s="39"/>
      <c r="G181" s="40">
        <v>19</v>
      </c>
      <c r="H181" s="41" t="s">
        <v>62</v>
      </c>
      <c r="I181" s="68" t="s">
        <v>58</v>
      </c>
      <c r="J181" s="42"/>
      <c r="K181" s="60">
        <v>3100</v>
      </c>
      <c r="L181" s="43">
        <v>2</v>
      </c>
      <c r="M181" s="44">
        <f>IFERROR(VLOOKUP(VLOOKUP(O181,O181,1,1),Categories!$K$4:$V$17,2+VLOOKUP(L181,L181,1,FALSE),FALSE),"-"  )</f>
        <v>9</v>
      </c>
      <c r="N181" s="44" t="str">
        <f>IFERROR(VLOOKUP(VLOOKUP(O181,O181,1,1),Categories!$K$3:$V$17,7+VLOOKUP(L181,L181,1,FALSE),FALSE),"-")</f>
        <v>1.0 rev.</v>
      </c>
      <c r="O181" s="45" t="s">
        <v>88</v>
      </c>
      <c r="P181" s="46" t="s">
        <v>58</v>
      </c>
      <c r="Q181" s="47" t="s">
        <v>58</v>
      </c>
      <c r="R181" s="48"/>
      <c r="S181" s="48"/>
      <c r="T181" s="49"/>
      <c r="U181" s="61"/>
      <c r="V181" s="50">
        <v>5.5</v>
      </c>
      <c r="W181" s="50">
        <v>5.7</v>
      </c>
      <c r="X181" s="53">
        <v>6.85</v>
      </c>
      <c r="Y181" s="52"/>
      <c r="Z181" s="52"/>
      <c r="AA181" s="52"/>
      <c r="AB181" s="52"/>
      <c r="AC181" s="52"/>
      <c r="AD181" s="52"/>
      <c r="AE181" s="52"/>
      <c r="AF181" s="52"/>
      <c r="AG181" s="53"/>
      <c r="AH181" s="54"/>
      <c r="AI181" s="55"/>
      <c r="AJ181" s="56"/>
      <c r="AK181" s="57"/>
      <c r="AL181" s="57"/>
    </row>
    <row r="182" spans="1:38" ht="31.95" customHeight="1" x14ac:dyDescent="0.3">
      <c r="A182" s="66">
        <v>44075</v>
      </c>
      <c r="B182" s="195">
        <v>0.56282407407407409</v>
      </c>
      <c r="C182" s="39"/>
      <c r="D182" s="39">
        <f>IF(I182=Categories!$E$4,VLOOKUP(H182,Categories!$A$4:$C$15,3,FALSE),VLOOKUP(I182,Categories!$E$4:$G$27,3,FALSE))</f>
        <v>60</v>
      </c>
      <c r="E182" s="39"/>
      <c r="F182" s="39"/>
      <c r="G182" s="40">
        <v>19</v>
      </c>
      <c r="H182" s="41" t="s">
        <v>66</v>
      </c>
      <c r="I182" s="59" t="s">
        <v>346</v>
      </c>
      <c r="J182" s="42"/>
      <c r="K182" s="60">
        <v>3100</v>
      </c>
      <c r="L182" s="43">
        <v>3</v>
      </c>
      <c r="M182" s="44">
        <f>IFERROR(VLOOKUP(VLOOKUP(O182,O182,1,1),Categories!$K$4:$V$17,2+VLOOKUP(L182,L182,1,FALSE),FALSE),"-"  )</f>
        <v>10</v>
      </c>
      <c r="N182" s="44" t="str">
        <f>IFERROR(VLOOKUP(VLOOKUP(O182,O182,1,1),Categories!$K$3:$V$17,7+VLOOKUP(L182,L182,1,FALSE),FALSE),"-")</f>
        <v>1.25 rev.</v>
      </c>
      <c r="O182" s="45" t="s">
        <v>88</v>
      </c>
      <c r="P182" s="46" t="s">
        <v>58</v>
      </c>
      <c r="Q182" s="47" t="s">
        <v>58</v>
      </c>
      <c r="R182" s="48"/>
      <c r="S182" s="48"/>
      <c r="T182" s="49"/>
      <c r="U182" s="61"/>
      <c r="V182" s="50"/>
      <c r="W182" s="50"/>
      <c r="X182" s="53"/>
      <c r="Y182" s="52"/>
      <c r="Z182" s="52"/>
      <c r="AA182" s="52"/>
      <c r="AB182" s="52"/>
      <c r="AC182" s="52"/>
      <c r="AD182" s="52"/>
      <c r="AE182" s="52"/>
      <c r="AF182" s="52"/>
      <c r="AG182" s="53"/>
      <c r="AH182" s="54"/>
      <c r="AI182" s="55"/>
      <c r="AJ182" s="56"/>
      <c r="AK182" s="57"/>
      <c r="AL182" s="57"/>
    </row>
    <row r="183" spans="1:38" ht="31.95" customHeight="1" x14ac:dyDescent="0.3">
      <c r="A183" s="66">
        <v>44075</v>
      </c>
      <c r="B183" s="195">
        <v>0.56364583333333329</v>
      </c>
      <c r="C183" s="39"/>
      <c r="D183" s="39">
        <f>IF(I183=Categories!$E$4,VLOOKUP(H183,Categories!$A$4:$C$15,3,FALSE),VLOOKUP(I183,Categories!$E$4:$G$27,3,FALSE))</f>
        <v>120</v>
      </c>
      <c r="E183" s="39"/>
      <c r="F183" s="39"/>
      <c r="G183" s="40">
        <v>19</v>
      </c>
      <c r="H183" s="41" t="s">
        <v>62</v>
      </c>
      <c r="I183" s="68" t="s">
        <v>58</v>
      </c>
      <c r="J183" s="42"/>
      <c r="K183" s="60">
        <v>3100</v>
      </c>
      <c r="L183" s="43">
        <v>3</v>
      </c>
      <c r="M183" s="44">
        <f>IFERROR(VLOOKUP(VLOOKUP(O183,O183,1,1),Categories!$K$4:$V$17,2+VLOOKUP(L183,L183,1,FALSE),FALSE),"-"  )</f>
        <v>10</v>
      </c>
      <c r="N183" s="44" t="str">
        <f>IFERROR(VLOOKUP(VLOOKUP(O183,O183,1,1),Categories!$K$3:$V$17,7+VLOOKUP(L183,L183,1,FALSE),FALSE),"-")</f>
        <v>1.25 rev.</v>
      </c>
      <c r="O183" s="45" t="s">
        <v>88</v>
      </c>
      <c r="P183" s="46" t="s">
        <v>58</v>
      </c>
      <c r="Q183" s="47" t="s">
        <v>58</v>
      </c>
      <c r="R183" s="48"/>
      <c r="S183" s="48"/>
      <c r="T183" s="49"/>
      <c r="U183" s="61"/>
      <c r="V183" s="50">
        <v>5.2</v>
      </c>
      <c r="W183" s="50">
        <v>5.5</v>
      </c>
      <c r="X183" s="53">
        <v>6.44</v>
      </c>
      <c r="Y183" s="52"/>
      <c r="Z183" s="52"/>
      <c r="AA183" s="52"/>
      <c r="AB183" s="52"/>
      <c r="AC183" s="52"/>
      <c r="AD183" s="52"/>
      <c r="AE183" s="52"/>
      <c r="AF183" s="52"/>
      <c r="AG183" s="53"/>
      <c r="AH183" s="54"/>
      <c r="AI183" s="55"/>
      <c r="AJ183" s="56"/>
      <c r="AK183" s="57"/>
      <c r="AL183" s="57"/>
    </row>
    <row r="184" spans="1:38" ht="31.95" customHeight="1" x14ac:dyDescent="0.3">
      <c r="A184" s="66">
        <v>44075</v>
      </c>
      <c r="B184" s="195">
        <v>0.56524305555555554</v>
      </c>
      <c r="C184" s="39"/>
      <c r="D184" s="39">
        <f>IF(I184=Categories!$E$4,VLOOKUP(H184,Categories!$A$4:$C$15,3,FALSE),VLOOKUP(I184,Categories!$E$4:$G$27,3,FALSE))</f>
        <v>60</v>
      </c>
      <c r="E184" s="39"/>
      <c r="F184" s="39"/>
      <c r="G184" s="40">
        <v>19</v>
      </c>
      <c r="H184" s="41" t="s">
        <v>66</v>
      </c>
      <c r="I184" s="59" t="s">
        <v>346</v>
      </c>
      <c r="J184" s="42"/>
      <c r="K184" s="60">
        <v>3100</v>
      </c>
      <c r="L184" s="43">
        <v>4</v>
      </c>
      <c r="M184" s="44">
        <f>IFERROR(VLOOKUP(VLOOKUP(O184,O184,1,1),Categories!$K$4:$V$17,2+VLOOKUP(L184,L184,1,FALSE),FALSE),"-"  )</f>
        <v>11</v>
      </c>
      <c r="N184" s="44" t="str">
        <f>IFERROR(VLOOKUP(VLOOKUP(O184,O184,1,1),Categories!$K$3:$V$17,7+VLOOKUP(L184,L184,1,FALSE),FALSE),"-")</f>
        <v>1.5 rev.</v>
      </c>
      <c r="O184" s="45" t="s">
        <v>88</v>
      </c>
      <c r="P184" s="46" t="s">
        <v>58</v>
      </c>
      <c r="Q184" s="47" t="s">
        <v>58</v>
      </c>
      <c r="R184" s="48"/>
      <c r="S184" s="48"/>
      <c r="T184" s="49"/>
      <c r="U184" s="61"/>
      <c r="V184" s="50"/>
      <c r="W184" s="50"/>
      <c r="X184" s="53"/>
      <c r="Y184" s="52"/>
      <c r="Z184" s="52"/>
      <c r="AA184" s="52"/>
      <c r="AB184" s="52"/>
      <c r="AC184" s="52"/>
      <c r="AD184" s="52"/>
      <c r="AE184" s="52"/>
      <c r="AF184" s="52"/>
      <c r="AG184" s="53"/>
      <c r="AH184" s="54"/>
      <c r="AI184" s="55"/>
      <c r="AJ184" s="56"/>
      <c r="AK184" s="57"/>
      <c r="AL184" s="57"/>
    </row>
    <row r="185" spans="1:38" ht="31.95" customHeight="1" x14ac:dyDescent="0.3">
      <c r="A185" s="66">
        <v>44075</v>
      </c>
      <c r="B185" s="195">
        <v>0.56593749999999998</v>
      </c>
      <c r="C185" s="39"/>
      <c r="D185" s="39">
        <f>IF(I185=Categories!$E$4,VLOOKUP(H185,Categories!$A$4:$C$15,3,FALSE),VLOOKUP(I185,Categories!$E$4:$G$27,3,FALSE))</f>
        <v>120</v>
      </c>
      <c r="E185" s="39"/>
      <c r="F185" s="39"/>
      <c r="G185" s="40">
        <v>19</v>
      </c>
      <c r="H185" s="41" t="s">
        <v>62</v>
      </c>
      <c r="I185" s="68" t="s">
        <v>58</v>
      </c>
      <c r="J185" s="42"/>
      <c r="K185" s="60">
        <v>3100</v>
      </c>
      <c r="L185" s="43">
        <v>4</v>
      </c>
      <c r="M185" s="44">
        <f>IFERROR(VLOOKUP(VLOOKUP(O185,O185,1,1),Categories!$K$4:$V$17,2+VLOOKUP(L185,L185,1,FALSE),FALSE),"-"  )</f>
        <v>11</v>
      </c>
      <c r="N185" s="44" t="str">
        <f>IFERROR(VLOOKUP(VLOOKUP(O185,O185,1,1),Categories!$K$3:$V$17,7+VLOOKUP(L185,L185,1,FALSE),FALSE),"-")</f>
        <v>1.5 rev.</v>
      </c>
      <c r="O185" s="45" t="s">
        <v>88</v>
      </c>
      <c r="P185" s="46" t="s">
        <v>58</v>
      </c>
      <c r="Q185" s="47" t="s">
        <v>58</v>
      </c>
      <c r="R185" s="48"/>
      <c r="S185" s="48"/>
      <c r="T185" s="49"/>
      <c r="U185" s="61"/>
      <c r="V185" s="50">
        <v>4.3</v>
      </c>
      <c r="W185" s="50">
        <v>5.0999999999999996</v>
      </c>
      <c r="X185" s="53">
        <v>5.77</v>
      </c>
      <c r="Y185" s="52"/>
      <c r="Z185" s="52"/>
      <c r="AA185" s="52"/>
      <c r="AB185" s="52"/>
      <c r="AC185" s="52"/>
      <c r="AD185" s="52"/>
      <c r="AE185" s="52"/>
      <c r="AF185" s="52"/>
      <c r="AG185" s="53"/>
      <c r="AH185" s="54"/>
      <c r="AI185" s="55"/>
      <c r="AJ185" s="56"/>
      <c r="AK185" s="57"/>
      <c r="AL185" s="57"/>
    </row>
    <row r="186" spans="1:38" ht="31.95" customHeight="1" x14ac:dyDescent="0.3">
      <c r="A186" s="66">
        <v>44075</v>
      </c>
      <c r="B186" s="195">
        <v>0.56743055555555555</v>
      </c>
      <c r="C186" s="39"/>
      <c r="D186" s="39">
        <f>IF(I186=Categories!$E$4,VLOOKUP(H186,Categories!$A$4:$C$15,3,FALSE),VLOOKUP(I186,Categories!$E$4:$G$27,3,FALSE))</f>
        <v>60</v>
      </c>
      <c r="E186" s="39"/>
      <c r="F186" s="39"/>
      <c r="G186" s="40">
        <v>19</v>
      </c>
      <c r="H186" s="41" t="s">
        <v>66</v>
      </c>
      <c r="I186" s="59" t="s">
        <v>346</v>
      </c>
      <c r="J186" s="42"/>
      <c r="K186" s="60">
        <v>3100</v>
      </c>
      <c r="L186" s="43">
        <v>5</v>
      </c>
      <c r="M186" s="44">
        <f>IFERROR(VLOOKUP(VLOOKUP(O186,O186,1,1),Categories!$K$4:$V$17,2+VLOOKUP(L186,L186,1,FALSE),FALSE),"-"  )</f>
        <v>12</v>
      </c>
      <c r="N186" s="44" t="str">
        <f>IFERROR(VLOOKUP(VLOOKUP(O186,O186,1,1),Categories!$K$3:$V$17,7+VLOOKUP(L186,L186,1,FALSE),FALSE),"-")</f>
        <v>2.0 Rev</v>
      </c>
      <c r="O186" s="45" t="s">
        <v>88</v>
      </c>
      <c r="P186" s="46" t="s">
        <v>58</v>
      </c>
      <c r="Q186" s="47" t="s">
        <v>58</v>
      </c>
      <c r="R186" s="48"/>
      <c r="S186" s="48"/>
      <c r="T186" s="49"/>
      <c r="U186" s="61"/>
      <c r="V186" s="50"/>
      <c r="W186" s="50"/>
      <c r="X186" s="53"/>
      <c r="Y186" s="52"/>
      <c r="Z186" s="52"/>
      <c r="AA186" s="52"/>
      <c r="AB186" s="52"/>
      <c r="AC186" s="52"/>
      <c r="AD186" s="52"/>
      <c r="AE186" s="52"/>
      <c r="AF186" s="52"/>
      <c r="AG186" s="53"/>
      <c r="AH186" s="54"/>
      <c r="AI186" s="55"/>
      <c r="AJ186" s="56"/>
      <c r="AK186" s="57"/>
      <c r="AL186" s="57"/>
    </row>
    <row r="187" spans="1:38" ht="31.95" customHeight="1" x14ac:dyDescent="0.3">
      <c r="A187" s="66">
        <v>44075</v>
      </c>
      <c r="B187" s="195">
        <v>0.56815972222222222</v>
      </c>
      <c r="C187" s="39"/>
      <c r="D187" s="39">
        <f>IF(I187=Categories!$E$4,VLOOKUP(H187,Categories!$A$4:$C$15,3,FALSE),VLOOKUP(I187,Categories!$E$4:$G$27,3,FALSE))</f>
        <v>120</v>
      </c>
      <c r="E187" s="39"/>
      <c r="F187" s="39"/>
      <c r="G187" s="40">
        <v>19</v>
      </c>
      <c r="H187" s="41" t="s">
        <v>62</v>
      </c>
      <c r="I187" s="68" t="s">
        <v>58</v>
      </c>
      <c r="J187" s="42"/>
      <c r="K187" s="60">
        <v>3100</v>
      </c>
      <c r="L187" s="43">
        <v>5</v>
      </c>
      <c r="M187" s="44">
        <f>IFERROR(VLOOKUP(VLOOKUP(O187,O187,1,1),Categories!$K$4:$V$17,2+VLOOKUP(L187,L187,1,FALSE),FALSE),"-"  )</f>
        <v>12</v>
      </c>
      <c r="N187" s="44" t="str">
        <f>IFERROR(VLOOKUP(VLOOKUP(O187,O187,1,1),Categories!$K$3:$V$17,7+VLOOKUP(L187,L187,1,FALSE),FALSE),"-")</f>
        <v>2.0 Rev</v>
      </c>
      <c r="O187" s="45" t="s">
        <v>88</v>
      </c>
      <c r="P187" s="46" t="s">
        <v>58</v>
      </c>
      <c r="Q187" s="47" t="s">
        <v>58</v>
      </c>
      <c r="R187" s="48"/>
      <c r="S187" s="48"/>
      <c r="T187" s="49"/>
      <c r="U187" s="61"/>
      <c r="V187" s="50">
        <v>3.2</v>
      </c>
      <c r="W187" s="50">
        <v>4.5</v>
      </c>
      <c r="X187" s="53">
        <v>4.5</v>
      </c>
      <c r="Y187" s="52"/>
      <c r="Z187" s="52"/>
      <c r="AA187" s="52"/>
      <c r="AB187" s="52"/>
      <c r="AC187" s="52"/>
      <c r="AD187" s="52"/>
      <c r="AE187" s="52"/>
      <c r="AF187" s="52"/>
      <c r="AG187" s="53"/>
      <c r="AH187" s="54"/>
      <c r="AI187" s="55"/>
      <c r="AJ187" s="56"/>
      <c r="AK187" s="57"/>
      <c r="AL187" s="57"/>
    </row>
    <row r="188" spans="1:38" ht="31.95" customHeight="1" x14ac:dyDescent="0.3">
      <c r="A188" s="66">
        <v>44075</v>
      </c>
      <c r="B188" s="195">
        <v>0.56959490740740748</v>
      </c>
      <c r="C188" s="39"/>
      <c r="D188" s="39">
        <f>IF(I188=Categories!$E$4,VLOOKUP(H188,Categories!$A$4:$C$15,3,FALSE),VLOOKUP(I188,Categories!$E$4:$G$27,3,FALSE))</f>
        <v>45</v>
      </c>
      <c r="E188" s="39"/>
      <c r="F188" s="39"/>
      <c r="G188" s="40">
        <v>19</v>
      </c>
      <c r="H188" s="41" t="s">
        <v>66</v>
      </c>
      <c r="I188" s="59" t="s">
        <v>323</v>
      </c>
      <c r="J188" s="42"/>
      <c r="K188" s="60">
        <v>3100</v>
      </c>
      <c r="L188" s="43">
        <v>1</v>
      </c>
      <c r="M188" s="44">
        <f>IFERROR(VLOOKUP(VLOOKUP(O188,O188,1,1),Categories!$K$4:$V$17,2+VLOOKUP(L188,L188,1,FALSE),FALSE),"-"  )</f>
        <v>2.33</v>
      </c>
      <c r="N188" s="44" t="str">
        <f>IFERROR(VLOOKUP(VLOOKUP(O188,O188,1,1),Categories!$K$3:$V$17,7+VLOOKUP(L188,L188,1,FALSE),FALSE),"-")</f>
        <v>0 rev.</v>
      </c>
      <c r="O188" s="45" t="s">
        <v>88</v>
      </c>
      <c r="P188" s="46" t="s">
        <v>58</v>
      </c>
      <c r="Q188" s="47" t="s">
        <v>58</v>
      </c>
      <c r="R188" s="48"/>
      <c r="S188" s="48"/>
      <c r="T188" s="49"/>
      <c r="U188" s="61"/>
      <c r="V188" s="50"/>
      <c r="W188" s="50"/>
      <c r="X188" s="53"/>
      <c r="Y188" s="52"/>
      <c r="Z188" s="52"/>
      <c r="AA188" s="52"/>
      <c r="AB188" s="52"/>
      <c r="AC188" s="52"/>
      <c r="AD188" s="52"/>
      <c r="AE188" s="52"/>
      <c r="AF188" s="52"/>
      <c r="AG188" s="53"/>
      <c r="AH188" s="54"/>
      <c r="AI188" s="55"/>
      <c r="AJ188" s="56"/>
      <c r="AK188" s="57"/>
      <c r="AL188" s="57"/>
    </row>
    <row r="189" spans="1:38" ht="31.95" customHeight="1" x14ac:dyDescent="0.3">
      <c r="A189" s="66">
        <v>44075</v>
      </c>
      <c r="B189" s="195">
        <v>0.57042824074074072</v>
      </c>
      <c r="C189" s="39"/>
      <c r="D189" s="39">
        <f>IF(I189=Categories!$E$4,VLOOKUP(H189,Categories!$A$4:$C$15,3,FALSE),VLOOKUP(I189,Categories!$E$4:$G$27,3,FALSE))</f>
        <v>60</v>
      </c>
      <c r="E189" s="39"/>
      <c r="F189" s="39"/>
      <c r="G189" s="40">
        <v>19</v>
      </c>
      <c r="H189" s="41" t="s">
        <v>78</v>
      </c>
      <c r="I189" s="68" t="s">
        <v>58</v>
      </c>
      <c r="J189" s="42"/>
      <c r="K189" s="60">
        <v>3100</v>
      </c>
      <c r="L189" s="43">
        <v>1</v>
      </c>
      <c r="M189" s="44">
        <f>IFERROR(VLOOKUP(VLOOKUP(O189,O189,1,1),Categories!$K$4:$V$17,2+VLOOKUP(L189,L189,1,FALSE),FALSE),"-"  )</f>
        <v>2.33</v>
      </c>
      <c r="N189" s="44" t="str">
        <f>IFERROR(VLOOKUP(VLOOKUP(O189,O189,1,1),Categories!$K$3:$V$17,7+VLOOKUP(L189,L189,1,FALSE),FALSE),"-")</f>
        <v>0 rev.</v>
      </c>
      <c r="O189" s="45" t="s">
        <v>88</v>
      </c>
      <c r="P189" s="46" t="s">
        <v>58</v>
      </c>
      <c r="Q189" s="47" t="s">
        <v>58</v>
      </c>
      <c r="R189" s="48"/>
      <c r="S189" s="48"/>
      <c r="T189" s="49"/>
      <c r="U189" s="61"/>
      <c r="V189" s="50">
        <v>5.4</v>
      </c>
      <c r="W189" s="50">
        <v>5.6</v>
      </c>
      <c r="X189" s="53">
        <v>7</v>
      </c>
      <c r="Y189" s="52"/>
      <c r="Z189" s="52"/>
      <c r="AA189" s="52"/>
      <c r="AB189" s="52"/>
      <c r="AC189" s="52"/>
      <c r="AD189" s="52"/>
      <c r="AE189" s="52"/>
      <c r="AF189" s="52"/>
      <c r="AG189" s="53"/>
      <c r="AH189" s="54"/>
      <c r="AI189" s="55"/>
      <c r="AJ189" s="56"/>
      <c r="AK189" s="57"/>
      <c r="AL189" s="57"/>
    </row>
    <row r="190" spans="1:38" ht="31.95" customHeight="1" x14ac:dyDescent="0.3">
      <c r="A190" s="37">
        <v>44075</v>
      </c>
      <c r="B190" s="194">
        <v>0.57121527777777781</v>
      </c>
      <c r="C190" s="39"/>
      <c r="D190" s="39" t="str">
        <f>IF(I190=Categories!$E$4,VLOOKUP(H190,Categories!$A$4:$C$15,3,FALSE),VLOOKUP(I190,Categories!$E$4:$G$27,3,FALSE))</f>
        <v>-</v>
      </c>
      <c r="E190" s="39"/>
      <c r="F190" s="39"/>
      <c r="G190" s="40" t="s">
        <v>58</v>
      </c>
      <c r="H190" s="41" t="s">
        <v>72</v>
      </c>
      <c r="I190" s="59" t="s">
        <v>80</v>
      </c>
      <c r="J190" s="42"/>
      <c r="K190" s="60">
        <v>3100</v>
      </c>
      <c r="L190" s="43" t="s">
        <v>58</v>
      </c>
      <c r="M190" s="44" t="str">
        <f>IFERROR(VLOOKUP(VLOOKUP(O190,O190,1,1),Categories!$K$4:$V$17,2+VLOOKUP(L190,L190,1,FALSE),FALSE),"-"  )</f>
        <v>-</v>
      </c>
      <c r="N190" s="44" t="str">
        <f>IFERROR(VLOOKUP(VLOOKUP(O190,O190,1,1),Categories!$K$3:$V$17,7+VLOOKUP(L190,L190,1,FALSE),FALSE),"-")</f>
        <v>-</v>
      </c>
      <c r="O190" s="45" t="s">
        <v>58</v>
      </c>
      <c r="P190" s="46" t="s">
        <v>58</v>
      </c>
      <c r="Q190" s="47" t="s">
        <v>58</v>
      </c>
      <c r="R190" s="61"/>
      <c r="S190" s="61"/>
      <c r="T190" s="62"/>
      <c r="U190" s="61"/>
      <c r="V190" s="63"/>
      <c r="W190" s="63"/>
      <c r="X190" s="51"/>
      <c r="Y190" s="64"/>
      <c r="Z190" s="64"/>
      <c r="AA190" s="64"/>
      <c r="AB190" s="64"/>
      <c r="AC190" s="64"/>
      <c r="AD190" s="64"/>
      <c r="AE190" s="64"/>
      <c r="AF190" s="64"/>
      <c r="AG190" s="51"/>
      <c r="AH190" s="65"/>
      <c r="AI190" s="55"/>
      <c r="AJ190" s="57"/>
      <c r="AK190" s="57"/>
      <c r="AL190" s="57"/>
    </row>
    <row r="191" spans="1:38" ht="31.95" customHeight="1" x14ac:dyDescent="0.3">
      <c r="A191" s="37">
        <v>44075</v>
      </c>
      <c r="B191" s="194">
        <v>0.57337962962962963</v>
      </c>
      <c r="C191" s="39"/>
      <c r="D191" s="39" t="str">
        <f>IF(I191=Categories!$E$4,VLOOKUP(H191,Categories!$A$4:$C$15,3,FALSE),VLOOKUP(I191,Categories!$E$4:$G$27,3,FALSE))</f>
        <v>-</v>
      </c>
      <c r="E191" s="39"/>
      <c r="F191" s="39"/>
      <c r="G191" s="40" t="s">
        <v>58</v>
      </c>
      <c r="H191" s="41" t="s">
        <v>72</v>
      </c>
      <c r="I191" s="59" t="s">
        <v>73</v>
      </c>
      <c r="J191" s="42"/>
      <c r="K191" s="196">
        <v>2200</v>
      </c>
      <c r="L191" s="43">
        <v>1</v>
      </c>
      <c r="M191" s="44">
        <f>IFERROR(VLOOKUP(VLOOKUP(O191,O191,1,1),Categories!$K$4:$V$17,2+VLOOKUP(L191,L191,1,FALSE),FALSE),"-"  )</f>
        <v>1.73</v>
      </c>
      <c r="N191" s="44" t="str">
        <f>IFERROR(VLOOKUP(VLOOKUP(O191,O191,1,1),Categories!$K$3:$V$17,7+VLOOKUP(L191,L191,1,FALSE),FALSE),"-")</f>
        <v>0 ATM</v>
      </c>
      <c r="O191" s="45" t="s">
        <v>81</v>
      </c>
      <c r="P191" s="46" t="s">
        <v>58</v>
      </c>
      <c r="Q191" s="47" t="s">
        <v>58</v>
      </c>
      <c r="R191" s="61"/>
      <c r="S191" s="61"/>
      <c r="T191" s="62"/>
      <c r="U191" s="61"/>
      <c r="V191" s="63"/>
      <c r="W191" s="63"/>
      <c r="X191" s="51"/>
      <c r="Y191" s="64"/>
      <c r="Z191" s="64"/>
      <c r="AA191" s="64"/>
      <c r="AB191" s="64"/>
      <c r="AC191" s="64"/>
      <c r="AD191" s="64"/>
      <c r="AE191" s="64"/>
      <c r="AF191" s="64"/>
      <c r="AG191" s="51"/>
      <c r="AH191" s="65"/>
      <c r="AI191" s="55"/>
      <c r="AJ191" s="57"/>
      <c r="AK191" s="57"/>
      <c r="AL191" s="57"/>
    </row>
    <row r="192" spans="1:38" ht="31.95" customHeight="1" x14ac:dyDescent="0.3">
      <c r="A192" s="66">
        <v>44075</v>
      </c>
      <c r="B192" s="195">
        <v>0.5750925925925926</v>
      </c>
      <c r="C192" s="39"/>
      <c r="D192" s="39">
        <f>IF(I192=Categories!$E$4,VLOOKUP(H192,Categories!$A$4:$C$15,3,FALSE),VLOOKUP(I192,Categories!$E$4:$G$27,3,FALSE))</f>
        <v>30</v>
      </c>
      <c r="E192" s="39"/>
      <c r="F192" s="39"/>
      <c r="G192" s="40" t="s">
        <v>58</v>
      </c>
      <c r="H192" s="41" t="s">
        <v>66</v>
      </c>
      <c r="I192" s="59" t="s">
        <v>67</v>
      </c>
      <c r="J192" s="42"/>
      <c r="K192" s="60">
        <v>2800</v>
      </c>
      <c r="L192" s="43">
        <v>1</v>
      </c>
      <c r="M192" s="44">
        <f>IFERROR(VLOOKUP(VLOOKUP(O192,O192,1,1),Categories!$K$4:$V$17,2+VLOOKUP(L192,L192,1,FALSE),FALSE),"-"  )</f>
        <v>1.73</v>
      </c>
      <c r="N192" s="44" t="str">
        <f>IFERROR(VLOOKUP(VLOOKUP(O192,O192,1,1),Categories!$K$3:$V$17,7+VLOOKUP(L192,L192,1,FALSE),FALSE),"-")</f>
        <v>0 ATM</v>
      </c>
      <c r="O192" s="45" t="s">
        <v>81</v>
      </c>
      <c r="P192" s="46" t="s">
        <v>58</v>
      </c>
      <c r="Q192" s="47" t="s">
        <v>58</v>
      </c>
      <c r="R192" s="48"/>
      <c r="S192" s="48"/>
      <c r="T192" s="49"/>
      <c r="U192" s="61"/>
      <c r="V192" s="50"/>
      <c r="W192" s="50"/>
      <c r="X192" s="53"/>
      <c r="Y192" s="52"/>
      <c r="Z192" s="52"/>
      <c r="AA192" s="52"/>
      <c r="AB192" s="52"/>
      <c r="AC192" s="52"/>
      <c r="AD192" s="52"/>
      <c r="AE192" s="52"/>
      <c r="AF192" s="52"/>
      <c r="AG192" s="53"/>
      <c r="AH192" s="54"/>
      <c r="AI192" s="55"/>
      <c r="AJ192" s="57"/>
      <c r="AK192" s="57"/>
      <c r="AL192" s="57"/>
    </row>
    <row r="193" spans="1:38" ht="31.95" customHeight="1" x14ac:dyDescent="0.3">
      <c r="A193" s="37">
        <v>44075</v>
      </c>
      <c r="B193" s="194">
        <v>0.57626157407407408</v>
      </c>
      <c r="C193" s="39"/>
      <c r="D193" s="39">
        <f>IF(I193=Categories!$E$4,VLOOKUP(H193,Categories!$A$4:$C$15,3,FALSE),VLOOKUP(I193,Categories!$E$4:$G$27,3,FALSE))</f>
        <v>120</v>
      </c>
      <c r="E193" s="39"/>
      <c r="F193" s="39"/>
      <c r="G193" s="40">
        <v>20</v>
      </c>
      <c r="H193" s="41" t="s">
        <v>62</v>
      </c>
      <c r="I193" s="59" t="s">
        <v>58</v>
      </c>
      <c r="J193" s="42"/>
      <c r="K193" s="60">
        <v>2800</v>
      </c>
      <c r="L193" s="43">
        <v>1</v>
      </c>
      <c r="M193" s="44">
        <f>IFERROR(VLOOKUP(VLOOKUP(O193,O193,1,1),Categories!$K$4:$V$17,2+VLOOKUP(L193,L193,1,FALSE),FALSE),"-"  )</f>
        <v>1.73</v>
      </c>
      <c r="N193" s="44" t="str">
        <f>IFERROR(VLOOKUP(VLOOKUP(O193,O193,1,1),Categories!$K$3:$V$17,7+VLOOKUP(L193,L193,1,FALSE),FALSE),"-")</f>
        <v>0 ATM</v>
      </c>
      <c r="O193" s="45" t="s">
        <v>81</v>
      </c>
      <c r="P193" s="46" t="s">
        <v>58</v>
      </c>
      <c r="Q193" s="47" t="s">
        <v>58</v>
      </c>
      <c r="R193" s="61"/>
      <c r="S193" s="61"/>
      <c r="T193" s="62"/>
      <c r="U193" s="61"/>
      <c r="V193" s="63">
        <v>4.5</v>
      </c>
      <c r="W193" s="63">
        <v>4.0999999999999996</v>
      </c>
      <c r="X193" s="51">
        <v>6.28</v>
      </c>
      <c r="Y193" s="64"/>
      <c r="Z193" s="64"/>
      <c r="AA193" s="64"/>
      <c r="AB193" s="64"/>
      <c r="AC193" s="64"/>
      <c r="AD193" s="64"/>
      <c r="AE193" s="64"/>
      <c r="AF193" s="64"/>
      <c r="AG193" s="51"/>
      <c r="AH193" s="65"/>
      <c r="AI193" s="55" t="s">
        <v>79</v>
      </c>
      <c r="AJ193" s="57"/>
      <c r="AK193" s="57"/>
      <c r="AL193" s="57"/>
    </row>
    <row r="194" spans="1:38" ht="31.95" customHeight="1" x14ac:dyDescent="0.3">
      <c r="A194" s="37">
        <v>44075</v>
      </c>
      <c r="B194" s="194">
        <v>0.57789351851851845</v>
      </c>
      <c r="C194" s="39"/>
      <c r="D194" s="39">
        <f>IF(I194=Categories!$E$4,VLOOKUP(H194,Categories!$A$4:$C$15,3,FALSE),VLOOKUP(I194,Categories!$E$4:$G$27,3,FALSE))</f>
        <v>30</v>
      </c>
      <c r="E194" s="39"/>
      <c r="F194" s="39"/>
      <c r="G194" s="40">
        <v>20</v>
      </c>
      <c r="H194" s="41" t="s">
        <v>66</v>
      </c>
      <c r="I194" s="59" t="s">
        <v>345</v>
      </c>
      <c r="J194" s="42"/>
      <c r="K194" s="60">
        <v>2800</v>
      </c>
      <c r="L194" s="43">
        <v>2</v>
      </c>
      <c r="M194" s="44">
        <f>IFERROR(VLOOKUP(VLOOKUP(O194,O194,1,1),Categories!$K$4:$V$17,2+VLOOKUP(L194,L194,1,FALSE),FALSE),"-"  )</f>
        <v>6</v>
      </c>
      <c r="N194" s="44" t="str">
        <f>IFERROR(VLOOKUP(VLOOKUP(O194,O194,1,1),Categories!$K$3:$V$17,7+VLOOKUP(L194,L194,1,FALSE),FALSE),"-")</f>
        <v>6 ATM</v>
      </c>
      <c r="O194" s="45" t="s">
        <v>81</v>
      </c>
      <c r="P194" s="46" t="s">
        <v>58</v>
      </c>
      <c r="Q194" s="47" t="s">
        <v>58</v>
      </c>
      <c r="R194" s="61"/>
      <c r="S194" s="61"/>
      <c r="T194" s="62"/>
      <c r="U194" s="61"/>
      <c r="V194" s="63"/>
      <c r="W194" s="63"/>
      <c r="X194" s="51"/>
      <c r="Y194" s="64"/>
      <c r="Z194" s="64"/>
      <c r="AA194" s="64"/>
      <c r="AB194" s="64"/>
      <c r="AC194" s="64"/>
      <c r="AD194" s="64"/>
      <c r="AE194" s="64"/>
      <c r="AF194" s="64"/>
      <c r="AG194" s="51"/>
      <c r="AH194" s="65"/>
      <c r="AI194" s="55"/>
      <c r="AJ194" s="57"/>
      <c r="AK194" s="57"/>
      <c r="AL194" s="57"/>
    </row>
    <row r="195" spans="1:38" ht="31.95" customHeight="1" x14ac:dyDescent="0.3">
      <c r="A195" s="66">
        <v>44075</v>
      </c>
      <c r="B195" s="195">
        <v>0.5782870370370371</v>
      </c>
      <c r="C195" s="39"/>
      <c r="D195" s="39">
        <f>IF(I195=Categories!$E$4,VLOOKUP(H195,Categories!$A$4:$C$15,3,FALSE),VLOOKUP(I195,Categories!$E$4:$G$27,3,FALSE))</f>
        <v>120</v>
      </c>
      <c r="E195" s="39"/>
      <c r="F195" s="39"/>
      <c r="G195" s="40">
        <v>20</v>
      </c>
      <c r="H195" s="41" t="s">
        <v>62</v>
      </c>
      <c r="I195" s="68" t="s">
        <v>58</v>
      </c>
      <c r="J195" s="42"/>
      <c r="K195" s="60">
        <v>2800</v>
      </c>
      <c r="L195" s="43">
        <v>2</v>
      </c>
      <c r="M195" s="44">
        <f>IFERROR(VLOOKUP(VLOOKUP(O195,O195,1,1),Categories!$K$4:$V$17,2+VLOOKUP(L195,L195,1,FALSE),FALSE),"-"  )</f>
        <v>6</v>
      </c>
      <c r="N195" s="44" t="str">
        <f>IFERROR(VLOOKUP(VLOOKUP(O195,O195,1,1),Categories!$K$3:$V$17,7+VLOOKUP(L195,L195,1,FALSE),FALSE),"-")</f>
        <v>6 ATM</v>
      </c>
      <c r="O195" s="45" t="s">
        <v>81</v>
      </c>
      <c r="P195" s="46" t="s">
        <v>58</v>
      </c>
      <c r="Q195" s="47" t="s">
        <v>58</v>
      </c>
      <c r="R195" s="48"/>
      <c r="S195" s="48"/>
      <c r="T195" s="49"/>
      <c r="U195" s="61"/>
      <c r="V195" s="50">
        <v>4.5</v>
      </c>
      <c r="W195" s="50">
        <v>4.0999999999999996</v>
      </c>
      <c r="X195" s="53">
        <v>6.25</v>
      </c>
      <c r="Y195" s="52"/>
      <c r="Z195" s="52"/>
      <c r="AA195" s="52"/>
      <c r="AB195" s="52"/>
      <c r="AC195" s="52"/>
      <c r="AD195" s="52"/>
      <c r="AE195" s="52"/>
      <c r="AF195" s="52"/>
      <c r="AG195" s="53"/>
      <c r="AH195" s="54"/>
      <c r="AI195" s="55" t="s">
        <v>79</v>
      </c>
      <c r="AJ195" s="56"/>
      <c r="AK195" s="57"/>
      <c r="AL195" s="57"/>
    </row>
    <row r="196" spans="1:38" ht="31.95" customHeight="1" x14ac:dyDescent="0.3">
      <c r="A196" s="66">
        <v>44075</v>
      </c>
      <c r="B196" s="195">
        <v>0.57997685185185188</v>
      </c>
      <c r="C196" s="39"/>
      <c r="D196" s="39">
        <f>IF(I196=Categories!$E$4,VLOOKUP(H196,Categories!$A$4:$C$15,3,FALSE),VLOOKUP(I196,Categories!$E$4:$G$27,3,FALSE))</f>
        <v>30</v>
      </c>
      <c r="E196" s="39"/>
      <c r="F196" s="39"/>
      <c r="G196" s="40">
        <v>20</v>
      </c>
      <c r="H196" s="41" t="s">
        <v>66</v>
      </c>
      <c r="I196" s="59" t="s">
        <v>345</v>
      </c>
      <c r="J196" s="42"/>
      <c r="K196" s="60">
        <v>2800</v>
      </c>
      <c r="L196" s="43">
        <v>3</v>
      </c>
      <c r="M196" s="44">
        <f>IFERROR(VLOOKUP(VLOOKUP(O196,O196,1,1),Categories!$K$4:$V$17,2+VLOOKUP(L196,L196,1,FALSE),FALSE),"-"  )</f>
        <v>6.6</v>
      </c>
      <c r="N196" s="44" t="str">
        <f>IFERROR(VLOOKUP(VLOOKUP(O196,O196,1,1),Categories!$K$3:$V$17,7+VLOOKUP(L196,L196,1,FALSE),FALSE),"-")</f>
        <v>19 ATM</v>
      </c>
      <c r="O196" s="45" t="s">
        <v>81</v>
      </c>
      <c r="P196" s="46" t="s">
        <v>58</v>
      </c>
      <c r="Q196" s="47" t="s">
        <v>58</v>
      </c>
      <c r="R196" s="48"/>
      <c r="S196" s="48"/>
      <c r="T196" s="49"/>
      <c r="U196" s="61"/>
      <c r="V196" s="50"/>
      <c r="W196" s="50"/>
      <c r="X196" s="53"/>
      <c r="Y196" s="52"/>
      <c r="Z196" s="52"/>
      <c r="AA196" s="52"/>
      <c r="AB196" s="52"/>
      <c r="AC196" s="52"/>
      <c r="AD196" s="52"/>
      <c r="AE196" s="52"/>
      <c r="AF196" s="52"/>
      <c r="AG196" s="53"/>
      <c r="AH196" s="54"/>
      <c r="AI196" s="55"/>
      <c r="AJ196" s="56" t="s">
        <v>357</v>
      </c>
      <c r="AK196" s="57"/>
      <c r="AL196" s="57"/>
    </row>
    <row r="197" spans="1:38" ht="31.95" customHeight="1" x14ac:dyDescent="0.3">
      <c r="A197" s="66">
        <v>44075</v>
      </c>
      <c r="B197" s="195">
        <v>0.58067129629629632</v>
      </c>
      <c r="C197" s="39"/>
      <c r="D197" s="39">
        <f>IF(I197=Categories!$E$4,VLOOKUP(H197,Categories!$A$4:$C$15,3,FALSE),VLOOKUP(I197,Categories!$E$4:$G$27,3,FALSE))</f>
        <v>120</v>
      </c>
      <c r="E197" s="39"/>
      <c r="F197" s="39"/>
      <c r="G197" s="40">
        <v>20</v>
      </c>
      <c r="H197" s="41" t="s">
        <v>62</v>
      </c>
      <c r="I197" s="68" t="s">
        <v>58</v>
      </c>
      <c r="J197" s="42"/>
      <c r="K197" s="60">
        <v>2800</v>
      </c>
      <c r="L197" s="43">
        <v>3</v>
      </c>
      <c r="M197" s="44">
        <f>IFERROR(VLOOKUP(VLOOKUP(O197,O197,1,1),Categories!$K$4:$V$17,2+VLOOKUP(L197,L197,1,FALSE),FALSE),"-"  )</f>
        <v>6.6</v>
      </c>
      <c r="N197" s="44" t="str">
        <f>IFERROR(VLOOKUP(VLOOKUP(O197,O197,1,1),Categories!$K$3:$V$17,7+VLOOKUP(L197,L197,1,FALSE),FALSE),"-")</f>
        <v>19 ATM</v>
      </c>
      <c r="O197" s="45" t="s">
        <v>81</v>
      </c>
      <c r="P197" s="46" t="s">
        <v>58</v>
      </c>
      <c r="Q197" s="47" t="s">
        <v>58</v>
      </c>
      <c r="R197" s="48"/>
      <c r="S197" s="48"/>
      <c r="T197" s="49"/>
      <c r="U197" s="61"/>
      <c r="V197" s="50">
        <v>4.5999999999999996</v>
      </c>
      <c r="W197" s="50">
        <v>4.2</v>
      </c>
      <c r="X197" s="53">
        <v>6.25</v>
      </c>
      <c r="Y197" s="52"/>
      <c r="Z197" s="52"/>
      <c r="AA197" s="52"/>
      <c r="AB197" s="52"/>
      <c r="AC197" s="52"/>
      <c r="AD197" s="52"/>
      <c r="AE197" s="52"/>
      <c r="AF197" s="52"/>
      <c r="AG197" s="53"/>
      <c r="AH197" s="54"/>
      <c r="AI197" s="55" t="s">
        <v>79</v>
      </c>
      <c r="AJ197" s="56"/>
      <c r="AK197" s="57"/>
      <c r="AL197" s="57"/>
    </row>
    <row r="198" spans="1:38" ht="31.95" customHeight="1" x14ac:dyDescent="0.3">
      <c r="A198" s="66">
        <v>44075</v>
      </c>
      <c r="B198" s="195">
        <v>0.58219907407407401</v>
      </c>
      <c r="C198" s="39"/>
      <c r="D198" s="39">
        <f>IF(I198=Categories!$E$4,VLOOKUP(H198,Categories!$A$4:$C$15,3,FALSE),VLOOKUP(I198,Categories!$E$4:$G$27,3,FALSE))</f>
        <v>30</v>
      </c>
      <c r="E198" s="39"/>
      <c r="F198" s="39"/>
      <c r="G198" s="40">
        <v>20</v>
      </c>
      <c r="H198" s="41" t="s">
        <v>66</v>
      </c>
      <c r="I198" s="59" t="s">
        <v>322</v>
      </c>
      <c r="J198" s="42"/>
      <c r="K198" s="60">
        <v>2800</v>
      </c>
      <c r="L198" s="43">
        <v>1</v>
      </c>
      <c r="M198" s="44">
        <f>IFERROR(VLOOKUP(VLOOKUP(O198,O198,1,1),Categories!$K$4:$V$17,2+VLOOKUP(L198,L198,1,FALSE),FALSE),"-"  )</f>
        <v>1.73</v>
      </c>
      <c r="N198" s="44" t="str">
        <f>IFERROR(VLOOKUP(VLOOKUP(O198,O198,1,1),Categories!$K$3:$V$17,7+VLOOKUP(L198,L198,1,FALSE),FALSE),"-")</f>
        <v>0 ATM</v>
      </c>
      <c r="O198" s="45" t="s">
        <v>81</v>
      </c>
      <c r="P198" s="46" t="s">
        <v>58</v>
      </c>
      <c r="Q198" s="47" t="s">
        <v>58</v>
      </c>
      <c r="R198" s="48"/>
      <c r="S198" s="48"/>
      <c r="T198" s="49"/>
      <c r="U198" s="61"/>
      <c r="V198" s="50"/>
      <c r="W198" s="50"/>
      <c r="X198" s="53"/>
      <c r="Y198" s="52"/>
      <c r="Z198" s="52"/>
      <c r="AA198" s="52"/>
      <c r="AB198" s="52"/>
      <c r="AC198" s="52"/>
      <c r="AD198" s="52"/>
      <c r="AE198" s="52"/>
      <c r="AF198" s="52"/>
      <c r="AG198" s="53"/>
      <c r="AH198" s="54"/>
      <c r="AI198" s="55"/>
      <c r="AJ198" s="56"/>
      <c r="AK198" s="57"/>
      <c r="AL198" s="57"/>
    </row>
    <row r="199" spans="1:38" ht="31.95" customHeight="1" x14ac:dyDescent="0.3">
      <c r="A199" s="66">
        <v>44075</v>
      </c>
      <c r="B199" s="195">
        <v>0.5826041666666667</v>
      </c>
      <c r="C199" s="39"/>
      <c r="D199" s="39">
        <f>IF(I199=Categories!$E$4,VLOOKUP(H199,Categories!$A$4:$C$15,3,FALSE),VLOOKUP(I199,Categories!$E$4:$G$27,3,FALSE))</f>
        <v>60</v>
      </c>
      <c r="E199" s="39"/>
      <c r="F199" s="39"/>
      <c r="G199" s="40">
        <v>20</v>
      </c>
      <c r="H199" s="41" t="s">
        <v>78</v>
      </c>
      <c r="I199" s="68" t="s">
        <v>58</v>
      </c>
      <c r="J199" s="42"/>
      <c r="K199" s="60">
        <v>2800</v>
      </c>
      <c r="L199" s="43">
        <v>1</v>
      </c>
      <c r="M199" s="44">
        <f>IFERROR(VLOOKUP(VLOOKUP(O199,O199,1,1),Categories!$K$4:$V$17,2+VLOOKUP(L199,L199,1,FALSE),FALSE),"-"  )</f>
        <v>1.73</v>
      </c>
      <c r="N199" s="44" t="str">
        <f>IFERROR(VLOOKUP(VLOOKUP(O199,O199,1,1),Categories!$K$3:$V$17,7+VLOOKUP(L199,L199,1,FALSE),FALSE),"-")</f>
        <v>0 ATM</v>
      </c>
      <c r="O199" s="45" t="s">
        <v>81</v>
      </c>
      <c r="P199" s="46" t="s">
        <v>58</v>
      </c>
      <c r="Q199" s="47" t="s">
        <v>58</v>
      </c>
      <c r="R199" s="48"/>
      <c r="S199" s="48"/>
      <c r="T199" s="49"/>
      <c r="U199" s="61"/>
      <c r="V199" s="50">
        <v>4.5</v>
      </c>
      <c r="W199" s="50">
        <v>4.0999999999999996</v>
      </c>
      <c r="X199" s="53">
        <v>6.27</v>
      </c>
      <c r="Y199" s="52"/>
      <c r="Z199" s="52"/>
      <c r="AA199" s="52"/>
      <c r="AB199" s="52"/>
      <c r="AC199" s="52"/>
      <c r="AD199" s="52"/>
      <c r="AE199" s="52"/>
      <c r="AF199" s="52"/>
      <c r="AG199" s="53"/>
      <c r="AH199" s="54"/>
      <c r="AI199" s="55" t="s">
        <v>79</v>
      </c>
      <c r="AJ199" s="56"/>
      <c r="AK199" s="57"/>
      <c r="AL199" s="57"/>
    </row>
    <row r="200" spans="1:38" ht="31.95" customHeight="1" x14ac:dyDescent="0.3">
      <c r="A200" s="66">
        <v>44075</v>
      </c>
      <c r="B200" s="195">
        <v>0.58336805555555549</v>
      </c>
      <c r="C200" s="39"/>
      <c r="D200" s="39">
        <f>IF(I200=Categories!$E$4,VLOOKUP(H200,Categories!$A$4:$C$15,3,FALSE),VLOOKUP(I200,Categories!$E$4:$G$27,3,FALSE))</f>
        <v>30</v>
      </c>
      <c r="E200" s="39"/>
      <c r="F200" s="39"/>
      <c r="G200" s="40" t="s">
        <v>58</v>
      </c>
      <c r="H200" s="41" t="s">
        <v>72</v>
      </c>
      <c r="I200" s="59" t="s">
        <v>67</v>
      </c>
      <c r="J200" s="42"/>
      <c r="K200" s="60">
        <v>3100</v>
      </c>
      <c r="L200" s="43">
        <v>1</v>
      </c>
      <c r="M200" s="44">
        <f>IFERROR(VLOOKUP(VLOOKUP(O200,O200,1,1),Categories!$K$4:$V$17,2+VLOOKUP(L200,L200,1,FALSE),FALSE),"-"  )</f>
        <v>1.73</v>
      </c>
      <c r="N200" s="44" t="str">
        <f>IFERROR(VLOOKUP(VLOOKUP(O200,O200,1,1),Categories!$K$3:$V$17,7+VLOOKUP(L200,L200,1,FALSE),FALSE),"-")</f>
        <v>0 ATM</v>
      </c>
      <c r="O200" s="45" t="s">
        <v>81</v>
      </c>
      <c r="P200" s="46" t="s">
        <v>58</v>
      </c>
      <c r="Q200" s="47" t="s">
        <v>58</v>
      </c>
      <c r="R200" s="48"/>
      <c r="S200" s="48"/>
      <c r="T200" s="49"/>
      <c r="U200" s="61"/>
      <c r="V200" s="50"/>
      <c r="W200" s="50"/>
      <c r="X200" s="53"/>
      <c r="Y200" s="52"/>
      <c r="Z200" s="52"/>
      <c r="AA200" s="52"/>
      <c r="AB200" s="52"/>
      <c r="AC200" s="52"/>
      <c r="AD200" s="52"/>
      <c r="AE200" s="52"/>
      <c r="AF200" s="52"/>
      <c r="AG200" s="53"/>
      <c r="AH200" s="54"/>
      <c r="AI200" s="55" t="s">
        <v>63</v>
      </c>
      <c r="AJ200" s="57" t="s">
        <v>360</v>
      </c>
      <c r="AK200" s="57"/>
      <c r="AL200" s="57"/>
    </row>
    <row r="201" spans="1:38" ht="31.95" customHeight="1" x14ac:dyDescent="0.3">
      <c r="A201" s="37">
        <v>44075</v>
      </c>
      <c r="B201" s="194">
        <v>0.58471064814814822</v>
      </c>
      <c r="C201" s="39"/>
      <c r="D201" s="39">
        <f>IF(I201=Categories!$E$4,VLOOKUP(H201,Categories!$A$4:$C$15,3,FALSE),VLOOKUP(I201,Categories!$E$4:$G$27,3,FALSE))</f>
        <v>120</v>
      </c>
      <c r="E201" s="39"/>
      <c r="F201" s="39"/>
      <c r="G201" s="40">
        <v>21</v>
      </c>
      <c r="H201" s="41" t="s">
        <v>62</v>
      </c>
      <c r="I201" s="59" t="s">
        <v>58</v>
      </c>
      <c r="J201" s="42"/>
      <c r="K201" s="60">
        <v>3100</v>
      </c>
      <c r="L201" s="43">
        <v>1</v>
      </c>
      <c r="M201" s="44">
        <f>IFERROR(VLOOKUP(VLOOKUP(O201,O201,1,1),Categories!$K$4:$V$17,2+VLOOKUP(L201,L201,1,FALSE),FALSE),"-"  )</f>
        <v>1.73</v>
      </c>
      <c r="N201" s="44" t="str">
        <f>IFERROR(VLOOKUP(VLOOKUP(O201,O201,1,1),Categories!$K$3:$V$17,7+VLOOKUP(L201,L201,1,FALSE),FALSE),"-")</f>
        <v>0 ATM</v>
      </c>
      <c r="O201" s="45" t="s">
        <v>81</v>
      </c>
      <c r="P201" s="46" t="s">
        <v>58</v>
      </c>
      <c r="Q201" s="47" t="s">
        <v>58</v>
      </c>
      <c r="R201" s="61"/>
      <c r="S201" s="61"/>
      <c r="T201" s="62"/>
      <c r="U201" s="61"/>
      <c r="V201" s="63">
        <v>5.5</v>
      </c>
      <c r="W201" s="63">
        <v>5.6</v>
      </c>
      <c r="X201" s="51">
        <v>7.03</v>
      </c>
      <c r="Y201" s="64"/>
      <c r="Z201" s="64"/>
      <c r="AA201" s="64"/>
      <c r="AB201" s="64"/>
      <c r="AC201" s="64"/>
      <c r="AD201" s="64"/>
      <c r="AE201" s="64"/>
      <c r="AF201" s="64"/>
      <c r="AG201" s="51"/>
      <c r="AH201" s="65"/>
      <c r="AI201" s="55"/>
      <c r="AJ201" s="57"/>
      <c r="AK201" s="57"/>
      <c r="AL201" s="57"/>
    </row>
    <row r="202" spans="1:38" ht="31.95" customHeight="1" x14ac:dyDescent="0.3">
      <c r="A202" s="37">
        <v>44075</v>
      </c>
      <c r="B202" s="194">
        <v>0.58689814814814811</v>
      </c>
      <c r="C202" s="39"/>
      <c r="D202" s="39">
        <f>IF(I202=Categories!$E$4,VLOOKUP(H202,Categories!$A$4:$C$15,3,FALSE),VLOOKUP(I202,Categories!$E$4:$G$27,3,FALSE))</f>
        <v>30</v>
      </c>
      <c r="E202" s="39"/>
      <c r="F202" s="39"/>
      <c r="G202" s="40">
        <v>21</v>
      </c>
      <c r="H202" s="41" t="s">
        <v>66</v>
      </c>
      <c r="I202" s="59" t="s">
        <v>345</v>
      </c>
      <c r="J202" s="42"/>
      <c r="K202" s="60">
        <v>3100</v>
      </c>
      <c r="L202" s="43">
        <v>2</v>
      </c>
      <c r="M202" s="44">
        <f>IFERROR(VLOOKUP(VLOOKUP(O202,O202,1,1),Categories!$K$4:$V$17,2+VLOOKUP(L202,L202,1,FALSE),FALSE),"-"  )</f>
        <v>6</v>
      </c>
      <c r="N202" s="44" t="str">
        <f>IFERROR(VLOOKUP(VLOOKUP(O202,O202,1,1),Categories!$K$3:$V$17,7+VLOOKUP(L202,L202,1,FALSE),FALSE),"-")</f>
        <v>6 ATM</v>
      </c>
      <c r="O202" s="45" t="s">
        <v>81</v>
      </c>
      <c r="P202" s="46" t="s">
        <v>58</v>
      </c>
      <c r="Q202" s="47" t="s">
        <v>58</v>
      </c>
      <c r="R202" s="61"/>
      <c r="S202" s="61"/>
      <c r="T202" s="62"/>
      <c r="U202" s="61"/>
      <c r="V202" s="63"/>
      <c r="W202" s="63"/>
      <c r="X202" s="51"/>
      <c r="Y202" s="64"/>
      <c r="Z202" s="64"/>
      <c r="AA202" s="64"/>
      <c r="AB202" s="64"/>
      <c r="AC202" s="64"/>
      <c r="AD202" s="64"/>
      <c r="AE202" s="64"/>
      <c r="AF202" s="64"/>
      <c r="AG202" s="51"/>
      <c r="AH202" s="65"/>
      <c r="AI202" s="55"/>
      <c r="AJ202" s="57"/>
      <c r="AK202" s="57"/>
      <c r="AL202" s="57"/>
    </row>
    <row r="203" spans="1:38" ht="31.95" customHeight="1" x14ac:dyDescent="0.3">
      <c r="A203" s="66">
        <v>44075</v>
      </c>
      <c r="B203" s="195">
        <v>0.5873032407407407</v>
      </c>
      <c r="C203" s="39"/>
      <c r="D203" s="39">
        <f>IF(I203=Categories!$E$4,VLOOKUP(H203,Categories!$A$4:$C$15,3,FALSE),VLOOKUP(I203,Categories!$E$4:$G$27,3,FALSE))</f>
        <v>120</v>
      </c>
      <c r="E203" s="39"/>
      <c r="F203" s="39"/>
      <c r="G203" s="40">
        <v>21</v>
      </c>
      <c r="H203" s="41" t="s">
        <v>62</v>
      </c>
      <c r="I203" s="68" t="s">
        <v>58</v>
      </c>
      <c r="J203" s="42"/>
      <c r="K203" s="60">
        <v>3100</v>
      </c>
      <c r="L203" s="43">
        <v>2</v>
      </c>
      <c r="M203" s="44">
        <f>IFERROR(VLOOKUP(VLOOKUP(O203,O203,1,1),Categories!$K$4:$V$17,2+VLOOKUP(L203,L203,1,FALSE),FALSE),"-"  )</f>
        <v>6</v>
      </c>
      <c r="N203" s="44" t="str">
        <f>IFERROR(VLOOKUP(VLOOKUP(O203,O203,1,1),Categories!$K$3:$V$17,7+VLOOKUP(L203,L203,1,FALSE),FALSE),"-")</f>
        <v>6 ATM</v>
      </c>
      <c r="O203" s="45" t="s">
        <v>81</v>
      </c>
      <c r="P203" s="46" t="s">
        <v>58</v>
      </c>
      <c r="Q203" s="47" t="s">
        <v>58</v>
      </c>
      <c r="R203" s="48"/>
      <c r="S203" s="48"/>
      <c r="T203" s="49"/>
      <c r="U203" s="61"/>
      <c r="V203" s="50">
        <v>5.5</v>
      </c>
      <c r="W203" s="50">
        <v>5.6</v>
      </c>
      <c r="X203" s="53">
        <v>6.99</v>
      </c>
      <c r="Y203" s="52"/>
      <c r="Z203" s="52"/>
      <c r="AA203" s="52"/>
      <c r="AB203" s="52"/>
      <c r="AC203" s="52"/>
      <c r="AD203" s="52"/>
      <c r="AE203" s="52"/>
      <c r="AF203" s="52"/>
      <c r="AG203" s="53"/>
      <c r="AH203" s="54"/>
      <c r="AI203" s="55"/>
      <c r="AJ203" s="56"/>
      <c r="AK203" s="57"/>
      <c r="AL203" s="57"/>
    </row>
    <row r="204" spans="1:38" ht="31.95" customHeight="1" x14ac:dyDescent="0.3">
      <c r="A204" s="66">
        <v>44075</v>
      </c>
      <c r="B204" s="195">
        <v>0.58872685185185192</v>
      </c>
      <c r="C204" s="39"/>
      <c r="D204" s="39">
        <f>IF(I204=Categories!$E$4,VLOOKUP(H204,Categories!$A$4:$C$15,3,FALSE),VLOOKUP(I204,Categories!$E$4:$G$27,3,FALSE))</f>
        <v>30</v>
      </c>
      <c r="E204" s="39"/>
      <c r="F204" s="39"/>
      <c r="G204" s="40">
        <v>21</v>
      </c>
      <c r="H204" s="41" t="s">
        <v>66</v>
      </c>
      <c r="I204" s="59" t="s">
        <v>345</v>
      </c>
      <c r="J204" s="42"/>
      <c r="K204" s="60">
        <v>3100</v>
      </c>
      <c r="L204" s="43">
        <v>3</v>
      </c>
      <c r="M204" s="44">
        <f>IFERROR(VLOOKUP(VLOOKUP(O204,O204,1,1),Categories!$K$4:$V$17,2+VLOOKUP(L204,L204,1,FALSE),FALSE),"-"  )</f>
        <v>6.6</v>
      </c>
      <c r="N204" s="44" t="str">
        <f>IFERROR(VLOOKUP(VLOOKUP(O204,O204,1,1),Categories!$K$3:$V$17,7+VLOOKUP(L204,L204,1,FALSE),FALSE),"-")</f>
        <v>19 ATM</v>
      </c>
      <c r="O204" s="45" t="s">
        <v>81</v>
      </c>
      <c r="P204" s="46" t="s">
        <v>58</v>
      </c>
      <c r="Q204" s="47" t="s">
        <v>58</v>
      </c>
      <c r="R204" s="48"/>
      <c r="S204" s="48"/>
      <c r="T204" s="49"/>
      <c r="U204" s="61"/>
      <c r="V204" s="50"/>
      <c r="W204" s="50"/>
      <c r="X204" s="53"/>
      <c r="Y204" s="52"/>
      <c r="Z204" s="52"/>
      <c r="AA204" s="52"/>
      <c r="AB204" s="52"/>
      <c r="AC204" s="52"/>
      <c r="AD204" s="52"/>
      <c r="AE204" s="52"/>
      <c r="AF204" s="52"/>
      <c r="AG204" s="53"/>
      <c r="AH204" s="54"/>
      <c r="AI204" s="55"/>
      <c r="AJ204" s="56"/>
      <c r="AK204" s="57"/>
      <c r="AL204" s="57"/>
    </row>
    <row r="205" spans="1:38" ht="31.95" customHeight="1" x14ac:dyDescent="0.3">
      <c r="A205" s="66">
        <v>44075</v>
      </c>
      <c r="B205" s="195">
        <v>0.58907407407407408</v>
      </c>
      <c r="C205" s="39"/>
      <c r="D205" s="39">
        <f>IF(I205=Categories!$E$4,VLOOKUP(H205,Categories!$A$4:$C$15,3,FALSE),VLOOKUP(I205,Categories!$E$4:$G$27,3,FALSE))</f>
        <v>120</v>
      </c>
      <c r="E205" s="39"/>
      <c r="F205" s="39"/>
      <c r="G205" s="40">
        <v>21</v>
      </c>
      <c r="H205" s="41" t="s">
        <v>62</v>
      </c>
      <c r="I205" s="68" t="s">
        <v>58</v>
      </c>
      <c r="J205" s="42"/>
      <c r="K205" s="60">
        <v>3100</v>
      </c>
      <c r="L205" s="43">
        <v>3</v>
      </c>
      <c r="M205" s="44">
        <f>IFERROR(VLOOKUP(VLOOKUP(O205,O205,1,1),Categories!$K$4:$V$17,2+VLOOKUP(L205,L205,1,FALSE),FALSE),"-"  )</f>
        <v>6.6</v>
      </c>
      <c r="N205" s="44" t="str">
        <f>IFERROR(VLOOKUP(VLOOKUP(O205,O205,1,1),Categories!$K$3:$V$17,7+VLOOKUP(L205,L205,1,FALSE),FALSE),"-")</f>
        <v>19 ATM</v>
      </c>
      <c r="O205" s="45" t="s">
        <v>81</v>
      </c>
      <c r="P205" s="46" t="s">
        <v>58</v>
      </c>
      <c r="Q205" s="47" t="s">
        <v>58</v>
      </c>
      <c r="R205" s="48"/>
      <c r="S205" s="48"/>
      <c r="T205" s="49"/>
      <c r="U205" s="61"/>
      <c r="V205" s="50">
        <v>5.5</v>
      </c>
      <c r="W205" s="50">
        <v>5.6</v>
      </c>
      <c r="X205" s="53">
        <v>6.99</v>
      </c>
      <c r="Y205" s="52"/>
      <c r="Z205" s="52"/>
      <c r="AA205" s="52"/>
      <c r="AB205" s="52"/>
      <c r="AC205" s="52"/>
      <c r="AD205" s="52"/>
      <c r="AE205" s="52"/>
      <c r="AF205" s="52"/>
      <c r="AG205" s="53"/>
      <c r="AH205" s="54"/>
      <c r="AI205" s="55"/>
      <c r="AJ205" s="56"/>
      <c r="AK205" s="57"/>
      <c r="AL205" s="57"/>
    </row>
    <row r="206" spans="1:38" ht="31.95" customHeight="1" x14ac:dyDescent="0.3">
      <c r="A206" s="66">
        <v>44075</v>
      </c>
      <c r="B206" s="197">
        <v>0.59047453703703701</v>
      </c>
      <c r="C206" s="39"/>
      <c r="D206" s="39">
        <f>IF(I206=Categories!$E$4,VLOOKUP(H206,Categories!$A$4:$C$15,3,FALSE),VLOOKUP(I206,Categories!$E$4:$G$27,3,FALSE))</f>
        <v>30</v>
      </c>
      <c r="E206" s="39"/>
      <c r="F206" s="39"/>
      <c r="G206" s="40">
        <v>21</v>
      </c>
      <c r="H206" s="41" t="s">
        <v>66</v>
      </c>
      <c r="I206" s="59" t="s">
        <v>322</v>
      </c>
      <c r="J206" s="42"/>
      <c r="K206" s="60">
        <v>3100</v>
      </c>
      <c r="L206" s="43">
        <v>1</v>
      </c>
      <c r="M206" s="44">
        <f>IFERROR(VLOOKUP(VLOOKUP(O206,O206,1,1),Categories!$K$4:$V$17,2+VLOOKUP(L206,L206,1,FALSE),FALSE),"-"  )</f>
        <v>1.73</v>
      </c>
      <c r="N206" s="44" t="str">
        <f>IFERROR(VLOOKUP(VLOOKUP(O206,O206,1,1),Categories!$K$3:$V$17,7+VLOOKUP(L206,L206,1,FALSE),FALSE),"-")</f>
        <v>0 ATM</v>
      </c>
      <c r="O206" s="45" t="s">
        <v>81</v>
      </c>
      <c r="P206" s="46" t="s">
        <v>58</v>
      </c>
      <c r="Q206" s="47" t="s">
        <v>58</v>
      </c>
      <c r="R206" s="48"/>
      <c r="S206" s="48"/>
      <c r="T206" s="49"/>
      <c r="U206" s="61"/>
      <c r="V206" s="50"/>
      <c r="W206" s="50"/>
      <c r="X206" s="53"/>
      <c r="Y206" s="52"/>
      <c r="Z206" s="52"/>
      <c r="AA206" s="52"/>
      <c r="AB206" s="52"/>
      <c r="AC206" s="52"/>
      <c r="AD206" s="52"/>
      <c r="AE206" s="52"/>
      <c r="AF206" s="52"/>
      <c r="AG206" s="53"/>
      <c r="AH206" s="54"/>
      <c r="AI206" s="55"/>
      <c r="AJ206" s="56"/>
      <c r="AK206" s="57"/>
      <c r="AL206" s="57"/>
    </row>
    <row r="207" spans="1:38" ht="31.95" customHeight="1" x14ac:dyDescent="0.3">
      <c r="A207" s="66">
        <v>44075</v>
      </c>
      <c r="B207" s="195">
        <v>0.59085648148148151</v>
      </c>
      <c r="C207" s="39"/>
      <c r="D207" s="39">
        <f>IF(I207=Categories!$E$4,VLOOKUP(H207,Categories!$A$4:$C$15,3,FALSE),VLOOKUP(I207,Categories!$E$4:$G$27,3,FALSE))</f>
        <v>60</v>
      </c>
      <c r="E207" s="39"/>
      <c r="F207" s="39"/>
      <c r="G207" s="40">
        <v>21</v>
      </c>
      <c r="H207" s="41" t="s">
        <v>78</v>
      </c>
      <c r="I207" s="68" t="s">
        <v>58</v>
      </c>
      <c r="J207" s="42"/>
      <c r="K207" s="60">
        <v>3100</v>
      </c>
      <c r="L207" s="43">
        <v>1</v>
      </c>
      <c r="M207" s="44">
        <f>IFERROR(VLOOKUP(VLOOKUP(O207,O207,1,1),Categories!$K$4:$V$17,2+VLOOKUP(L207,L207,1,FALSE),FALSE),"-"  )</f>
        <v>1.73</v>
      </c>
      <c r="N207" s="44" t="str">
        <f>IFERROR(VLOOKUP(VLOOKUP(O207,O207,1,1),Categories!$K$3:$V$17,7+VLOOKUP(L207,L207,1,FALSE),FALSE),"-")</f>
        <v>0 ATM</v>
      </c>
      <c r="O207" s="45" t="s">
        <v>81</v>
      </c>
      <c r="P207" s="46" t="s">
        <v>58</v>
      </c>
      <c r="Q207" s="47" t="s">
        <v>58</v>
      </c>
      <c r="R207" s="48"/>
      <c r="S207" s="48"/>
      <c r="T207" s="49"/>
      <c r="U207" s="61"/>
      <c r="V207" s="50">
        <v>5.5</v>
      </c>
      <c r="W207" s="50">
        <v>5.6</v>
      </c>
      <c r="X207" s="53">
        <v>7.02</v>
      </c>
      <c r="Y207" s="52"/>
      <c r="Z207" s="52"/>
      <c r="AA207" s="52"/>
      <c r="AB207" s="52"/>
      <c r="AC207" s="52"/>
      <c r="AD207" s="52"/>
      <c r="AE207" s="52"/>
      <c r="AF207" s="52"/>
      <c r="AG207" s="53"/>
      <c r="AH207" s="54"/>
      <c r="AI207" s="55"/>
      <c r="AJ207" s="56"/>
      <c r="AK207" s="57"/>
      <c r="AL207" s="57"/>
    </row>
    <row r="208" spans="1:38" ht="31.95" customHeight="1" x14ac:dyDescent="0.3">
      <c r="A208" s="66">
        <v>44075</v>
      </c>
      <c r="B208" s="195">
        <v>0.59168981481481475</v>
      </c>
      <c r="C208" s="39"/>
      <c r="D208" s="39">
        <f>IF(I208=Categories!$E$4,VLOOKUP(H208,Categories!$A$4:$C$15,3,FALSE),VLOOKUP(I208,Categories!$E$4:$G$27,3,FALSE))</f>
        <v>30</v>
      </c>
      <c r="E208" s="39"/>
      <c r="F208" s="39"/>
      <c r="G208" s="40" t="s">
        <v>58</v>
      </c>
      <c r="H208" s="41" t="s">
        <v>72</v>
      </c>
      <c r="I208" s="59" t="s">
        <v>67</v>
      </c>
      <c r="J208" s="42"/>
      <c r="K208" s="60">
        <v>2200</v>
      </c>
      <c r="L208" s="43">
        <v>1</v>
      </c>
      <c r="M208" s="44">
        <f>IFERROR(VLOOKUP(VLOOKUP(O208,O208,1,1),Categories!$K$4:$V$17,2+VLOOKUP(L208,L208,1,FALSE),FALSE),"-"  )</f>
        <v>1.73</v>
      </c>
      <c r="N208" s="44" t="str">
        <f>IFERROR(VLOOKUP(VLOOKUP(O208,O208,1,1),Categories!$K$3:$V$17,7+VLOOKUP(L208,L208,1,FALSE),FALSE),"-")</f>
        <v>0 ATM</v>
      </c>
      <c r="O208" s="45" t="s">
        <v>81</v>
      </c>
      <c r="P208" s="46" t="s">
        <v>58</v>
      </c>
      <c r="Q208" s="47" t="s">
        <v>58</v>
      </c>
      <c r="R208" s="48"/>
      <c r="S208" s="48"/>
      <c r="T208" s="49"/>
      <c r="U208" s="61"/>
      <c r="V208" s="50"/>
      <c r="W208" s="50"/>
      <c r="X208" s="53"/>
      <c r="Y208" s="52"/>
      <c r="Z208" s="52"/>
      <c r="AA208" s="52"/>
      <c r="AB208" s="52"/>
      <c r="AC208" s="52"/>
      <c r="AD208" s="52"/>
      <c r="AE208" s="52"/>
      <c r="AF208" s="52"/>
      <c r="AG208" s="53"/>
      <c r="AH208" s="54"/>
      <c r="AI208" s="55"/>
      <c r="AJ208" s="56"/>
      <c r="AK208" s="57"/>
      <c r="AL208" s="57"/>
    </row>
    <row r="209" spans="1:38" ht="31.95" customHeight="1" x14ac:dyDescent="0.3">
      <c r="A209" s="37"/>
      <c r="B209" s="189"/>
      <c r="C209" s="39"/>
      <c r="D209" s="39" t="str">
        <f>IF(I209=Categories!$E$4,VLOOKUP(H209,Categories!$A$4:$C$15,3,FALSE),VLOOKUP(I209,Categories!$E$4:$G$27,3,FALSE))</f>
        <v>-</v>
      </c>
      <c r="E209" s="39"/>
      <c r="F209" s="39"/>
      <c r="G209" s="40" t="s">
        <v>58</v>
      </c>
      <c r="H209" s="41" t="s">
        <v>72</v>
      </c>
      <c r="I209" s="59" t="s">
        <v>80</v>
      </c>
      <c r="J209" s="42"/>
      <c r="K209" s="60">
        <v>2200</v>
      </c>
      <c r="L209" s="43" t="s">
        <v>58</v>
      </c>
      <c r="M209" s="44" t="str">
        <f>IFERROR(VLOOKUP(VLOOKUP(O209,O209,1,1),Categories!$K$4:$V$17,2+VLOOKUP(L209,L209,1,FALSE),FALSE),"-"  )</f>
        <v>-</v>
      </c>
      <c r="N209" s="44" t="str">
        <f>IFERROR(VLOOKUP(VLOOKUP(O209,O209,1,1),Categories!$K$3:$V$17,7+VLOOKUP(L209,L209,1,FALSE),FALSE),"-")</f>
        <v>-</v>
      </c>
      <c r="O209" s="45" t="s">
        <v>58</v>
      </c>
      <c r="P209" s="46" t="s">
        <v>58</v>
      </c>
      <c r="Q209" s="47" t="s">
        <v>58</v>
      </c>
      <c r="R209" s="61"/>
      <c r="S209" s="61"/>
      <c r="T209" s="62"/>
      <c r="U209" s="61"/>
      <c r="V209" s="63"/>
      <c r="W209" s="63"/>
      <c r="X209" s="51"/>
      <c r="Y209" s="64"/>
      <c r="Z209" s="64"/>
      <c r="AA209" s="64"/>
      <c r="AB209" s="64"/>
      <c r="AC209" s="64"/>
      <c r="AD209" s="64"/>
      <c r="AE209" s="64"/>
      <c r="AF209" s="64"/>
      <c r="AG209" s="51"/>
      <c r="AH209" s="65"/>
      <c r="AI209" s="55"/>
      <c r="AJ209" s="57"/>
      <c r="AK209" s="57"/>
      <c r="AL209" s="57"/>
    </row>
    <row r="210" spans="1:38" ht="31.95" customHeight="1" thickBot="1" x14ac:dyDescent="0.35">
      <c r="A210" s="37"/>
      <c r="B210" s="190"/>
      <c r="C210" s="39"/>
      <c r="D210" s="39" t="str">
        <f>IF(I210=Categories!$E$4,VLOOKUP(H210,Categories!$A$4:$C$15,3,FALSE),VLOOKUP(I210,Categories!$E$4:$G$27,3,FALSE))</f>
        <v>-</v>
      </c>
      <c r="E210" s="39"/>
      <c r="F210" s="39"/>
      <c r="G210" s="40" t="s">
        <v>58</v>
      </c>
      <c r="H210" s="41" t="s">
        <v>72</v>
      </c>
      <c r="I210" s="59" t="s">
        <v>58</v>
      </c>
      <c r="J210" s="42"/>
      <c r="K210" s="60">
        <v>2200</v>
      </c>
      <c r="L210" s="43" t="s">
        <v>58</v>
      </c>
      <c r="M210" s="44" t="str">
        <f>IFERROR(VLOOKUP(VLOOKUP(O210,O210,1,1),Categories!$K$4:$V$17,2+VLOOKUP(L210,L210,1,FALSE),FALSE),"-"  )</f>
        <v>-</v>
      </c>
      <c r="N210" s="44" t="str">
        <f>IFERROR(VLOOKUP(VLOOKUP(O210,O210,1,1),Categories!$K$3:$V$17,7+VLOOKUP(L210,L210,1,FALSE),FALSE),"-")</f>
        <v>-</v>
      </c>
      <c r="O210" s="45" t="s">
        <v>58</v>
      </c>
      <c r="P210" s="46" t="s">
        <v>58</v>
      </c>
      <c r="Q210" s="47" t="s">
        <v>58</v>
      </c>
      <c r="R210" s="61"/>
      <c r="S210" s="61"/>
      <c r="T210" s="62"/>
      <c r="U210" s="61"/>
      <c r="V210" s="63"/>
      <c r="W210" s="63"/>
      <c r="X210" s="51"/>
      <c r="Y210" s="64"/>
      <c r="Z210" s="64"/>
      <c r="AA210" s="64"/>
      <c r="AB210" s="64"/>
      <c r="AC210" s="64"/>
      <c r="AD210" s="64"/>
      <c r="AE210" s="64"/>
      <c r="AF210" s="64"/>
      <c r="AG210" s="51"/>
      <c r="AH210" s="65"/>
      <c r="AI210" s="55"/>
      <c r="AJ210" s="57" t="s">
        <v>358</v>
      </c>
      <c r="AK210" s="57"/>
      <c r="AL210" s="57"/>
    </row>
    <row r="211" spans="1:38" ht="31.95" customHeight="1" thickBot="1" x14ac:dyDescent="0.35">
      <c r="A211" s="37">
        <v>44075</v>
      </c>
      <c r="B211" s="194">
        <v>0.59600694444444446</v>
      </c>
      <c r="C211" s="39"/>
      <c r="D211" s="39">
        <f>IF(I211=Categories!$E$4,VLOOKUP(H211,Categories!$A$4:$C$15,3,FALSE),VLOOKUP(I211,Categories!$E$4:$G$27,3,FALSE))</f>
        <v>120</v>
      </c>
      <c r="E211" s="39"/>
      <c r="F211" s="39"/>
      <c r="G211" s="40">
        <v>22</v>
      </c>
      <c r="H211" s="41" t="s">
        <v>62</v>
      </c>
      <c r="I211" s="59" t="s">
        <v>58</v>
      </c>
      <c r="J211" s="42"/>
      <c r="K211" s="60">
        <v>3100</v>
      </c>
      <c r="L211" s="43" t="s">
        <v>58</v>
      </c>
      <c r="M211" s="44" t="str">
        <f>IFERROR(VLOOKUP(VLOOKUP(O211,O211,1,1),Categories!$K$4:$V$17,2+VLOOKUP(L211,L211,1,FALSE),FALSE),"-"  )</f>
        <v>-</v>
      </c>
      <c r="N211" s="44" t="str">
        <f>IFERROR(VLOOKUP(VLOOKUP(O211,O211,1,1),Categories!$K$3:$V$17,7+VLOOKUP(L211,L211,1,FALSE),FALSE),"-")</f>
        <v>-</v>
      </c>
      <c r="O211" s="45" t="s">
        <v>58</v>
      </c>
      <c r="P211" s="46" t="s">
        <v>58</v>
      </c>
      <c r="Q211" s="47" t="s">
        <v>58</v>
      </c>
      <c r="R211" s="61"/>
      <c r="S211" s="61"/>
      <c r="T211" s="62"/>
      <c r="U211" s="61"/>
      <c r="V211" s="63">
        <v>5.4</v>
      </c>
      <c r="W211" s="63">
        <v>5.6</v>
      </c>
      <c r="X211" s="70">
        <v>7.01</v>
      </c>
      <c r="Y211" s="64"/>
      <c r="Z211" s="64"/>
      <c r="AA211" s="64"/>
      <c r="AB211" s="64"/>
      <c r="AC211" s="64"/>
      <c r="AD211" s="64"/>
      <c r="AE211" s="64"/>
      <c r="AF211" s="64"/>
      <c r="AG211" s="51"/>
      <c r="AH211" s="65"/>
      <c r="AI211" s="55"/>
      <c r="AJ211" s="57"/>
      <c r="AK211" s="57"/>
      <c r="AL211" s="57" t="s">
        <v>92</v>
      </c>
    </row>
    <row r="212" spans="1:38" ht="31.95" customHeight="1" thickBot="1" x14ac:dyDescent="0.35">
      <c r="A212" s="37">
        <v>44075</v>
      </c>
      <c r="B212" s="194">
        <v>0.59815972222222225</v>
      </c>
      <c r="C212" s="39"/>
      <c r="D212" s="39">
        <f>IF(I212=Categories!$E$4,VLOOKUP(H212,Categories!$A$4:$C$15,3,FALSE),VLOOKUP(I212,Categories!$E$4:$G$27,3,FALSE))</f>
        <v>30</v>
      </c>
      <c r="E212" s="39"/>
      <c r="F212" s="39"/>
      <c r="G212" s="40">
        <v>22</v>
      </c>
      <c r="H212" s="41" t="s">
        <v>66</v>
      </c>
      <c r="I212" s="59" t="s">
        <v>67</v>
      </c>
      <c r="J212" s="42"/>
      <c r="K212" s="60">
        <v>2800</v>
      </c>
      <c r="L212" s="43" t="s">
        <v>58</v>
      </c>
      <c r="M212" s="44" t="str">
        <f>IFERROR(VLOOKUP(VLOOKUP(O212,O212,1,1),Categories!$K$4:$V$17,2+VLOOKUP(L212,L212,1,FALSE),FALSE),"-"  )</f>
        <v>-</v>
      </c>
      <c r="N212" s="44" t="str">
        <f>IFERROR(VLOOKUP(VLOOKUP(O212,O212,1,1),Categories!$K$3:$V$17,7+VLOOKUP(L212,L212,1,FALSE),FALSE),"-")</f>
        <v>-</v>
      </c>
      <c r="O212" s="45" t="s">
        <v>58</v>
      </c>
      <c r="P212" s="46" t="s">
        <v>58</v>
      </c>
      <c r="Q212" s="47" t="s">
        <v>58</v>
      </c>
      <c r="R212" s="61"/>
      <c r="S212" s="61"/>
      <c r="T212" s="62"/>
      <c r="U212" s="61"/>
      <c r="V212" s="63"/>
      <c r="W212" s="63"/>
      <c r="X212" s="51"/>
      <c r="Y212" s="64"/>
      <c r="Z212" s="64"/>
      <c r="AA212" s="64"/>
      <c r="AB212" s="64"/>
      <c r="AC212" s="64"/>
      <c r="AD212" s="64"/>
      <c r="AE212" s="64"/>
      <c r="AF212" s="64"/>
      <c r="AG212" s="51"/>
      <c r="AH212" s="65"/>
      <c r="AI212" s="55"/>
      <c r="AJ212" s="57"/>
      <c r="AK212" s="57"/>
      <c r="AL212" s="57" t="s">
        <v>93</v>
      </c>
    </row>
    <row r="213" spans="1:38" ht="31.95" customHeight="1" thickBot="1" x14ac:dyDescent="0.35">
      <c r="A213" s="37">
        <v>44075</v>
      </c>
      <c r="B213" s="194">
        <v>0.59861111111111109</v>
      </c>
      <c r="C213" s="39"/>
      <c r="D213" s="39">
        <f>IF(I213=Categories!$E$4,VLOOKUP(H213,Categories!$A$4:$C$15,3,FALSE),VLOOKUP(I213,Categories!$E$4:$G$27,3,FALSE))</f>
        <v>120</v>
      </c>
      <c r="E213" s="39"/>
      <c r="F213" s="39"/>
      <c r="G213" s="40">
        <v>22</v>
      </c>
      <c r="H213" s="41" t="s">
        <v>68</v>
      </c>
      <c r="I213" s="59" t="s">
        <v>58</v>
      </c>
      <c r="J213" s="42"/>
      <c r="K213" s="60">
        <v>2800</v>
      </c>
      <c r="L213" s="43" t="s">
        <v>58</v>
      </c>
      <c r="M213" s="44" t="str">
        <f>IFERROR(VLOOKUP(VLOOKUP(O213,O213,1,1),Categories!$K$4:$V$17,2+VLOOKUP(L213,L213,1,FALSE),FALSE),"-"  )</f>
        <v>-</v>
      </c>
      <c r="N213" s="44" t="str">
        <f>IFERROR(VLOOKUP(VLOOKUP(O213,O213,1,1),Categories!$K$3:$V$17,7+VLOOKUP(L213,L213,1,FALSE),FALSE),"-")</f>
        <v>-</v>
      </c>
      <c r="O213" s="45" t="s">
        <v>58</v>
      </c>
      <c r="P213" s="46" t="s">
        <v>58</v>
      </c>
      <c r="Q213" s="47" t="s">
        <v>58</v>
      </c>
      <c r="R213" s="61"/>
      <c r="S213" s="61"/>
      <c r="T213" s="62"/>
      <c r="U213" s="61"/>
      <c r="V213" s="63">
        <v>4.5999999999999996</v>
      </c>
      <c r="W213" s="63">
        <v>4.0999999999999996</v>
      </c>
      <c r="X213" s="70">
        <v>6.29</v>
      </c>
      <c r="Y213" s="64"/>
      <c r="Z213" s="64"/>
      <c r="AA213" s="64"/>
      <c r="AB213" s="64"/>
      <c r="AC213" s="64"/>
      <c r="AD213" s="64"/>
      <c r="AE213" s="64"/>
      <c r="AF213" s="64"/>
      <c r="AG213" s="51"/>
      <c r="AH213" s="65"/>
      <c r="AI213" s="55"/>
      <c r="AJ213" s="57"/>
      <c r="AK213" s="57"/>
      <c r="AL213" s="57" t="s">
        <v>94</v>
      </c>
    </row>
    <row r="214" spans="1:38" ht="31.95" customHeight="1" thickBot="1" x14ac:dyDescent="0.35">
      <c r="A214" s="37">
        <v>44075</v>
      </c>
      <c r="B214" s="194">
        <v>0.60006944444444443</v>
      </c>
      <c r="C214" s="39"/>
      <c r="D214" s="39">
        <f>IF(I214=Categories!$E$4,VLOOKUP(H214,Categories!$A$4:$C$15,3,FALSE),VLOOKUP(I214,Categories!$E$4:$G$27,3,FALSE))</f>
        <v>30</v>
      </c>
      <c r="E214" s="39"/>
      <c r="F214" s="39"/>
      <c r="G214" s="40">
        <v>22</v>
      </c>
      <c r="H214" s="41" t="s">
        <v>66</v>
      </c>
      <c r="I214" s="59" t="s">
        <v>67</v>
      </c>
      <c r="J214" s="42"/>
      <c r="K214" s="60">
        <v>2500</v>
      </c>
      <c r="L214" s="43" t="s">
        <v>58</v>
      </c>
      <c r="M214" s="44" t="str">
        <f>IFERROR(VLOOKUP(VLOOKUP(O214,O214,1,1),Categories!$K$4:$V$17,2+VLOOKUP(L214,L214,1,FALSE),FALSE),"-"  )</f>
        <v>-</v>
      </c>
      <c r="N214" s="44" t="str">
        <f>IFERROR(VLOOKUP(VLOOKUP(O214,O214,1,1),Categories!$K$3:$V$17,7+VLOOKUP(L214,L214,1,FALSE),FALSE),"-")</f>
        <v>-</v>
      </c>
      <c r="O214" s="45" t="s">
        <v>58</v>
      </c>
      <c r="P214" s="46" t="s">
        <v>58</v>
      </c>
      <c r="Q214" s="47" t="s">
        <v>58</v>
      </c>
      <c r="R214" s="61"/>
      <c r="S214" s="61"/>
      <c r="T214" s="62"/>
      <c r="U214" s="61"/>
      <c r="V214" s="63"/>
      <c r="W214" s="63"/>
      <c r="X214" s="51"/>
      <c r="Y214" s="64"/>
      <c r="Z214" s="64"/>
      <c r="AA214" s="64"/>
      <c r="AB214" s="64"/>
      <c r="AC214" s="64"/>
      <c r="AD214" s="64"/>
      <c r="AE214" s="64"/>
      <c r="AF214" s="64"/>
      <c r="AG214" s="51"/>
      <c r="AH214" s="65"/>
      <c r="AI214" s="55"/>
      <c r="AJ214" s="57"/>
      <c r="AK214" s="57"/>
      <c r="AL214" s="57" t="s">
        <v>95</v>
      </c>
    </row>
    <row r="215" spans="1:38" ht="31.95" customHeight="1" thickBot="1" x14ac:dyDescent="0.35">
      <c r="A215" s="37">
        <v>44075</v>
      </c>
      <c r="B215" s="194">
        <v>0.60060185185185189</v>
      </c>
      <c r="C215" s="39"/>
      <c r="D215" s="39">
        <f>IF(I215=Categories!$E$4,VLOOKUP(H215,Categories!$A$4:$C$15,3,FALSE),VLOOKUP(I215,Categories!$E$4:$G$27,3,FALSE))</f>
        <v>120</v>
      </c>
      <c r="E215" s="39"/>
      <c r="F215" s="39"/>
      <c r="G215" s="40">
        <v>22</v>
      </c>
      <c r="H215" s="41" t="s">
        <v>62</v>
      </c>
      <c r="I215" s="59" t="s">
        <v>58</v>
      </c>
      <c r="J215" s="42"/>
      <c r="K215" s="60">
        <v>2500</v>
      </c>
      <c r="L215" s="43" t="s">
        <v>58</v>
      </c>
      <c r="M215" s="44" t="str">
        <f>IFERROR(VLOOKUP(VLOOKUP(O215,O215,1,1),Categories!$K$4:$V$17,2+VLOOKUP(L215,L215,1,FALSE),FALSE),"-"  )</f>
        <v>-</v>
      </c>
      <c r="N215" s="44" t="str">
        <f>IFERROR(VLOOKUP(VLOOKUP(O215,O215,1,1),Categories!$K$3:$V$17,7+VLOOKUP(L215,L215,1,FALSE),FALSE),"-")</f>
        <v>-</v>
      </c>
      <c r="O215" s="45" t="s">
        <v>58</v>
      </c>
      <c r="P215" s="46" t="s">
        <v>58</v>
      </c>
      <c r="Q215" s="47" t="s">
        <v>58</v>
      </c>
      <c r="R215" s="61"/>
      <c r="S215" s="61"/>
      <c r="T215" s="62"/>
      <c r="U215" s="61"/>
      <c r="V215" s="63">
        <v>4.0999999999999996</v>
      </c>
      <c r="W215" s="63">
        <v>3</v>
      </c>
      <c r="X215" s="70">
        <v>5.56</v>
      </c>
      <c r="Y215" s="64"/>
      <c r="Z215" s="64"/>
      <c r="AA215" s="64"/>
      <c r="AB215" s="64"/>
      <c r="AC215" s="64"/>
      <c r="AD215" s="64"/>
      <c r="AE215" s="64"/>
      <c r="AF215" s="64"/>
      <c r="AG215" s="51"/>
      <c r="AH215" s="65"/>
      <c r="AI215" s="55"/>
      <c r="AJ215" s="57"/>
      <c r="AK215" s="57"/>
      <c r="AL215" s="57" t="s">
        <v>96</v>
      </c>
    </row>
    <row r="216" spans="1:38" ht="31.95" customHeight="1" thickBot="1" x14ac:dyDescent="0.35">
      <c r="A216" s="37">
        <v>44075</v>
      </c>
      <c r="B216" s="194">
        <v>0.60201388888888896</v>
      </c>
      <c r="C216" s="39"/>
      <c r="D216" s="39">
        <f>IF(I216=Categories!$E$4,VLOOKUP(H216,Categories!$A$4:$C$15,3,FALSE),VLOOKUP(I216,Categories!$E$4:$G$27,3,FALSE))</f>
        <v>30</v>
      </c>
      <c r="E216" s="39"/>
      <c r="F216" s="39"/>
      <c r="G216" s="40">
        <v>22</v>
      </c>
      <c r="H216" s="41" t="s">
        <v>66</v>
      </c>
      <c r="I216" s="59" t="s">
        <v>67</v>
      </c>
      <c r="J216" s="42"/>
      <c r="K216" s="60">
        <v>2200</v>
      </c>
      <c r="L216" s="43" t="s">
        <v>58</v>
      </c>
      <c r="M216" s="44" t="str">
        <f>IFERROR(VLOOKUP(VLOOKUP(O216,O216,1,1),Categories!$K$4:$V$17,2+VLOOKUP(L216,L216,1,FALSE),FALSE),"-"  )</f>
        <v>-</v>
      </c>
      <c r="N216" s="44" t="str">
        <f>IFERROR(VLOOKUP(VLOOKUP(O216,O216,1,1),Categories!$K$3:$V$17,7+VLOOKUP(L216,L216,1,FALSE),FALSE),"-")</f>
        <v>-</v>
      </c>
      <c r="O216" s="45" t="s">
        <v>58</v>
      </c>
      <c r="P216" s="46" t="s">
        <v>58</v>
      </c>
      <c r="Q216" s="47" t="s">
        <v>58</v>
      </c>
      <c r="R216" s="61"/>
      <c r="S216" s="61"/>
      <c r="T216" s="62"/>
      <c r="U216" s="61"/>
      <c r="V216" s="63"/>
      <c r="W216" s="63"/>
      <c r="X216" s="51"/>
      <c r="Y216" s="64"/>
      <c r="Z216" s="64"/>
      <c r="AA216" s="64"/>
      <c r="AB216" s="64"/>
      <c r="AC216" s="64"/>
      <c r="AD216" s="64"/>
      <c r="AE216" s="64"/>
      <c r="AF216" s="64"/>
      <c r="AG216" s="51"/>
      <c r="AH216" s="65"/>
      <c r="AI216" s="55"/>
      <c r="AJ216" s="57"/>
      <c r="AK216" s="57"/>
      <c r="AL216" s="57" t="s">
        <v>96</v>
      </c>
    </row>
    <row r="217" spans="1:38" ht="31.95" customHeight="1" thickBot="1" x14ac:dyDescent="0.35">
      <c r="A217" s="37">
        <v>44075</v>
      </c>
      <c r="B217" s="194">
        <v>0.60252314814814811</v>
      </c>
      <c r="C217" s="39"/>
      <c r="D217" s="39">
        <f>IF(I217=Categories!$E$4,VLOOKUP(H217,Categories!$A$4:$C$15,3,FALSE),VLOOKUP(I217,Categories!$E$4:$G$27,3,FALSE))</f>
        <v>120</v>
      </c>
      <c r="E217" s="39"/>
      <c r="F217" s="39"/>
      <c r="G217" s="40">
        <v>22</v>
      </c>
      <c r="H217" s="41" t="s">
        <v>62</v>
      </c>
      <c r="I217" s="59" t="s">
        <v>58</v>
      </c>
      <c r="J217" s="42"/>
      <c r="K217" s="60">
        <v>2200</v>
      </c>
      <c r="L217" s="43" t="s">
        <v>58</v>
      </c>
      <c r="M217" s="44" t="str">
        <f>IFERROR(VLOOKUP(VLOOKUP(O217,O217,1,1),Categories!$K$4:$V$17,2+VLOOKUP(L217,L217,1,FALSE),FALSE),"-"  )</f>
        <v>-</v>
      </c>
      <c r="N217" s="44" t="str">
        <f>IFERROR(VLOOKUP(VLOOKUP(O217,O217,1,1),Categories!$K$3:$V$17,7+VLOOKUP(L217,L217,1,FALSE),FALSE),"-")</f>
        <v>-</v>
      </c>
      <c r="O217" s="45" t="s">
        <v>58</v>
      </c>
      <c r="P217" s="46" t="s">
        <v>58</v>
      </c>
      <c r="Q217" s="47" t="s">
        <v>58</v>
      </c>
      <c r="R217" s="61"/>
      <c r="S217" s="61"/>
      <c r="T217" s="62"/>
      <c r="U217" s="61"/>
      <c r="V217" s="63">
        <v>3.3</v>
      </c>
      <c r="W217" s="63">
        <v>2.1</v>
      </c>
      <c r="X217" s="70">
        <v>4.84</v>
      </c>
      <c r="Y217" s="64"/>
      <c r="Z217" s="64"/>
      <c r="AA217" s="64"/>
      <c r="AB217" s="64"/>
      <c r="AC217" s="64"/>
      <c r="AD217" s="64"/>
      <c r="AE217" s="64"/>
      <c r="AF217" s="64"/>
      <c r="AG217" s="51"/>
      <c r="AH217" s="65"/>
      <c r="AI217" s="55"/>
      <c r="AJ217" s="57"/>
      <c r="AK217" s="57"/>
      <c r="AL217" s="57" t="s">
        <v>96</v>
      </c>
    </row>
    <row r="218" spans="1:38" ht="31.95" customHeight="1" x14ac:dyDescent="0.3">
      <c r="A218" s="37">
        <v>44075</v>
      </c>
      <c r="B218" s="194">
        <v>0.60396990740740741</v>
      </c>
      <c r="C218" s="39"/>
      <c r="D218" s="39">
        <f>IF(I218=Categories!$E$4,VLOOKUP(H218,Categories!$A$4:$C$15,3,FALSE),VLOOKUP(I218,Categories!$E$4:$G$27,3,FALSE))</f>
        <v>60</v>
      </c>
      <c r="E218" s="39"/>
      <c r="F218" s="39"/>
      <c r="G218" s="40" t="s">
        <v>58</v>
      </c>
      <c r="H218" s="41" t="s">
        <v>66</v>
      </c>
      <c r="I218" s="59" t="s">
        <v>97</v>
      </c>
      <c r="J218" s="42"/>
      <c r="K218" s="60">
        <v>2200</v>
      </c>
      <c r="L218" s="43" t="s">
        <v>58</v>
      </c>
      <c r="M218" s="44" t="str">
        <f>IFERROR(VLOOKUP(VLOOKUP(O218,O218,1,1),Categories!$K$4:$V$17,2+VLOOKUP(L218,L218,1,FALSE),FALSE),"-"  )</f>
        <v>-</v>
      </c>
      <c r="N218" s="44" t="str">
        <f>IFERROR(VLOOKUP(VLOOKUP(O218,O218,1,1),Categories!$K$3:$V$17,7+VLOOKUP(L218,L218,1,FALSE),FALSE),"-")</f>
        <v>-</v>
      </c>
      <c r="O218" s="45" t="s">
        <v>58</v>
      </c>
      <c r="P218" s="71">
        <v>20</v>
      </c>
      <c r="Q218" s="47">
        <f>$X$217*(1-$P218/100)</f>
        <v>3.8719999999999999</v>
      </c>
      <c r="R218" s="61"/>
      <c r="S218" s="61"/>
      <c r="T218" s="62"/>
      <c r="U218" s="61"/>
      <c r="V218" s="63"/>
      <c r="W218" s="63"/>
      <c r="X218" s="51"/>
      <c r="Y218" s="64"/>
      <c r="Z218" s="64"/>
      <c r="AA218" s="64"/>
      <c r="AB218" s="64"/>
      <c r="AC218" s="64"/>
      <c r="AD218" s="64"/>
      <c r="AE218" s="64"/>
      <c r="AF218" s="64"/>
      <c r="AG218" s="51"/>
      <c r="AH218" s="65"/>
      <c r="AI218" s="55"/>
      <c r="AJ218" s="57"/>
      <c r="AK218" s="57"/>
      <c r="AL218" s="57" t="s">
        <v>98</v>
      </c>
    </row>
    <row r="219" spans="1:38" ht="31.95" customHeight="1" x14ac:dyDescent="0.3">
      <c r="A219" s="66">
        <v>44075</v>
      </c>
      <c r="B219" s="195">
        <v>0.60483796296296299</v>
      </c>
      <c r="C219" s="39"/>
      <c r="D219" s="39">
        <f>IF(I219=Categories!$E$4,VLOOKUP(H219,Categories!$A$4:$C$15,3,FALSE),VLOOKUP(I219,Categories!$E$4:$G$27,3,FALSE))</f>
        <v>120</v>
      </c>
      <c r="E219" s="39"/>
      <c r="F219" s="39"/>
      <c r="G219" s="40">
        <v>23</v>
      </c>
      <c r="H219" s="41" t="s">
        <v>62</v>
      </c>
      <c r="I219" s="68" t="s">
        <v>58</v>
      </c>
      <c r="J219" s="42"/>
      <c r="K219" s="60">
        <v>2200</v>
      </c>
      <c r="L219" s="43" t="s">
        <v>58</v>
      </c>
      <c r="M219" s="44" t="str">
        <f>IFERROR(VLOOKUP(VLOOKUP(O219,O219,1,1),Categories!$K$4:$V$17,2+VLOOKUP(L219,L219,1,FALSE),FALSE),"-"  )</f>
        <v>-</v>
      </c>
      <c r="N219" s="44" t="str">
        <f>IFERROR(VLOOKUP(VLOOKUP(O219,O219,1,1),Categories!$K$3:$V$17,7+VLOOKUP(L219,L219,1,FALSE),FALSE),"-")</f>
        <v>-</v>
      </c>
      <c r="O219" s="45" t="s">
        <v>58</v>
      </c>
      <c r="P219" s="46">
        <v>20</v>
      </c>
      <c r="Q219" s="47">
        <f t="shared" ref="Q219:Q225" si="0">$X$217*(1-$P219/100)</f>
        <v>3.8719999999999999</v>
      </c>
      <c r="R219" s="48"/>
      <c r="S219" s="48"/>
      <c r="T219" s="49"/>
      <c r="U219" s="61"/>
      <c r="V219" s="50">
        <v>2.5</v>
      </c>
      <c r="W219" s="50">
        <v>1.9</v>
      </c>
      <c r="X219" s="53"/>
      <c r="Y219" s="52"/>
      <c r="Z219" s="52"/>
      <c r="AA219" s="52"/>
      <c r="AB219" s="52"/>
      <c r="AC219" s="52"/>
      <c r="AD219" s="52"/>
      <c r="AE219" s="52"/>
      <c r="AF219" s="52"/>
      <c r="AG219" s="53"/>
      <c r="AH219" s="54"/>
      <c r="AI219" s="55"/>
      <c r="AJ219" s="56"/>
      <c r="AK219" s="57"/>
      <c r="AL219" s="57" t="s">
        <v>99</v>
      </c>
    </row>
    <row r="220" spans="1:38" ht="31.95" customHeight="1" x14ac:dyDescent="0.3">
      <c r="A220" s="66">
        <v>44075</v>
      </c>
      <c r="B220" s="195">
        <v>0.60633101851851856</v>
      </c>
      <c r="C220" s="39"/>
      <c r="D220" s="39">
        <f>IF(I220=Categories!$E$4,VLOOKUP(H220,Categories!$A$4:$C$15,3,FALSE),VLOOKUP(I220,Categories!$E$4:$G$27,3,FALSE))</f>
        <v>60</v>
      </c>
      <c r="E220" s="39"/>
      <c r="F220" s="39"/>
      <c r="G220" s="40">
        <v>23</v>
      </c>
      <c r="H220" s="41" t="s">
        <v>66</v>
      </c>
      <c r="I220" s="59" t="s">
        <v>97</v>
      </c>
      <c r="J220" s="42"/>
      <c r="K220" s="60">
        <v>2200</v>
      </c>
      <c r="L220" s="43" t="s">
        <v>58</v>
      </c>
      <c r="M220" s="44" t="str">
        <f>IFERROR(VLOOKUP(VLOOKUP(O220,O220,1,1),Categories!$K$4:$V$17,2+VLOOKUP(L220,L220,1,FALSE),FALSE),"-"  )</f>
        <v>-</v>
      </c>
      <c r="N220" s="44" t="str">
        <f>IFERROR(VLOOKUP(VLOOKUP(O220,O220,1,1),Categories!$K$3:$V$17,7+VLOOKUP(L220,L220,1,FALSE),FALSE),"-")</f>
        <v>-</v>
      </c>
      <c r="O220" s="45" t="s">
        <v>58</v>
      </c>
      <c r="P220" s="71">
        <v>40</v>
      </c>
      <c r="Q220" s="47">
        <f t="shared" si="0"/>
        <v>2.9039999999999999</v>
      </c>
      <c r="R220" s="48"/>
      <c r="S220" s="48"/>
      <c r="T220" s="49"/>
      <c r="U220" s="61"/>
      <c r="V220" s="50"/>
      <c r="W220" s="50"/>
      <c r="X220" s="53"/>
      <c r="Y220" s="52"/>
      <c r="Z220" s="52"/>
      <c r="AA220" s="52"/>
      <c r="AB220" s="52"/>
      <c r="AC220" s="52"/>
      <c r="AD220" s="52"/>
      <c r="AE220" s="52"/>
      <c r="AF220" s="52"/>
      <c r="AG220" s="53"/>
      <c r="AH220" s="54"/>
      <c r="AI220" s="55"/>
      <c r="AJ220" s="56"/>
      <c r="AK220" s="57"/>
      <c r="AL220" s="57" t="s">
        <v>98</v>
      </c>
    </row>
    <row r="221" spans="1:38" ht="31.95" customHeight="1" x14ac:dyDescent="0.3">
      <c r="A221" s="66">
        <v>44075</v>
      </c>
      <c r="B221" s="195">
        <v>0.60707175925925927</v>
      </c>
      <c r="C221" s="39"/>
      <c r="D221" s="39">
        <f>IF(I221=Categories!$E$4,VLOOKUP(H221,Categories!$A$4:$C$15,3,FALSE),VLOOKUP(I221,Categories!$E$4:$G$27,3,FALSE))</f>
        <v>120</v>
      </c>
      <c r="E221" s="39"/>
      <c r="F221" s="39"/>
      <c r="G221" s="40">
        <v>23</v>
      </c>
      <c r="H221" s="41" t="s">
        <v>62</v>
      </c>
      <c r="I221" s="68" t="s">
        <v>58</v>
      </c>
      <c r="J221" s="42"/>
      <c r="K221" s="60">
        <v>2200</v>
      </c>
      <c r="L221" s="43" t="s">
        <v>58</v>
      </c>
      <c r="M221" s="44" t="str">
        <f>IFERROR(VLOOKUP(VLOOKUP(O221,O221,1,1),Categories!$K$4:$V$17,2+VLOOKUP(L221,L221,1,FALSE),FALSE),"-"  )</f>
        <v>-</v>
      </c>
      <c r="N221" s="44" t="str">
        <f>IFERROR(VLOOKUP(VLOOKUP(O221,O221,1,1),Categories!$K$3:$V$17,7+VLOOKUP(L221,L221,1,FALSE),FALSE),"-")</f>
        <v>-</v>
      </c>
      <c r="O221" s="45" t="s">
        <v>58</v>
      </c>
      <c r="P221" s="46">
        <v>40</v>
      </c>
      <c r="Q221" s="47">
        <f t="shared" si="0"/>
        <v>2.9039999999999999</v>
      </c>
      <c r="R221" s="48"/>
      <c r="S221" s="48"/>
      <c r="T221" s="49"/>
      <c r="U221" s="61"/>
      <c r="V221" s="50">
        <v>1.8</v>
      </c>
      <c r="W221" s="50">
        <v>1.7</v>
      </c>
      <c r="X221" s="53"/>
      <c r="Y221" s="52"/>
      <c r="Z221" s="52"/>
      <c r="AA221" s="52"/>
      <c r="AB221" s="52"/>
      <c r="AC221" s="52"/>
      <c r="AD221" s="52"/>
      <c r="AE221" s="52"/>
      <c r="AF221" s="52"/>
      <c r="AG221" s="53"/>
      <c r="AH221" s="54"/>
      <c r="AI221" s="55"/>
      <c r="AJ221" s="56"/>
      <c r="AK221" s="57"/>
      <c r="AL221" s="57" t="s">
        <v>100</v>
      </c>
    </row>
    <row r="222" spans="1:38" ht="31.95" customHeight="1" x14ac:dyDescent="0.3">
      <c r="A222" s="66">
        <v>44075</v>
      </c>
      <c r="B222" s="195">
        <v>0.6086921296296296</v>
      </c>
      <c r="C222" s="39"/>
      <c r="D222" s="39">
        <f>IF(I222=Categories!$E$4,VLOOKUP(H222,Categories!$A$4:$C$15,3,FALSE),VLOOKUP(I222,Categories!$E$4:$G$27,3,FALSE))</f>
        <v>60</v>
      </c>
      <c r="E222" s="39"/>
      <c r="F222" s="39"/>
      <c r="G222" s="40">
        <v>23</v>
      </c>
      <c r="H222" s="41" t="s">
        <v>66</v>
      </c>
      <c r="I222" s="59" t="s">
        <v>97</v>
      </c>
      <c r="J222" s="42"/>
      <c r="K222" s="60">
        <v>2200</v>
      </c>
      <c r="L222" s="43" t="s">
        <v>58</v>
      </c>
      <c r="M222" s="44" t="str">
        <f>IFERROR(VLOOKUP(VLOOKUP(O222,O222,1,1),Categories!$K$4:$V$17,2+VLOOKUP(L222,L222,1,FALSE),FALSE),"-"  )</f>
        <v>-</v>
      </c>
      <c r="N222" s="44" t="str">
        <f>IFERROR(VLOOKUP(VLOOKUP(O222,O222,1,1),Categories!$K$3:$V$17,7+VLOOKUP(L222,L222,1,FALSE),FALSE),"-")</f>
        <v>-</v>
      </c>
      <c r="O222" s="45" t="s">
        <v>58</v>
      </c>
      <c r="P222" s="71">
        <v>60</v>
      </c>
      <c r="Q222" s="47">
        <f t="shared" si="0"/>
        <v>1.9359999999999999</v>
      </c>
      <c r="R222" s="48"/>
      <c r="S222" s="48"/>
      <c r="T222" s="49"/>
      <c r="U222" s="61"/>
      <c r="V222" s="50"/>
      <c r="W222" s="50"/>
      <c r="X222" s="53"/>
      <c r="Y222" s="52"/>
      <c r="Z222" s="52"/>
      <c r="AA222" s="52"/>
      <c r="AB222" s="52"/>
      <c r="AC222" s="52"/>
      <c r="AD222" s="52"/>
      <c r="AE222" s="52"/>
      <c r="AF222" s="52"/>
      <c r="AG222" s="53"/>
      <c r="AH222" s="54"/>
      <c r="AI222" s="55"/>
      <c r="AJ222" s="56"/>
      <c r="AK222" s="57"/>
      <c r="AL222" s="57" t="s">
        <v>98</v>
      </c>
    </row>
    <row r="223" spans="1:38" ht="31.95" customHeight="1" x14ac:dyDescent="0.3">
      <c r="A223" s="66">
        <v>44075</v>
      </c>
      <c r="B223" s="195">
        <v>0.60942129629629627</v>
      </c>
      <c r="C223" s="39"/>
      <c r="D223" s="39">
        <f>IF(I223=Categories!$E$4,VLOOKUP(H223,Categories!$A$4:$C$15,3,FALSE),VLOOKUP(I223,Categories!$E$4:$G$27,3,FALSE))</f>
        <v>120</v>
      </c>
      <c r="E223" s="39"/>
      <c r="F223" s="39"/>
      <c r="G223" s="40">
        <v>23</v>
      </c>
      <c r="H223" s="41" t="s">
        <v>62</v>
      </c>
      <c r="I223" s="68" t="s">
        <v>58</v>
      </c>
      <c r="J223" s="42"/>
      <c r="K223" s="60">
        <v>2200</v>
      </c>
      <c r="L223" s="43" t="s">
        <v>58</v>
      </c>
      <c r="M223" s="44" t="str">
        <f>IFERROR(VLOOKUP(VLOOKUP(O223,O223,1,1),Categories!$K$4:$V$17,2+VLOOKUP(L223,L223,1,FALSE),FALSE),"-"  )</f>
        <v>-</v>
      </c>
      <c r="N223" s="44" t="str">
        <f>IFERROR(VLOOKUP(VLOOKUP(O223,O223,1,1),Categories!$K$3:$V$17,7+VLOOKUP(L223,L223,1,FALSE),FALSE),"-")</f>
        <v>-</v>
      </c>
      <c r="O223" s="45" t="s">
        <v>58</v>
      </c>
      <c r="P223" s="46">
        <v>60</v>
      </c>
      <c r="Q223" s="47">
        <f t="shared" si="0"/>
        <v>1.9359999999999999</v>
      </c>
      <c r="R223" s="48"/>
      <c r="S223" s="48"/>
      <c r="T223" s="49"/>
      <c r="U223" s="61"/>
      <c r="V223" s="50">
        <v>1</v>
      </c>
      <c r="W223" s="50">
        <v>1.5</v>
      </c>
      <c r="X223" s="53"/>
      <c r="Y223" s="52"/>
      <c r="Z223" s="52"/>
      <c r="AA223" s="52"/>
      <c r="AB223" s="52"/>
      <c r="AC223" s="52"/>
      <c r="AD223" s="52"/>
      <c r="AE223" s="52"/>
      <c r="AF223" s="52"/>
      <c r="AG223" s="53"/>
      <c r="AH223" s="54"/>
      <c r="AI223" s="55"/>
      <c r="AJ223" s="56"/>
      <c r="AK223" s="57"/>
      <c r="AL223" s="57" t="s">
        <v>101</v>
      </c>
    </row>
    <row r="224" spans="1:38" ht="31.95" customHeight="1" x14ac:dyDescent="0.3">
      <c r="A224" s="66">
        <v>44075</v>
      </c>
      <c r="B224" s="195">
        <v>0.61090277777777779</v>
      </c>
      <c r="C224" s="39"/>
      <c r="D224" s="39">
        <f>IF(I224=Categories!$E$4,VLOOKUP(H224,Categories!$A$4:$C$15,3,FALSE),VLOOKUP(I224,Categories!$E$4:$G$27,3,FALSE))</f>
        <v>60</v>
      </c>
      <c r="E224" s="39"/>
      <c r="F224" s="39"/>
      <c r="G224" s="40">
        <v>23</v>
      </c>
      <c r="H224" s="41" t="s">
        <v>66</v>
      </c>
      <c r="I224" s="59" t="s">
        <v>97</v>
      </c>
      <c r="J224" s="42"/>
      <c r="K224" s="60">
        <v>2200</v>
      </c>
      <c r="L224" s="43" t="s">
        <v>58</v>
      </c>
      <c r="M224" s="44" t="str">
        <f>IFERROR(VLOOKUP(VLOOKUP(O224,O224,1,1),Categories!$K$4:$V$17,2+VLOOKUP(L224,L224,1,FALSE),FALSE),"-"  )</f>
        <v>-</v>
      </c>
      <c r="N224" s="44" t="str">
        <f>IFERROR(VLOOKUP(VLOOKUP(O224,O224,1,1),Categories!$K$3:$V$17,7+VLOOKUP(L224,L224,1,FALSE),FALSE),"-")</f>
        <v>-</v>
      </c>
      <c r="O224" s="45" t="s">
        <v>58</v>
      </c>
      <c r="P224" s="71">
        <v>80</v>
      </c>
      <c r="Q224" s="47">
        <f t="shared" si="0"/>
        <v>0.96799999999999975</v>
      </c>
      <c r="R224" s="48"/>
      <c r="S224" s="48"/>
      <c r="T224" s="49"/>
      <c r="U224" s="61"/>
      <c r="V224" s="50"/>
      <c r="W224" s="50"/>
      <c r="X224" s="53"/>
      <c r="Y224" s="52"/>
      <c r="Z224" s="52"/>
      <c r="AA224" s="52"/>
      <c r="AB224" s="52"/>
      <c r="AC224" s="52"/>
      <c r="AD224" s="52"/>
      <c r="AE224" s="52"/>
      <c r="AF224" s="52"/>
      <c r="AG224" s="53"/>
      <c r="AH224" s="54"/>
      <c r="AI224" s="55"/>
      <c r="AJ224" s="56"/>
      <c r="AK224" s="57"/>
      <c r="AL224" s="57" t="s">
        <v>98</v>
      </c>
    </row>
    <row r="225" spans="1:38" ht="31.95" customHeight="1" x14ac:dyDescent="0.3">
      <c r="A225" s="66">
        <v>44075</v>
      </c>
      <c r="B225" s="195">
        <v>0.61160879629629628</v>
      </c>
      <c r="C225" s="39"/>
      <c r="D225" s="39">
        <f>IF(I225=Categories!$E$4,VLOOKUP(H225,Categories!$A$4:$C$15,3,FALSE),VLOOKUP(I225,Categories!$E$4:$G$27,3,FALSE))</f>
        <v>120</v>
      </c>
      <c r="E225" s="39"/>
      <c r="F225" s="39"/>
      <c r="G225" s="40">
        <v>23</v>
      </c>
      <c r="H225" s="41" t="s">
        <v>62</v>
      </c>
      <c r="I225" s="68" t="s">
        <v>58</v>
      </c>
      <c r="J225" s="42"/>
      <c r="K225" s="60">
        <v>2200</v>
      </c>
      <c r="L225" s="43" t="s">
        <v>58</v>
      </c>
      <c r="M225" s="44" t="str">
        <f>IFERROR(VLOOKUP(VLOOKUP(O225,O225,1,1),Categories!$K$4:$V$17,2+VLOOKUP(L225,L225,1,FALSE),FALSE),"-"  )</f>
        <v>-</v>
      </c>
      <c r="N225" s="44" t="str">
        <f>IFERROR(VLOOKUP(VLOOKUP(O225,O225,1,1),Categories!$K$3:$V$17,7+VLOOKUP(L225,L225,1,FALSE),FALSE),"-")</f>
        <v>-</v>
      </c>
      <c r="O225" s="45" t="s">
        <v>58</v>
      </c>
      <c r="P225" s="46">
        <v>80</v>
      </c>
      <c r="Q225" s="47">
        <f t="shared" si="0"/>
        <v>0.96799999999999975</v>
      </c>
      <c r="R225" s="48"/>
      <c r="S225" s="48"/>
      <c r="T225" s="49"/>
      <c r="U225" s="61"/>
      <c r="V225" s="50">
        <v>0.2</v>
      </c>
      <c r="W225" s="50">
        <v>1.2</v>
      </c>
      <c r="X225" s="53"/>
      <c r="Y225" s="52"/>
      <c r="Z225" s="52"/>
      <c r="AA225" s="52"/>
      <c r="AB225" s="52"/>
      <c r="AC225" s="52"/>
      <c r="AD225" s="52"/>
      <c r="AE225" s="52"/>
      <c r="AF225" s="52"/>
      <c r="AG225" s="53"/>
      <c r="AH225" s="54"/>
      <c r="AI225" s="55"/>
      <c r="AJ225" s="56" t="s">
        <v>361</v>
      </c>
      <c r="AK225" s="57"/>
      <c r="AL225" s="57" t="s">
        <v>102</v>
      </c>
    </row>
    <row r="226" spans="1:38" ht="31.95" customHeight="1" x14ac:dyDescent="0.3">
      <c r="A226" s="37">
        <v>44075</v>
      </c>
      <c r="B226" s="194">
        <v>0.61314814814814811</v>
      </c>
      <c r="C226" s="39"/>
      <c r="D226" s="39"/>
      <c r="E226" s="39"/>
      <c r="F226" s="39"/>
      <c r="G226" s="40" t="s">
        <v>58</v>
      </c>
      <c r="H226" s="41" t="s">
        <v>66</v>
      </c>
      <c r="I226" s="59" t="s">
        <v>67</v>
      </c>
      <c r="J226" s="42"/>
      <c r="K226" s="60">
        <v>2500</v>
      </c>
      <c r="L226" s="43" t="s">
        <v>58</v>
      </c>
      <c r="M226" s="44" t="str">
        <f>IFERROR(VLOOKUP(VLOOKUP(O226,O226,1,1),Categories!$K$4:$V$17,2+VLOOKUP(L226,L226,1,FALSE),FALSE),"-"  )</f>
        <v>-</v>
      </c>
      <c r="N226" s="44" t="str">
        <f>IFERROR(VLOOKUP(VLOOKUP(O226,O226,1,1),Categories!$K$3:$V$17,7+VLOOKUP(L226,L226,1,FALSE),FALSE),"-")</f>
        <v>-</v>
      </c>
      <c r="O226" s="45" t="s">
        <v>58</v>
      </c>
      <c r="P226" s="46" t="s">
        <v>58</v>
      </c>
      <c r="Q226" s="47" t="s">
        <v>58</v>
      </c>
      <c r="R226" s="61"/>
      <c r="S226" s="61"/>
      <c r="T226" s="62"/>
      <c r="U226" s="61"/>
      <c r="V226" s="63"/>
      <c r="W226" s="63"/>
      <c r="X226" s="51"/>
      <c r="Y226" s="64"/>
      <c r="Z226" s="64"/>
      <c r="AA226" s="64"/>
      <c r="AB226" s="64"/>
      <c r="AC226" s="64"/>
      <c r="AD226" s="64"/>
      <c r="AE226" s="64"/>
      <c r="AF226" s="64"/>
      <c r="AG226" s="51"/>
      <c r="AH226" s="65"/>
      <c r="AI226" s="55"/>
      <c r="AJ226" s="57"/>
      <c r="AK226" s="57"/>
      <c r="AL226" s="57"/>
    </row>
    <row r="227" spans="1:38" ht="31.95" customHeight="1" x14ac:dyDescent="0.3">
      <c r="A227" s="37">
        <v>44075</v>
      </c>
      <c r="B227" s="194">
        <v>0.61428240740740747</v>
      </c>
      <c r="C227" s="39"/>
      <c r="D227" s="39">
        <f>IF(I227=Categories!$E$4,VLOOKUP(H227,Categories!$A$4:$C$15,3,FALSE),VLOOKUP(I227,Categories!$E$4:$G$27,3,FALSE))</f>
        <v>60</v>
      </c>
      <c r="E227" s="39"/>
      <c r="F227" s="39"/>
      <c r="G227" s="40" t="s">
        <v>58</v>
      </c>
      <c r="H227" s="41" t="s">
        <v>66</v>
      </c>
      <c r="I227" s="59" t="s">
        <v>97</v>
      </c>
      <c r="J227" s="42"/>
      <c r="K227" s="60">
        <v>2500</v>
      </c>
      <c r="L227" s="43" t="s">
        <v>58</v>
      </c>
      <c r="M227" s="44" t="str">
        <f>IFERROR(VLOOKUP(VLOOKUP(O227,O227,1,1),Categories!$K$4:$V$17,2+VLOOKUP(L227,L227,1,FALSE),FALSE),"-"  )</f>
        <v>-</v>
      </c>
      <c r="N227" s="44" t="str">
        <f>IFERROR(VLOOKUP(VLOOKUP(O227,O227,1,1),Categories!$K$3:$V$17,7+VLOOKUP(L227,L227,1,FALSE),FALSE),"-")</f>
        <v>-</v>
      </c>
      <c r="O227" s="45" t="s">
        <v>58</v>
      </c>
      <c r="P227" s="71">
        <v>20</v>
      </c>
      <c r="Q227" s="47">
        <f t="shared" ref="Q227:Q234" si="1">$X$215*(1-$P227/100)</f>
        <v>4.4479999999999995</v>
      </c>
      <c r="R227" s="61"/>
      <c r="S227" s="61"/>
      <c r="T227" s="62"/>
      <c r="U227" s="61"/>
      <c r="V227" s="63"/>
      <c r="W227" s="63"/>
      <c r="X227" s="51"/>
      <c r="Y227" s="64"/>
      <c r="Z227" s="64"/>
      <c r="AA227" s="64"/>
      <c r="AB227" s="64"/>
      <c r="AC227" s="64"/>
      <c r="AD227" s="64"/>
      <c r="AE227" s="64"/>
      <c r="AF227" s="64"/>
      <c r="AG227" s="51"/>
      <c r="AH227" s="65"/>
      <c r="AI227" s="55" t="s">
        <v>63</v>
      </c>
      <c r="AJ227" s="57" t="s">
        <v>362</v>
      </c>
      <c r="AK227" s="57"/>
      <c r="AL227" s="57"/>
    </row>
    <row r="228" spans="1:38" ht="31.95" customHeight="1" x14ac:dyDescent="0.3">
      <c r="A228" s="66">
        <v>44075</v>
      </c>
      <c r="B228" s="195">
        <v>0.6149189814814815</v>
      </c>
      <c r="C228" s="39"/>
      <c r="D228" s="39">
        <f>IF(I228=Categories!$E$4,VLOOKUP(H228,Categories!$A$4:$C$15,3,FALSE),VLOOKUP(I228,Categories!$E$4:$G$27,3,FALSE))</f>
        <v>120</v>
      </c>
      <c r="E228" s="39"/>
      <c r="F228" s="39"/>
      <c r="G228" s="40">
        <v>24</v>
      </c>
      <c r="H228" s="41" t="s">
        <v>62</v>
      </c>
      <c r="I228" s="68" t="s">
        <v>58</v>
      </c>
      <c r="J228" s="42"/>
      <c r="K228" s="60">
        <v>2500</v>
      </c>
      <c r="L228" s="43" t="s">
        <v>58</v>
      </c>
      <c r="M228" s="44" t="str">
        <f>IFERROR(VLOOKUP(VLOOKUP(O228,O228,1,1),Categories!$K$4:$V$17,2+VLOOKUP(L228,L228,1,FALSE),FALSE),"-"  )</f>
        <v>-</v>
      </c>
      <c r="N228" s="44" t="str">
        <f>IFERROR(VLOOKUP(VLOOKUP(O228,O228,1,1),Categories!$K$3:$V$17,7+VLOOKUP(L228,L228,1,FALSE),FALSE),"-")</f>
        <v>-</v>
      </c>
      <c r="O228" s="45" t="s">
        <v>58</v>
      </c>
      <c r="P228" s="46">
        <v>20</v>
      </c>
      <c r="Q228" s="47">
        <f t="shared" si="1"/>
        <v>4.4479999999999995</v>
      </c>
      <c r="R228" s="48"/>
      <c r="S228" s="48"/>
      <c r="T228" s="49"/>
      <c r="U228" s="61"/>
      <c r="V228" s="50">
        <v>3.1</v>
      </c>
      <c r="W228" s="50">
        <v>2.7</v>
      </c>
      <c r="X228" s="53"/>
      <c r="Y228" s="52"/>
      <c r="Z228" s="52"/>
      <c r="AA228" s="52"/>
      <c r="AB228" s="52"/>
      <c r="AC228" s="52"/>
      <c r="AD228" s="52"/>
      <c r="AE228" s="52"/>
      <c r="AF228" s="52"/>
      <c r="AG228" s="53"/>
      <c r="AH228" s="54"/>
      <c r="AI228" s="55"/>
      <c r="AJ228" s="56"/>
      <c r="AK228" s="57"/>
      <c r="AL228" s="57"/>
    </row>
    <row r="229" spans="1:38" ht="31.95" customHeight="1" x14ac:dyDescent="0.3">
      <c r="A229" s="66">
        <v>44075</v>
      </c>
      <c r="B229" s="195">
        <v>0.61643518518518514</v>
      </c>
      <c r="C229" s="39"/>
      <c r="D229" s="39">
        <f>IF(I229=Categories!$E$4,VLOOKUP(H229,Categories!$A$4:$C$15,3,FALSE),VLOOKUP(I229,Categories!$E$4:$G$27,3,FALSE))</f>
        <v>60</v>
      </c>
      <c r="E229" s="39"/>
      <c r="F229" s="39"/>
      <c r="G229" s="40">
        <v>24</v>
      </c>
      <c r="H229" s="41" t="s">
        <v>66</v>
      </c>
      <c r="I229" s="59" t="s">
        <v>97</v>
      </c>
      <c r="J229" s="42"/>
      <c r="K229" s="60">
        <v>2500</v>
      </c>
      <c r="L229" s="43" t="s">
        <v>58</v>
      </c>
      <c r="M229" s="44" t="str">
        <f>IFERROR(VLOOKUP(VLOOKUP(O229,O229,1,1),Categories!$K$4:$V$17,2+VLOOKUP(L229,L229,1,FALSE),FALSE),"-"  )</f>
        <v>-</v>
      </c>
      <c r="N229" s="44" t="str">
        <f>IFERROR(VLOOKUP(VLOOKUP(O229,O229,1,1),Categories!$K$3:$V$17,7+VLOOKUP(L229,L229,1,FALSE),FALSE),"-")</f>
        <v>-</v>
      </c>
      <c r="O229" s="45" t="s">
        <v>58</v>
      </c>
      <c r="P229" s="71">
        <v>40</v>
      </c>
      <c r="Q229" s="47">
        <f t="shared" si="1"/>
        <v>3.3359999999999999</v>
      </c>
      <c r="R229" s="48"/>
      <c r="S229" s="48"/>
      <c r="T229" s="49"/>
      <c r="U229" s="61"/>
      <c r="V229" s="50"/>
      <c r="W229" s="50"/>
      <c r="X229" s="53"/>
      <c r="Y229" s="52"/>
      <c r="Z229" s="52"/>
      <c r="AA229" s="52"/>
      <c r="AB229" s="52"/>
      <c r="AC229" s="52"/>
      <c r="AD229" s="52"/>
      <c r="AE229" s="52"/>
      <c r="AF229" s="52"/>
      <c r="AG229" s="53"/>
      <c r="AH229" s="54"/>
      <c r="AI229" s="55"/>
      <c r="AJ229" s="56"/>
      <c r="AK229" s="57"/>
      <c r="AL229" s="57"/>
    </row>
    <row r="230" spans="1:38" ht="31.95" customHeight="1" x14ac:dyDescent="0.3">
      <c r="A230" s="66">
        <v>44075</v>
      </c>
      <c r="B230" s="195">
        <v>0.6171875</v>
      </c>
      <c r="C230" s="39"/>
      <c r="D230" s="39">
        <f>IF(I230=Categories!$E$4,VLOOKUP(H230,Categories!$A$4:$C$15,3,FALSE),VLOOKUP(I230,Categories!$E$4:$G$27,3,FALSE))</f>
        <v>120</v>
      </c>
      <c r="E230" s="39"/>
      <c r="F230" s="39"/>
      <c r="G230" s="40">
        <v>24</v>
      </c>
      <c r="H230" s="41" t="s">
        <v>62</v>
      </c>
      <c r="I230" s="68" t="s">
        <v>58</v>
      </c>
      <c r="J230" s="42"/>
      <c r="K230" s="60">
        <v>2500</v>
      </c>
      <c r="L230" s="43" t="s">
        <v>58</v>
      </c>
      <c r="M230" s="44" t="str">
        <f>IFERROR(VLOOKUP(VLOOKUP(O230,O230,1,1),Categories!$K$4:$V$17,2+VLOOKUP(L230,L230,1,FALSE),FALSE),"-"  )</f>
        <v>-</v>
      </c>
      <c r="N230" s="44" t="str">
        <f>IFERROR(VLOOKUP(VLOOKUP(O230,O230,1,1),Categories!$K$3:$V$17,7+VLOOKUP(L230,L230,1,FALSE),FALSE),"-")</f>
        <v>-</v>
      </c>
      <c r="O230" s="45" t="s">
        <v>58</v>
      </c>
      <c r="P230" s="46">
        <v>40</v>
      </c>
      <c r="Q230" s="47">
        <f t="shared" si="1"/>
        <v>3.3359999999999999</v>
      </c>
      <c r="R230" s="48"/>
      <c r="S230" s="48"/>
      <c r="T230" s="49"/>
      <c r="U230" s="61"/>
      <c r="V230" s="50">
        <v>2.1</v>
      </c>
      <c r="W230" s="50">
        <v>2.4</v>
      </c>
      <c r="X230" s="53"/>
      <c r="Y230" s="52"/>
      <c r="Z230" s="52"/>
      <c r="AA230" s="52"/>
      <c r="AB230" s="52"/>
      <c r="AC230" s="52"/>
      <c r="AD230" s="52"/>
      <c r="AE230" s="52"/>
      <c r="AF230" s="52"/>
      <c r="AG230" s="53"/>
      <c r="AH230" s="54"/>
      <c r="AI230" s="55"/>
      <c r="AJ230" s="56"/>
      <c r="AK230" s="57"/>
      <c r="AL230" s="57"/>
    </row>
    <row r="231" spans="1:38" ht="31.95" customHeight="1" x14ac:dyDescent="0.3">
      <c r="A231" s="66">
        <v>44075</v>
      </c>
      <c r="B231" s="195">
        <v>0.61861111111111111</v>
      </c>
      <c r="C231" s="39"/>
      <c r="D231" s="39">
        <f>IF(I231=Categories!$E$4,VLOOKUP(H231,Categories!$A$4:$C$15,3,FALSE),VLOOKUP(I231,Categories!$E$4:$G$27,3,FALSE))</f>
        <v>60</v>
      </c>
      <c r="E231" s="39"/>
      <c r="F231" s="39"/>
      <c r="G231" s="40">
        <v>24</v>
      </c>
      <c r="H231" s="41" t="s">
        <v>66</v>
      </c>
      <c r="I231" s="59" t="s">
        <v>97</v>
      </c>
      <c r="J231" s="42"/>
      <c r="K231" s="60">
        <v>2500</v>
      </c>
      <c r="L231" s="43" t="s">
        <v>58</v>
      </c>
      <c r="M231" s="44" t="str">
        <f>IFERROR(VLOOKUP(VLOOKUP(O231,O231,1,1),Categories!$K$4:$V$17,2+VLOOKUP(L231,L231,1,FALSE),FALSE),"-"  )</f>
        <v>-</v>
      </c>
      <c r="N231" s="44" t="str">
        <f>IFERROR(VLOOKUP(VLOOKUP(O231,O231,1,1),Categories!$K$3:$V$17,7+VLOOKUP(L231,L231,1,FALSE),FALSE),"-")</f>
        <v>-</v>
      </c>
      <c r="O231" s="45" t="s">
        <v>58</v>
      </c>
      <c r="P231" s="71">
        <v>60</v>
      </c>
      <c r="Q231" s="47">
        <f t="shared" si="1"/>
        <v>2.2239999999999998</v>
      </c>
      <c r="R231" s="48"/>
      <c r="S231" s="48"/>
      <c r="T231" s="49"/>
      <c r="U231" s="61"/>
      <c r="V231" s="50"/>
      <c r="W231" s="50"/>
      <c r="X231" s="53"/>
      <c r="Y231" s="52"/>
      <c r="Z231" s="52"/>
      <c r="AA231" s="52"/>
      <c r="AB231" s="52"/>
      <c r="AC231" s="52"/>
      <c r="AD231" s="52"/>
      <c r="AE231" s="52"/>
      <c r="AF231" s="52"/>
      <c r="AG231" s="53"/>
      <c r="AH231" s="54"/>
      <c r="AI231" s="55"/>
      <c r="AJ231" s="56"/>
      <c r="AK231" s="57"/>
      <c r="AL231" s="57"/>
    </row>
    <row r="232" spans="1:38" ht="31.95" customHeight="1" x14ac:dyDescent="0.3">
      <c r="A232" s="66">
        <v>44075</v>
      </c>
      <c r="B232" s="195">
        <v>0.61958333333333326</v>
      </c>
      <c r="C232" s="39"/>
      <c r="D232" s="39">
        <f>IF(I232=Categories!$E$4,VLOOKUP(H232,Categories!$A$4:$C$15,3,FALSE),VLOOKUP(I232,Categories!$E$4:$G$27,3,FALSE))</f>
        <v>120</v>
      </c>
      <c r="E232" s="39"/>
      <c r="F232" s="39"/>
      <c r="G232" s="40">
        <v>24</v>
      </c>
      <c r="H232" s="41" t="s">
        <v>62</v>
      </c>
      <c r="I232" s="68" t="s">
        <v>58</v>
      </c>
      <c r="J232" s="42"/>
      <c r="K232" s="60">
        <v>2500</v>
      </c>
      <c r="L232" s="43" t="s">
        <v>58</v>
      </c>
      <c r="M232" s="44" t="str">
        <f>IFERROR(VLOOKUP(VLOOKUP(O232,O232,1,1),Categories!$K$4:$V$17,2+VLOOKUP(L232,L232,1,FALSE),FALSE),"-"  )</f>
        <v>-</v>
      </c>
      <c r="N232" s="44" t="str">
        <f>IFERROR(VLOOKUP(VLOOKUP(O232,O232,1,1),Categories!$K$3:$V$17,7+VLOOKUP(L232,L232,1,FALSE),FALSE),"-")</f>
        <v>-</v>
      </c>
      <c r="O232" s="45" t="s">
        <v>58</v>
      </c>
      <c r="P232" s="46">
        <v>60</v>
      </c>
      <c r="Q232" s="47">
        <f t="shared" si="1"/>
        <v>2.2239999999999998</v>
      </c>
      <c r="R232" s="48"/>
      <c r="S232" s="48"/>
      <c r="T232" s="49"/>
      <c r="U232" s="61"/>
      <c r="V232" s="50">
        <v>1.2</v>
      </c>
      <c r="W232" s="50">
        <v>2</v>
      </c>
      <c r="X232" s="53"/>
      <c r="Y232" s="52"/>
      <c r="Z232" s="52"/>
      <c r="AA232" s="52"/>
      <c r="AB232" s="52"/>
      <c r="AC232" s="52"/>
      <c r="AD232" s="52"/>
      <c r="AE232" s="52"/>
      <c r="AF232" s="52"/>
      <c r="AG232" s="53"/>
      <c r="AH232" s="54"/>
      <c r="AI232" s="55"/>
      <c r="AJ232" s="56"/>
      <c r="AK232" s="57"/>
      <c r="AL232" s="57"/>
    </row>
    <row r="233" spans="1:38" ht="31.95" customHeight="1" x14ac:dyDescent="0.3">
      <c r="A233" s="66">
        <v>44075</v>
      </c>
      <c r="B233" s="195">
        <v>0.62101851851851853</v>
      </c>
      <c r="C233" s="39"/>
      <c r="D233" s="39">
        <f>IF(I233=Categories!$E$4,VLOOKUP(H233,Categories!$A$4:$C$15,3,FALSE),VLOOKUP(I233,Categories!$E$4:$G$27,3,FALSE))</f>
        <v>60</v>
      </c>
      <c r="E233" s="39"/>
      <c r="F233" s="39"/>
      <c r="G233" s="40">
        <v>24</v>
      </c>
      <c r="H233" s="41" t="s">
        <v>66</v>
      </c>
      <c r="I233" s="59" t="s">
        <v>97</v>
      </c>
      <c r="J233" s="42"/>
      <c r="K233" s="60">
        <v>2500</v>
      </c>
      <c r="L233" s="43" t="s">
        <v>58</v>
      </c>
      <c r="M233" s="44" t="str">
        <f>IFERROR(VLOOKUP(VLOOKUP(O233,O233,1,1),Categories!$K$4:$V$17,2+VLOOKUP(L233,L233,1,FALSE),FALSE),"-"  )</f>
        <v>-</v>
      </c>
      <c r="N233" s="44" t="str">
        <f>IFERROR(VLOOKUP(VLOOKUP(O233,O233,1,1),Categories!$K$3:$V$17,7+VLOOKUP(L233,L233,1,FALSE),FALSE),"-")</f>
        <v>-</v>
      </c>
      <c r="O233" s="45" t="s">
        <v>58</v>
      </c>
      <c r="P233" s="71">
        <v>80</v>
      </c>
      <c r="Q233" s="47">
        <f t="shared" si="1"/>
        <v>1.1119999999999997</v>
      </c>
      <c r="R233" s="48"/>
      <c r="S233" s="48"/>
      <c r="T233" s="49"/>
      <c r="U233" s="61"/>
      <c r="V233" s="50"/>
      <c r="W233" s="50"/>
      <c r="X233" s="53"/>
      <c r="Y233" s="52"/>
      <c r="Z233" s="52"/>
      <c r="AA233" s="52"/>
      <c r="AB233" s="52"/>
      <c r="AC233" s="52"/>
      <c r="AD233" s="52"/>
      <c r="AE233" s="52"/>
      <c r="AF233" s="52"/>
      <c r="AG233" s="53"/>
      <c r="AH233" s="54"/>
      <c r="AI233" s="55"/>
      <c r="AJ233" s="56"/>
      <c r="AK233" s="57"/>
      <c r="AL233" s="57"/>
    </row>
    <row r="234" spans="1:38" ht="31.95" customHeight="1" x14ac:dyDescent="0.3">
      <c r="A234" s="66">
        <v>44075</v>
      </c>
      <c r="B234" s="195">
        <v>0.62174768518518519</v>
      </c>
      <c r="C234" s="39"/>
      <c r="D234" s="39">
        <f>IF(I234=Categories!$E$4,VLOOKUP(H234,Categories!$A$4:$C$15,3,FALSE),VLOOKUP(I234,Categories!$E$4:$G$27,3,FALSE))</f>
        <v>120</v>
      </c>
      <c r="E234" s="39"/>
      <c r="F234" s="39"/>
      <c r="G234" s="40">
        <v>24</v>
      </c>
      <c r="H234" s="41" t="s">
        <v>62</v>
      </c>
      <c r="I234" s="68" t="s">
        <v>58</v>
      </c>
      <c r="J234" s="42"/>
      <c r="K234" s="60">
        <v>2500</v>
      </c>
      <c r="L234" s="43" t="s">
        <v>58</v>
      </c>
      <c r="M234" s="44" t="str">
        <f>IFERROR(VLOOKUP(VLOOKUP(O234,O234,1,1),Categories!$K$4:$V$17,2+VLOOKUP(L234,L234,1,FALSE),FALSE),"-"  )</f>
        <v>-</v>
      </c>
      <c r="N234" s="44" t="str">
        <f>IFERROR(VLOOKUP(VLOOKUP(O234,O234,1,1),Categories!$K$3:$V$17,7+VLOOKUP(L234,L234,1,FALSE),FALSE),"-")</f>
        <v>-</v>
      </c>
      <c r="O234" s="45" t="s">
        <v>58</v>
      </c>
      <c r="P234" s="46">
        <v>80</v>
      </c>
      <c r="Q234" s="47">
        <f t="shared" si="1"/>
        <v>1.1119999999999997</v>
      </c>
      <c r="R234" s="48"/>
      <c r="S234" s="48"/>
      <c r="T234" s="49"/>
      <c r="U234" s="61"/>
      <c r="V234" s="50">
        <v>0.4</v>
      </c>
      <c r="W234" s="50">
        <v>1.7</v>
      </c>
      <c r="X234" s="53"/>
      <c r="Y234" s="52"/>
      <c r="Z234" s="52"/>
      <c r="AA234" s="52"/>
      <c r="AB234" s="52"/>
      <c r="AC234" s="52"/>
      <c r="AD234" s="52"/>
      <c r="AE234" s="52"/>
      <c r="AF234" s="52"/>
      <c r="AG234" s="53"/>
      <c r="AH234" s="54"/>
      <c r="AI234" s="55"/>
      <c r="AJ234" s="56"/>
      <c r="AK234" s="57"/>
      <c r="AL234" s="57"/>
    </row>
    <row r="235" spans="1:38" ht="31.95" customHeight="1" x14ac:dyDescent="0.3">
      <c r="A235" s="37">
        <v>44075</v>
      </c>
      <c r="B235" s="194">
        <v>0.62318287037037035</v>
      </c>
      <c r="C235" s="39"/>
      <c r="D235" s="39"/>
      <c r="E235" s="39"/>
      <c r="F235" s="39"/>
      <c r="G235" s="40" t="s">
        <v>58</v>
      </c>
      <c r="H235" s="41" t="s">
        <v>66</v>
      </c>
      <c r="I235" s="59" t="s">
        <v>67</v>
      </c>
      <c r="J235" s="42"/>
      <c r="K235" s="60">
        <v>2800</v>
      </c>
      <c r="L235" s="43" t="s">
        <v>58</v>
      </c>
      <c r="M235" s="44" t="str">
        <f>IFERROR(VLOOKUP(VLOOKUP(O235,O235,1,1),Categories!$K$4:$V$17,2+VLOOKUP(L235,L235,1,FALSE),FALSE),"-"  )</f>
        <v>-</v>
      </c>
      <c r="N235" s="44" t="str">
        <f>IFERROR(VLOOKUP(VLOOKUP(O235,O235,1,1),Categories!$K$3:$V$17,7+VLOOKUP(L235,L235,1,FALSE),FALSE),"-")</f>
        <v>-</v>
      </c>
      <c r="O235" s="45" t="s">
        <v>58</v>
      </c>
      <c r="P235" s="46" t="s">
        <v>58</v>
      </c>
      <c r="Q235" s="47" t="s">
        <v>58</v>
      </c>
      <c r="R235" s="61"/>
      <c r="S235" s="61"/>
      <c r="T235" s="62"/>
      <c r="U235" s="61"/>
      <c r="V235" s="63"/>
      <c r="W235" s="63"/>
      <c r="X235" s="51"/>
      <c r="Y235" s="64"/>
      <c r="Z235" s="64"/>
      <c r="AA235" s="64"/>
      <c r="AB235" s="64"/>
      <c r="AC235" s="64"/>
      <c r="AD235" s="64"/>
      <c r="AE235" s="64"/>
      <c r="AF235" s="64"/>
      <c r="AG235" s="51"/>
      <c r="AH235" s="65"/>
      <c r="AI235" s="55"/>
      <c r="AJ235" s="57"/>
      <c r="AK235" s="57"/>
      <c r="AL235" s="57"/>
    </row>
    <row r="236" spans="1:38" ht="31.95" customHeight="1" x14ac:dyDescent="0.3">
      <c r="A236" s="37"/>
      <c r="B236" s="38"/>
      <c r="C236" s="39"/>
      <c r="D236" s="39">
        <f>IF(I236=Categories!$E$4,VLOOKUP(H236,Categories!$A$4:$C$15,3,FALSE),VLOOKUP(I236,Categories!$E$4:$G$27,3,FALSE))</f>
        <v>60</v>
      </c>
      <c r="E236" s="39"/>
      <c r="F236" s="39"/>
      <c r="G236" s="40" t="s">
        <v>58</v>
      </c>
      <c r="H236" s="41" t="s">
        <v>66</v>
      </c>
      <c r="I236" s="59" t="s">
        <v>97</v>
      </c>
      <c r="J236" s="42"/>
      <c r="K236" s="60">
        <v>2800</v>
      </c>
      <c r="L236" s="43" t="s">
        <v>58</v>
      </c>
      <c r="M236" s="44" t="str">
        <f>IFERROR(VLOOKUP(VLOOKUP(O236,O236,1,1),Categories!$K$4:$V$17,2+VLOOKUP(L236,L236,1,FALSE),FALSE),"-"  )</f>
        <v>-</v>
      </c>
      <c r="N236" s="44" t="str">
        <f>IFERROR(VLOOKUP(VLOOKUP(O236,O236,1,1),Categories!$K$3:$V$17,7+VLOOKUP(L236,L236,1,FALSE),FALSE),"-")</f>
        <v>-</v>
      </c>
      <c r="O236" s="45" t="s">
        <v>58</v>
      </c>
      <c r="P236" s="71">
        <v>20</v>
      </c>
      <c r="Q236" s="47">
        <f>$X$213*(1-$P236/100)</f>
        <v>5.032</v>
      </c>
      <c r="R236" s="61"/>
      <c r="S236" s="61"/>
      <c r="T236" s="62"/>
      <c r="U236" s="61"/>
      <c r="V236" s="63"/>
      <c r="W236" s="63"/>
      <c r="X236" s="51"/>
      <c r="Y236" s="64"/>
      <c r="Z236" s="64"/>
      <c r="AA236" s="64"/>
      <c r="AB236" s="64"/>
      <c r="AC236" s="64"/>
      <c r="AD236" s="64"/>
      <c r="AE236" s="64"/>
      <c r="AF236" s="64"/>
      <c r="AG236" s="51"/>
      <c r="AH236" s="65"/>
      <c r="AI236" s="55"/>
      <c r="AJ236" s="57"/>
      <c r="AK236" s="57"/>
      <c r="AL236" s="57"/>
    </row>
    <row r="237" spans="1:38" ht="31.95" customHeight="1" x14ac:dyDescent="0.3">
      <c r="A237" s="66">
        <v>44075</v>
      </c>
      <c r="B237" s="195">
        <v>0.62445601851851851</v>
      </c>
      <c r="C237" s="39"/>
      <c r="D237" s="39">
        <f>IF(I237=Categories!$E$4,VLOOKUP(H237,Categories!$A$4:$C$15,3,FALSE),VLOOKUP(I237,Categories!$E$4:$G$27,3,FALSE))</f>
        <v>120</v>
      </c>
      <c r="E237" s="39"/>
      <c r="F237" s="39"/>
      <c r="G237" s="40">
        <v>25</v>
      </c>
      <c r="H237" s="41" t="s">
        <v>62</v>
      </c>
      <c r="I237" s="68" t="s">
        <v>58</v>
      </c>
      <c r="J237" s="42"/>
      <c r="K237" s="60">
        <v>2800</v>
      </c>
      <c r="L237" s="43" t="s">
        <v>58</v>
      </c>
      <c r="M237" s="44" t="str">
        <f>IFERROR(VLOOKUP(VLOOKUP(O237,O237,1,1),Categories!$K$4:$V$17,2+VLOOKUP(L237,L237,1,FALSE),FALSE),"-"  )</f>
        <v>-</v>
      </c>
      <c r="N237" s="44" t="str">
        <f>IFERROR(VLOOKUP(VLOOKUP(O237,O237,1,1),Categories!$K$3:$V$17,7+VLOOKUP(L237,L237,1,FALSE),FALSE),"-")</f>
        <v>-</v>
      </c>
      <c r="O237" s="45" t="s">
        <v>58</v>
      </c>
      <c r="P237" s="46">
        <v>20</v>
      </c>
      <c r="Q237" s="47">
        <f t="shared" ref="Q237:Q243" si="2">$X$213*(1-$P237/100)</f>
        <v>5.032</v>
      </c>
      <c r="R237" s="48"/>
      <c r="S237" s="48"/>
      <c r="T237" s="49"/>
      <c r="U237" s="61"/>
      <c r="V237" s="50">
        <v>3.4</v>
      </c>
      <c r="W237" s="50">
        <v>3.7</v>
      </c>
      <c r="X237" s="53"/>
      <c r="Y237" s="52"/>
      <c r="Z237" s="52"/>
      <c r="AA237" s="52"/>
      <c r="AB237" s="52"/>
      <c r="AC237" s="52"/>
      <c r="AD237" s="52"/>
      <c r="AE237" s="52"/>
      <c r="AF237" s="52"/>
      <c r="AG237" s="53"/>
      <c r="AH237" s="54"/>
      <c r="AI237" s="55"/>
      <c r="AJ237" s="56"/>
      <c r="AK237" s="57"/>
      <c r="AL237" s="57"/>
    </row>
    <row r="238" spans="1:38" ht="31.95" customHeight="1" x14ac:dyDescent="0.3">
      <c r="A238" s="66">
        <v>44075</v>
      </c>
      <c r="B238" s="195">
        <v>0.6259837962962963</v>
      </c>
      <c r="C238" s="39"/>
      <c r="D238" s="39">
        <f>IF(I238=Categories!$E$4,VLOOKUP(H238,Categories!$A$4:$C$15,3,FALSE),VLOOKUP(I238,Categories!$E$4:$G$27,3,FALSE))</f>
        <v>60</v>
      </c>
      <c r="E238" s="39"/>
      <c r="F238" s="39"/>
      <c r="G238" s="40">
        <v>25</v>
      </c>
      <c r="H238" s="41" t="s">
        <v>66</v>
      </c>
      <c r="I238" s="59" t="s">
        <v>97</v>
      </c>
      <c r="J238" s="42"/>
      <c r="K238" s="60">
        <v>2800</v>
      </c>
      <c r="L238" s="43" t="s">
        <v>58</v>
      </c>
      <c r="M238" s="44" t="str">
        <f>IFERROR(VLOOKUP(VLOOKUP(O238,O238,1,1),Categories!$K$4:$V$17,2+VLOOKUP(L238,L238,1,FALSE),FALSE),"-"  )</f>
        <v>-</v>
      </c>
      <c r="N238" s="44" t="str">
        <f>IFERROR(VLOOKUP(VLOOKUP(O238,O238,1,1),Categories!$K$3:$V$17,7+VLOOKUP(L238,L238,1,FALSE),FALSE),"-")</f>
        <v>-</v>
      </c>
      <c r="O238" s="45" t="s">
        <v>58</v>
      </c>
      <c r="P238" s="71">
        <v>40</v>
      </c>
      <c r="Q238" s="47">
        <f t="shared" si="2"/>
        <v>3.774</v>
      </c>
      <c r="R238" s="48"/>
      <c r="S238" s="48"/>
      <c r="T238" s="49"/>
      <c r="U238" s="61"/>
      <c r="V238" s="50"/>
      <c r="W238" s="50"/>
      <c r="X238" s="53"/>
      <c r="Y238" s="52"/>
      <c r="Z238" s="52"/>
      <c r="AA238" s="52"/>
      <c r="AB238" s="52"/>
      <c r="AC238" s="52"/>
      <c r="AD238" s="52"/>
      <c r="AE238" s="52"/>
      <c r="AF238" s="52"/>
      <c r="AG238" s="53"/>
      <c r="AH238" s="54"/>
      <c r="AI238" s="55"/>
      <c r="AJ238" s="56"/>
      <c r="AK238" s="57"/>
      <c r="AL238" s="57"/>
    </row>
    <row r="239" spans="1:38" ht="31.95" customHeight="1" x14ac:dyDescent="0.3">
      <c r="A239" s="66">
        <v>44075</v>
      </c>
      <c r="B239" s="195">
        <v>0.62679398148148147</v>
      </c>
      <c r="C239" s="39"/>
      <c r="D239" s="39">
        <f>IF(I239=Categories!$E$4,VLOOKUP(H239,Categories!$A$4:$C$15,3,FALSE),VLOOKUP(I239,Categories!$E$4:$G$27,3,FALSE))</f>
        <v>120</v>
      </c>
      <c r="E239" s="39"/>
      <c r="F239" s="39"/>
      <c r="G239" s="40">
        <v>25</v>
      </c>
      <c r="H239" s="41" t="s">
        <v>62</v>
      </c>
      <c r="I239" s="68" t="s">
        <v>58</v>
      </c>
      <c r="J239" s="42"/>
      <c r="K239" s="60">
        <v>2800</v>
      </c>
      <c r="L239" s="43" t="s">
        <v>58</v>
      </c>
      <c r="M239" s="44" t="str">
        <f>IFERROR(VLOOKUP(VLOOKUP(O239,O239,1,1),Categories!$K$4:$V$17,2+VLOOKUP(L239,L239,1,FALSE),FALSE),"-"  )</f>
        <v>-</v>
      </c>
      <c r="N239" s="44" t="str">
        <f>IFERROR(VLOOKUP(VLOOKUP(O239,O239,1,1),Categories!$K$3:$V$17,7+VLOOKUP(L239,L239,1,FALSE),FALSE),"-")</f>
        <v>-</v>
      </c>
      <c r="O239" s="45" t="s">
        <v>58</v>
      </c>
      <c r="P239" s="46">
        <v>40</v>
      </c>
      <c r="Q239" s="47">
        <f t="shared" si="2"/>
        <v>3.774</v>
      </c>
      <c r="R239" s="48"/>
      <c r="S239" s="48"/>
      <c r="T239" s="49"/>
      <c r="U239" s="61"/>
      <c r="V239" s="50">
        <v>2.5</v>
      </c>
      <c r="W239" s="50">
        <v>3.2</v>
      </c>
      <c r="X239" s="53"/>
      <c r="Y239" s="52"/>
      <c r="Z239" s="52"/>
      <c r="AA239" s="52"/>
      <c r="AB239" s="52"/>
      <c r="AC239" s="52"/>
      <c r="AD239" s="52"/>
      <c r="AE239" s="52"/>
      <c r="AF239" s="52"/>
      <c r="AG239" s="53"/>
      <c r="AH239" s="54"/>
      <c r="AI239" s="55"/>
      <c r="AJ239" s="56"/>
      <c r="AK239" s="57"/>
      <c r="AL239" s="57"/>
    </row>
    <row r="240" spans="1:38" ht="31.95" customHeight="1" x14ac:dyDescent="0.3">
      <c r="A240" s="66">
        <v>44075</v>
      </c>
      <c r="B240" s="195">
        <v>0.62839120370370372</v>
      </c>
      <c r="C240" s="39"/>
      <c r="D240" s="39">
        <f>IF(I240=Categories!$E$4,VLOOKUP(H240,Categories!$A$4:$C$15,3,FALSE),VLOOKUP(I240,Categories!$E$4:$G$27,3,FALSE))</f>
        <v>60</v>
      </c>
      <c r="E240" s="39"/>
      <c r="F240" s="39"/>
      <c r="G240" s="40">
        <v>25</v>
      </c>
      <c r="H240" s="41" t="s">
        <v>66</v>
      </c>
      <c r="I240" s="59" t="s">
        <v>97</v>
      </c>
      <c r="J240" s="42"/>
      <c r="K240" s="60">
        <v>2800</v>
      </c>
      <c r="L240" s="43" t="s">
        <v>58</v>
      </c>
      <c r="M240" s="44" t="str">
        <f>IFERROR(VLOOKUP(VLOOKUP(O240,O240,1,1),Categories!$K$4:$V$17,2+VLOOKUP(L240,L240,1,FALSE),FALSE),"-"  )</f>
        <v>-</v>
      </c>
      <c r="N240" s="44" t="str">
        <f>IFERROR(VLOOKUP(VLOOKUP(O240,O240,1,1),Categories!$K$3:$V$17,7+VLOOKUP(L240,L240,1,FALSE),FALSE),"-")</f>
        <v>-</v>
      </c>
      <c r="O240" s="45" t="s">
        <v>58</v>
      </c>
      <c r="P240" s="71">
        <v>60</v>
      </c>
      <c r="Q240" s="47">
        <f t="shared" si="2"/>
        <v>2.516</v>
      </c>
      <c r="R240" s="48"/>
      <c r="S240" s="48"/>
      <c r="T240" s="49"/>
      <c r="U240" s="61"/>
      <c r="V240" s="50"/>
      <c r="W240" s="50"/>
      <c r="X240" s="53"/>
      <c r="Y240" s="52"/>
      <c r="Z240" s="52"/>
      <c r="AA240" s="52"/>
      <c r="AB240" s="52"/>
      <c r="AC240" s="52"/>
      <c r="AD240" s="52"/>
      <c r="AE240" s="52"/>
      <c r="AF240" s="52"/>
      <c r="AG240" s="53"/>
      <c r="AH240" s="54"/>
      <c r="AI240" s="55"/>
      <c r="AJ240" s="56"/>
      <c r="AK240" s="57"/>
      <c r="AL240" s="57"/>
    </row>
    <row r="241" spans="1:38" ht="31.95" customHeight="1" x14ac:dyDescent="0.3">
      <c r="A241" s="66">
        <v>44075</v>
      </c>
      <c r="B241" s="195">
        <v>0.62912037037037039</v>
      </c>
      <c r="C241" s="39"/>
      <c r="D241" s="39">
        <f>IF(I241=Categories!$E$4,VLOOKUP(H241,Categories!$A$4:$C$15,3,FALSE),VLOOKUP(I241,Categories!$E$4:$G$27,3,FALSE))</f>
        <v>120</v>
      </c>
      <c r="E241" s="39"/>
      <c r="F241" s="39"/>
      <c r="G241" s="40">
        <v>25</v>
      </c>
      <c r="H241" s="41" t="s">
        <v>62</v>
      </c>
      <c r="I241" s="68" t="s">
        <v>58</v>
      </c>
      <c r="J241" s="42"/>
      <c r="K241" s="60">
        <v>2800</v>
      </c>
      <c r="L241" s="43" t="s">
        <v>58</v>
      </c>
      <c r="M241" s="44" t="str">
        <f>IFERROR(VLOOKUP(VLOOKUP(O241,O241,1,1),Categories!$K$4:$V$17,2+VLOOKUP(L241,L241,1,FALSE),FALSE),"-"  )</f>
        <v>-</v>
      </c>
      <c r="N241" s="44" t="str">
        <f>IFERROR(VLOOKUP(VLOOKUP(O241,O241,1,1),Categories!$K$3:$V$17,7+VLOOKUP(L241,L241,1,FALSE),FALSE),"-")</f>
        <v>-</v>
      </c>
      <c r="O241" s="45" t="s">
        <v>58</v>
      </c>
      <c r="P241" s="46">
        <v>60</v>
      </c>
      <c r="Q241" s="47">
        <f t="shared" si="2"/>
        <v>2.516</v>
      </c>
      <c r="R241" s="48"/>
      <c r="S241" s="48"/>
      <c r="T241" s="49"/>
      <c r="U241" s="61"/>
      <c r="V241" s="50">
        <v>1.6</v>
      </c>
      <c r="W241" s="50">
        <v>2.7</v>
      </c>
      <c r="X241" s="53"/>
      <c r="Y241" s="52"/>
      <c r="Z241" s="52"/>
      <c r="AA241" s="52"/>
      <c r="AB241" s="52"/>
      <c r="AC241" s="52"/>
      <c r="AD241" s="52"/>
      <c r="AE241" s="52"/>
      <c r="AF241" s="52"/>
      <c r="AG241" s="53"/>
      <c r="AH241" s="54"/>
      <c r="AI241" s="55"/>
      <c r="AJ241" s="56"/>
      <c r="AK241" s="57"/>
      <c r="AL241" s="57"/>
    </row>
    <row r="242" spans="1:38" ht="31.95" customHeight="1" x14ac:dyDescent="0.3">
      <c r="A242" s="66">
        <v>44075</v>
      </c>
      <c r="B242" s="195">
        <v>0.6307638888888889</v>
      </c>
      <c r="C242" s="39"/>
      <c r="D242" s="39">
        <f>IF(I242=Categories!$E$4,VLOOKUP(H242,Categories!$A$4:$C$15,3,FALSE),VLOOKUP(I242,Categories!$E$4:$G$27,3,FALSE))</f>
        <v>60</v>
      </c>
      <c r="E242" s="39"/>
      <c r="F242" s="39"/>
      <c r="G242" s="40">
        <v>25</v>
      </c>
      <c r="H242" s="41" t="s">
        <v>66</v>
      </c>
      <c r="I242" s="59" t="s">
        <v>97</v>
      </c>
      <c r="J242" s="42"/>
      <c r="K242" s="60">
        <v>2800</v>
      </c>
      <c r="L242" s="43" t="s">
        <v>58</v>
      </c>
      <c r="M242" s="44" t="str">
        <f>IFERROR(VLOOKUP(VLOOKUP(O242,O242,1,1),Categories!$K$4:$V$17,2+VLOOKUP(L242,L242,1,FALSE),FALSE),"-"  )</f>
        <v>-</v>
      </c>
      <c r="N242" s="44" t="str">
        <f>IFERROR(VLOOKUP(VLOOKUP(O242,O242,1,1),Categories!$K$3:$V$17,7+VLOOKUP(L242,L242,1,FALSE),FALSE),"-")</f>
        <v>-</v>
      </c>
      <c r="O242" s="45" t="s">
        <v>58</v>
      </c>
      <c r="P242" s="71">
        <v>80</v>
      </c>
      <c r="Q242" s="47">
        <f t="shared" si="2"/>
        <v>1.2579999999999998</v>
      </c>
      <c r="R242" s="48"/>
      <c r="S242" s="48"/>
      <c r="T242" s="49"/>
      <c r="U242" s="61"/>
      <c r="V242" s="50"/>
      <c r="W242" s="50"/>
      <c r="X242" s="53"/>
      <c r="Y242" s="52"/>
      <c r="Z242" s="52"/>
      <c r="AA242" s="52"/>
      <c r="AB242" s="52"/>
      <c r="AC242" s="52"/>
      <c r="AD242" s="52"/>
      <c r="AE242" s="52"/>
      <c r="AF242" s="52"/>
      <c r="AG242" s="53"/>
      <c r="AH242" s="54"/>
      <c r="AI242" s="55"/>
      <c r="AJ242" s="56"/>
      <c r="AK242" s="57"/>
      <c r="AL242" s="57"/>
    </row>
    <row r="243" spans="1:38" ht="31.95" customHeight="1" x14ac:dyDescent="0.3">
      <c r="A243" s="66">
        <v>44075</v>
      </c>
      <c r="B243" s="195">
        <v>0.63159722222222225</v>
      </c>
      <c r="C243" s="39"/>
      <c r="D243" s="39">
        <f>IF(I243=Categories!$E$4,VLOOKUP(H243,Categories!$A$4:$C$15,3,FALSE),VLOOKUP(I243,Categories!$E$4:$G$27,3,FALSE))</f>
        <v>120</v>
      </c>
      <c r="E243" s="39"/>
      <c r="F243" s="39"/>
      <c r="G243" s="40">
        <v>25</v>
      </c>
      <c r="H243" s="41" t="s">
        <v>62</v>
      </c>
      <c r="I243" s="68" t="s">
        <v>58</v>
      </c>
      <c r="J243" s="42"/>
      <c r="K243" s="60">
        <v>2800</v>
      </c>
      <c r="L243" s="43" t="s">
        <v>58</v>
      </c>
      <c r="M243" s="44" t="str">
        <f>IFERROR(VLOOKUP(VLOOKUP(O243,O243,1,1),Categories!$K$4:$V$17,2+VLOOKUP(L243,L243,1,FALSE),FALSE),"-"  )</f>
        <v>-</v>
      </c>
      <c r="N243" s="44" t="str">
        <f>IFERROR(VLOOKUP(VLOOKUP(O243,O243,1,1),Categories!$K$3:$V$17,7+VLOOKUP(L243,L243,1,FALSE),FALSE),"-")</f>
        <v>-</v>
      </c>
      <c r="O243" s="45" t="s">
        <v>58</v>
      </c>
      <c r="P243" s="46">
        <v>80</v>
      </c>
      <c r="Q243" s="47">
        <f t="shared" si="2"/>
        <v>1.2579999999999998</v>
      </c>
      <c r="R243" s="48"/>
      <c r="S243" s="48"/>
      <c r="T243" s="49"/>
      <c r="U243" s="61"/>
      <c r="V243" s="50">
        <v>0.5</v>
      </c>
      <c r="W243" s="50">
        <v>2.2000000000000002</v>
      </c>
      <c r="X243" s="53"/>
      <c r="Y243" s="52"/>
      <c r="Z243" s="52"/>
      <c r="AA243" s="52"/>
      <c r="AB243" s="52"/>
      <c r="AC243" s="52"/>
      <c r="AD243" s="52"/>
      <c r="AE243" s="52"/>
      <c r="AF243" s="52"/>
      <c r="AG243" s="53"/>
      <c r="AH243" s="54"/>
      <c r="AI243" s="55"/>
      <c r="AJ243" s="56"/>
      <c r="AK243" s="57"/>
      <c r="AL243" s="57"/>
    </row>
    <row r="244" spans="1:38" ht="31.95" customHeight="1" x14ac:dyDescent="0.3">
      <c r="A244" s="37">
        <v>44075</v>
      </c>
      <c r="B244" s="194">
        <v>0.63313657407407409</v>
      </c>
      <c r="C244" s="39"/>
      <c r="D244" s="39"/>
      <c r="E244" s="39"/>
      <c r="F244" s="39"/>
      <c r="G244" s="40" t="s">
        <v>58</v>
      </c>
      <c r="H244" s="41" t="s">
        <v>66</v>
      </c>
      <c r="I244" s="59" t="s">
        <v>67</v>
      </c>
      <c r="J244" s="42"/>
      <c r="K244" s="60">
        <v>3100</v>
      </c>
      <c r="L244" s="43" t="s">
        <v>58</v>
      </c>
      <c r="M244" s="44" t="str">
        <f>IFERROR(VLOOKUP(VLOOKUP(O244,O244,1,1),Categories!$K$4:$V$17,2+VLOOKUP(L244,L244,1,FALSE),FALSE),"-"  )</f>
        <v>-</v>
      </c>
      <c r="N244" s="44" t="str">
        <f>IFERROR(VLOOKUP(VLOOKUP(O244,O244,1,1),Categories!$K$3:$V$17,7+VLOOKUP(L244,L244,1,FALSE),FALSE),"-")</f>
        <v>-</v>
      </c>
      <c r="O244" s="45" t="s">
        <v>58</v>
      </c>
      <c r="P244" s="46" t="s">
        <v>58</v>
      </c>
      <c r="Q244" s="47" t="s">
        <v>58</v>
      </c>
      <c r="R244" s="61"/>
      <c r="S244" s="61"/>
      <c r="T244" s="62"/>
      <c r="U244" s="61"/>
      <c r="V244" s="63"/>
      <c r="W244" s="63"/>
      <c r="X244" s="51"/>
      <c r="Y244" s="64"/>
      <c r="Z244" s="64"/>
      <c r="AA244" s="64"/>
      <c r="AB244" s="64"/>
      <c r="AC244" s="64"/>
      <c r="AD244" s="64"/>
      <c r="AE244" s="64"/>
      <c r="AF244" s="64"/>
      <c r="AG244" s="51"/>
      <c r="AH244" s="65"/>
      <c r="AI244" s="55"/>
      <c r="AJ244" s="57"/>
      <c r="AK244" s="57"/>
      <c r="AL244" s="57"/>
    </row>
    <row r="245" spans="1:38" ht="31.95" customHeight="1" x14ac:dyDescent="0.3">
      <c r="A245" s="37">
        <v>44075</v>
      </c>
      <c r="B245" s="194">
        <v>0.63326388888888896</v>
      </c>
      <c r="C245" s="39"/>
      <c r="D245" s="39">
        <f>IF(I245=Categories!$E$4,VLOOKUP(H245,Categories!$A$4:$C$15,3,FALSE),VLOOKUP(I245,Categories!$E$4:$G$27,3,FALSE))</f>
        <v>60</v>
      </c>
      <c r="E245" s="39"/>
      <c r="F245" s="39"/>
      <c r="G245" s="40" t="s">
        <v>58</v>
      </c>
      <c r="H245" s="41" t="s">
        <v>66</v>
      </c>
      <c r="I245" s="59" t="s">
        <v>97</v>
      </c>
      <c r="J245" s="42"/>
      <c r="K245" s="60">
        <v>3100</v>
      </c>
      <c r="L245" s="43" t="s">
        <v>58</v>
      </c>
      <c r="M245" s="44" t="str">
        <f>IFERROR(VLOOKUP(VLOOKUP(O245,O245,1,1),Categories!$K$4:$V$17,2+VLOOKUP(L245,L245,1,FALSE),FALSE),"-"  )</f>
        <v>-</v>
      </c>
      <c r="N245" s="44" t="str">
        <f>IFERROR(VLOOKUP(VLOOKUP(O245,O245,1,1),Categories!$K$3:$V$17,7+VLOOKUP(L245,L245,1,FALSE),FALSE),"-")</f>
        <v>-</v>
      </c>
      <c r="O245" s="45" t="s">
        <v>58</v>
      </c>
      <c r="P245" s="71">
        <v>20</v>
      </c>
      <c r="Q245" s="47">
        <f>$X$211*(1-$P245/100)</f>
        <v>5.6080000000000005</v>
      </c>
      <c r="R245" s="61"/>
      <c r="S245" s="61"/>
      <c r="T245" s="62"/>
      <c r="U245" s="61"/>
      <c r="V245" s="63"/>
      <c r="W245" s="63"/>
      <c r="X245" s="51"/>
      <c r="Y245" s="64"/>
      <c r="Z245" s="64"/>
      <c r="AA245" s="64"/>
      <c r="AB245" s="64"/>
      <c r="AC245" s="64"/>
      <c r="AD245" s="64"/>
      <c r="AE245" s="64"/>
      <c r="AF245" s="64"/>
      <c r="AG245" s="51"/>
      <c r="AH245" s="65"/>
      <c r="AI245" s="55"/>
      <c r="AJ245" s="57"/>
      <c r="AK245" s="57"/>
      <c r="AL245" s="57"/>
    </row>
    <row r="246" spans="1:38" ht="31.95" customHeight="1" x14ac:dyDescent="0.3">
      <c r="A246" s="66">
        <v>44075</v>
      </c>
      <c r="B246" s="195">
        <v>0.63395833333333329</v>
      </c>
      <c r="C246" s="39"/>
      <c r="D246" s="39">
        <f>IF(I246=Categories!$E$4,VLOOKUP(H246,Categories!$A$4:$C$15,3,FALSE),VLOOKUP(I246,Categories!$E$4:$G$27,3,FALSE))</f>
        <v>120</v>
      </c>
      <c r="E246" s="39"/>
      <c r="F246" s="39"/>
      <c r="G246" s="40">
        <v>26</v>
      </c>
      <c r="H246" s="41" t="s">
        <v>62</v>
      </c>
      <c r="I246" s="68" t="s">
        <v>58</v>
      </c>
      <c r="J246" s="42"/>
      <c r="K246" s="60">
        <v>3100</v>
      </c>
      <c r="L246" s="43" t="s">
        <v>58</v>
      </c>
      <c r="M246" s="44" t="str">
        <f>IFERROR(VLOOKUP(VLOOKUP(O246,O246,1,1),Categories!$K$4:$V$17,2+VLOOKUP(L246,L246,1,FALSE),FALSE),"-"  )</f>
        <v>-</v>
      </c>
      <c r="N246" s="44" t="str">
        <f>IFERROR(VLOOKUP(VLOOKUP(O246,O246,1,1),Categories!$K$3:$V$17,7+VLOOKUP(L246,L246,1,FALSE),FALSE),"-")</f>
        <v>-</v>
      </c>
      <c r="O246" s="45" t="s">
        <v>58</v>
      </c>
      <c r="P246" s="46">
        <v>20</v>
      </c>
      <c r="Q246" s="47">
        <f t="shared" ref="Q246:Q253" si="3">$X$211*(1-$P246/100)</f>
        <v>5.6080000000000005</v>
      </c>
      <c r="R246" s="48"/>
      <c r="S246" s="48"/>
      <c r="T246" s="49"/>
      <c r="U246" s="61"/>
      <c r="V246" s="63">
        <v>4.0999999999999996</v>
      </c>
      <c r="W246" s="63">
        <v>4.9000000000000004</v>
      </c>
      <c r="X246" s="53"/>
      <c r="Y246" s="52"/>
      <c r="Z246" s="52"/>
      <c r="AA246" s="52"/>
      <c r="AB246" s="52"/>
      <c r="AC246" s="52"/>
      <c r="AD246" s="52"/>
      <c r="AE246" s="52"/>
      <c r="AF246" s="52"/>
      <c r="AG246" s="53"/>
      <c r="AH246" s="54"/>
      <c r="AI246" s="55"/>
      <c r="AJ246" s="56"/>
      <c r="AK246" s="57"/>
      <c r="AL246" s="57"/>
    </row>
    <row r="247" spans="1:38" ht="31.95" customHeight="1" x14ac:dyDescent="0.3">
      <c r="A247" s="66">
        <v>44075</v>
      </c>
      <c r="B247" s="195">
        <v>0.63557870370370373</v>
      </c>
      <c r="C247" s="39"/>
      <c r="D247" s="39">
        <f>IF(I247=Categories!$E$4,VLOOKUP(H247,Categories!$A$4:$C$15,3,FALSE),VLOOKUP(I247,Categories!$E$4:$G$27,3,FALSE))</f>
        <v>60</v>
      </c>
      <c r="E247" s="39"/>
      <c r="F247" s="39"/>
      <c r="G247" s="40">
        <v>26</v>
      </c>
      <c r="H247" s="41" t="s">
        <v>66</v>
      </c>
      <c r="I247" s="59" t="s">
        <v>97</v>
      </c>
      <c r="J247" s="42"/>
      <c r="K247" s="60">
        <v>3100</v>
      </c>
      <c r="L247" s="43" t="s">
        <v>58</v>
      </c>
      <c r="M247" s="44" t="str">
        <f>IFERROR(VLOOKUP(VLOOKUP(O247,O247,1,1),Categories!$K$4:$V$17,2+VLOOKUP(L247,L247,1,FALSE),FALSE),"-"  )</f>
        <v>-</v>
      </c>
      <c r="N247" s="44" t="str">
        <f>IFERROR(VLOOKUP(VLOOKUP(O247,O247,1,1),Categories!$K$3:$V$17,7+VLOOKUP(L247,L247,1,FALSE),FALSE),"-")</f>
        <v>-</v>
      </c>
      <c r="O247" s="45" t="s">
        <v>58</v>
      </c>
      <c r="P247" s="71">
        <v>40</v>
      </c>
      <c r="Q247" s="47">
        <f t="shared" si="3"/>
        <v>4.2059999999999995</v>
      </c>
      <c r="R247" s="48"/>
      <c r="S247" s="48"/>
      <c r="T247" s="49"/>
      <c r="U247" s="61"/>
      <c r="V247" s="50"/>
      <c r="W247" s="50"/>
      <c r="X247" s="53"/>
      <c r="Y247" s="52"/>
      <c r="Z247" s="52"/>
      <c r="AA247" s="52"/>
      <c r="AB247" s="52"/>
      <c r="AC247" s="52"/>
      <c r="AD247" s="52"/>
      <c r="AE247" s="52"/>
      <c r="AF247" s="52"/>
      <c r="AG247" s="53"/>
      <c r="AH247" s="54"/>
      <c r="AI247" s="55"/>
      <c r="AJ247" s="56"/>
      <c r="AK247" s="57"/>
      <c r="AL247" s="57"/>
    </row>
    <row r="248" spans="1:38" ht="31.95" customHeight="1" x14ac:dyDescent="0.3">
      <c r="A248" s="66">
        <v>44075</v>
      </c>
      <c r="B248" s="195">
        <v>0.63641203703703708</v>
      </c>
      <c r="C248" s="39"/>
      <c r="D248" s="39">
        <f>IF(I248=Categories!$E$4,VLOOKUP(H248,Categories!$A$4:$C$15,3,FALSE),VLOOKUP(I248,Categories!$E$4:$G$27,3,FALSE))</f>
        <v>120</v>
      </c>
      <c r="E248" s="39"/>
      <c r="F248" s="39"/>
      <c r="G248" s="40">
        <v>26</v>
      </c>
      <c r="H248" s="41" t="s">
        <v>62</v>
      </c>
      <c r="I248" s="68" t="s">
        <v>58</v>
      </c>
      <c r="J248" s="42"/>
      <c r="K248" s="60">
        <v>3100</v>
      </c>
      <c r="L248" s="43" t="s">
        <v>58</v>
      </c>
      <c r="M248" s="44" t="str">
        <f>IFERROR(VLOOKUP(VLOOKUP(O248,O248,1,1),Categories!$K$4:$V$17,2+VLOOKUP(L248,L248,1,FALSE),FALSE),"-"  )</f>
        <v>-</v>
      </c>
      <c r="N248" s="44" t="str">
        <f>IFERROR(VLOOKUP(VLOOKUP(O248,O248,1,1),Categories!$K$3:$V$17,7+VLOOKUP(L248,L248,1,FALSE),FALSE),"-")</f>
        <v>-</v>
      </c>
      <c r="O248" s="45" t="s">
        <v>58</v>
      </c>
      <c r="P248" s="46">
        <v>40</v>
      </c>
      <c r="Q248" s="47">
        <f t="shared" si="3"/>
        <v>4.2059999999999995</v>
      </c>
      <c r="R248" s="48"/>
      <c r="S248" s="48"/>
      <c r="T248" s="49"/>
      <c r="U248" s="61"/>
      <c r="V248" s="50">
        <v>2.9</v>
      </c>
      <c r="W248" s="50">
        <v>4.3</v>
      </c>
      <c r="X248" s="53"/>
      <c r="Y248" s="52"/>
      <c r="Z248" s="52"/>
      <c r="AA248" s="52"/>
      <c r="AB248" s="52"/>
      <c r="AC248" s="52"/>
      <c r="AD248" s="52"/>
      <c r="AE248" s="52"/>
      <c r="AF248" s="52"/>
      <c r="AG248" s="53"/>
      <c r="AH248" s="54"/>
      <c r="AI248" s="55"/>
      <c r="AJ248" s="56"/>
      <c r="AK248" s="57"/>
      <c r="AL248" s="57"/>
    </row>
    <row r="249" spans="1:38" ht="31.95" customHeight="1" x14ac:dyDescent="0.3">
      <c r="A249" s="66">
        <v>44075</v>
      </c>
      <c r="B249" s="195">
        <v>0.6378125</v>
      </c>
      <c r="C249" s="39"/>
      <c r="D249" s="39">
        <f>IF(I249=Categories!$E$4,VLOOKUP(H249,Categories!$A$4:$C$15,3,FALSE),VLOOKUP(I249,Categories!$E$4:$G$27,3,FALSE))</f>
        <v>60</v>
      </c>
      <c r="E249" s="39"/>
      <c r="F249" s="39"/>
      <c r="G249" s="40">
        <v>26</v>
      </c>
      <c r="H249" s="41" t="s">
        <v>66</v>
      </c>
      <c r="I249" s="59" t="s">
        <v>97</v>
      </c>
      <c r="J249" s="42"/>
      <c r="K249" s="60">
        <v>3100</v>
      </c>
      <c r="L249" s="43" t="s">
        <v>58</v>
      </c>
      <c r="M249" s="44" t="str">
        <f>IFERROR(VLOOKUP(VLOOKUP(O249,O249,1,1),Categories!$K$4:$V$17,2+VLOOKUP(L249,L249,1,FALSE),FALSE),"-"  )</f>
        <v>-</v>
      </c>
      <c r="N249" s="44" t="str">
        <f>IFERROR(VLOOKUP(VLOOKUP(O249,O249,1,1),Categories!$K$3:$V$17,7+VLOOKUP(L249,L249,1,FALSE),FALSE),"-")</f>
        <v>-</v>
      </c>
      <c r="O249" s="45" t="s">
        <v>58</v>
      </c>
      <c r="P249" s="71">
        <v>60</v>
      </c>
      <c r="Q249" s="47">
        <f t="shared" si="3"/>
        <v>2.8040000000000003</v>
      </c>
      <c r="R249" s="48"/>
      <c r="S249" s="48"/>
      <c r="T249" s="49"/>
      <c r="U249" s="61"/>
      <c r="V249" s="50"/>
      <c r="W249" s="50"/>
      <c r="X249" s="53"/>
      <c r="Y249" s="52"/>
      <c r="Z249" s="52"/>
      <c r="AA249" s="52"/>
      <c r="AB249" s="52"/>
      <c r="AC249" s="52"/>
      <c r="AD249" s="52"/>
      <c r="AE249" s="52"/>
      <c r="AF249" s="52"/>
      <c r="AG249" s="53"/>
      <c r="AH249" s="54"/>
      <c r="AI249" s="55"/>
      <c r="AJ249" s="56"/>
      <c r="AK249" s="57"/>
      <c r="AL249" s="57"/>
    </row>
    <row r="250" spans="1:38" ht="31.95" customHeight="1" x14ac:dyDescent="0.3">
      <c r="A250" s="66">
        <v>44075</v>
      </c>
      <c r="B250" s="195">
        <v>0.63862268518518517</v>
      </c>
      <c r="C250" s="39"/>
      <c r="D250" s="39">
        <f>IF(I250=Categories!$E$4,VLOOKUP(H250,Categories!$A$4:$C$15,3,FALSE),VLOOKUP(I250,Categories!$E$4:$G$27,3,FALSE))</f>
        <v>120</v>
      </c>
      <c r="E250" s="39"/>
      <c r="F250" s="39"/>
      <c r="G250" s="40">
        <v>26</v>
      </c>
      <c r="H250" s="41" t="s">
        <v>62</v>
      </c>
      <c r="I250" s="68" t="s">
        <v>58</v>
      </c>
      <c r="J250" s="42"/>
      <c r="K250" s="60">
        <v>3100</v>
      </c>
      <c r="L250" s="43" t="s">
        <v>58</v>
      </c>
      <c r="M250" s="44" t="str">
        <f>IFERROR(VLOOKUP(VLOOKUP(O250,O250,1,1),Categories!$K$4:$V$17,2+VLOOKUP(L250,L250,1,FALSE),FALSE),"-"  )</f>
        <v>-</v>
      </c>
      <c r="N250" s="44" t="str">
        <f>IFERROR(VLOOKUP(VLOOKUP(O250,O250,1,1),Categories!$K$3:$V$17,7+VLOOKUP(L250,L250,1,FALSE),FALSE),"-")</f>
        <v>-</v>
      </c>
      <c r="O250" s="45" t="s">
        <v>58</v>
      </c>
      <c r="P250" s="46">
        <v>60</v>
      </c>
      <c r="Q250" s="47">
        <f t="shared" si="3"/>
        <v>2.8040000000000003</v>
      </c>
      <c r="R250" s="48"/>
      <c r="S250" s="48"/>
      <c r="T250" s="49"/>
      <c r="U250" s="61"/>
      <c r="V250" s="50">
        <v>1.7</v>
      </c>
      <c r="W250" s="50">
        <v>3.6</v>
      </c>
      <c r="X250" s="53"/>
      <c r="Y250" s="52"/>
      <c r="Z250" s="52"/>
      <c r="AA250" s="52"/>
      <c r="AB250" s="52"/>
      <c r="AC250" s="52"/>
      <c r="AD250" s="52"/>
      <c r="AE250" s="52"/>
      <c r="AF250" s="52"/>
      <c r="AG250" s="53"/>
      <c r="AH250" s="54"/>
      <c r="AI250" s="55"/>
      <c r="AJ250" s="56"/>
      <c r="AK250" s="57"/>
      <c r="AL250" s="57"/>
    </row>
    <row r="251" spans="1:38" ht="31.95" customHeight="1" x14ac:dyDescent="0.3">
      <c r="A251" s="66">
        <v>44075</v>
      </c>
      <c r="B251" s="195">
        <v>0.63997685185185182</v>
      </c>
      <c r="C251" s="39"/>
      <c r="D251" s="39">
        <f>IF(I251=Categories!$E$4,VLOOKUP(H251,Categories!$A$4:$C$15,3,FALSE),VLOOKUP(I251,Categories!$E$4:$G$27,3,FALSE))</f>
        <v>60</v>
      </c>
      <c r="E251" s="39"/>
      <c r="F251" s="39"/>
      <c r="G251" s="40">
        <v>26</v>
      </c>
      <c r="H251" s="41" t="s">
        <v>66</v>
      </c>
      <c r="I251" s="59" t="s">
        <v>97</v>
      </c>
      <c r="J251" s="42"/>
      <c r="K251" s="60">
        <v>3100</v>
      </c>
      <c r="L251" s="43" t="s">
        <v>58</v>
      </c>
      <c r="M251" s="44" t="str">
        <f>IFERROR(VLOOKUP(VLOOKUP(O251,O251,1,1),Categories!$K$4:$V$17,2+VLOOKUP(L251,L251,1,FALSE),FALSE),"-"  )</f>
        <v>-</v>
      </c>
      <c r="N251" s="44" t="str">
        <f>IFERROR(VLOOKUP(VLOOKUP(O251,O251,1,1),Categories!$K$3:$V$17,7+VLOOKUP(L251,L251,1,FALSE),FALSE),"-")</f>
        <v>-</v>
      </c>
      <c r="O251" s="45" t="s">
        <v>58</v>
      </c>
      <c r="P251" s="71">
        <v>80</v>
      </c>
      <c r="Q251" s="47">
        <f t="shared" si="3"/>
        <v>1.4019999999999997</v>
      </c>
      <c r="R251" s="48"/>
      <c r="S251" s="48"/>
      <c r="T251" s="49"/>
      <c r="U251" s="61"/>
      <c r="V251" s="50"/>
      <c r="W251" s="50"/>
      <c r="X251" s="53"/>
      <c r="Y251" s="52"/>
      <c r="Z251" s="52"/>
      <c r="AA251" s="52"/>
      <c r="AB251" s="52"/>
      <c r="AC251" s="52"/>
      <c r="AD251" s="52"/>
      <c r="AE251" s="52"/>
      <c r="AF251" s="52"/>
      <c r="AG251" s="53"/>
      <c r="AH251" s="54"/>
      <c r="AI251" s="55"/>
      <c r="AJ251" s="56"/>
      <c r="AK251" s="57"/>
      <c r="AL251" s="57"/>
    </row>
    <row r="252" spans="1:38" ht="31.95" customHeight="1" x14ac:dyDescent="0.3">
      <c r="A252" s="66">
        <v>44075</v>
      </c>
      <c r="B252" s="195">
        <v>0.64072916666666668</v>
      </c>
      <c r="C252" s="39"/>
      <c r="D252" s="39">
        <f>IF(I252=Categories!$E$4,VLOOKUP(H252,Categories!$A$4:$C$15,3,FALSE),VLOOKUP(I252,Categories!$E$4:$G$27,3,FALSE))</f>
        <v>120</v>
      </c>
      <c r="E252" s="39"/>
      <c r="F252" s="39"/>
      <c r="G252" s="40">
        <v>26</v>
      </c>
      <c r="H252" s="41" t="s">
        <v>62</v>
      </c>
      <c r="I252" s="68" t="s">
        <v>58</v>
      </c>
      <c r="J252" s="42"/>
      <c r="K252" s="60">
        <v>3100</v>
      </c>
      <c r="L252" s="43" t="s">
        <v>58</v>
      </c>
      <c r="M252" s="44" t="str">
        <f>IFERROR(VLOOKUP(VLOOKUP(O252,O252,1,1),Categories!$K$4:$V$17,2+VLOOKUP(L252,L252,1,FALSE),FALSE),"-"  )</f>
        <v>-</v>
      </c>
      <c r="N252" s="44" t="str">
        <f>IFERROR(VLOOKUP(VLOOKUP(O252,O252,1,1),Categories!$K$3:$V$17,7+VLOOKUP(L252,L252,1,FALSE),FALSE),"-")</f>
        <v>-</v>
      </c>
      <c r="O252" s="45" t="s">
        <v>58</v>
      </c>
      <c r="P252" s="46">
        <v>80</v>
      </c>
      <c r="Q252" s="47">
        <f t="shared" si="3"/>
        <v>1.4019999999999997</v>
      </c>
      <c r="R252" s="48"/>
      <c r="S252" s="48"/>
      <c r="T252" s="49"/>
      <c r="U252" s="61"/>
      <c r="V252" s="50">
        <v>0.6</v>
      </c>
      <c r="W252" s="50">
        <v>2.9</v>
      </c>
      <c r="X252" s="53"/>
      <c r="Y252" s="52"/>
      <c r="Z252" s="52"/>
      <c r="AA252" s="52"/>
      <c r="AB252" s="52"/>
      <c r="AC252" s="52"/>
      <c r="AD252" s="52"/>
      <c r="AE252" s="52"/>
      <c r="AF252" s="52"/>
      <c r="AG252" s="53"/>
      <c r="AH252" s="54"/>
      <c r="AI252" s="55"/>
      <c r="AJ252" s="56"/>
      <c r="AK252" s="57"/>
      <c r="AL252" s="57"/>
    </row>
    <row r="253" spans="1:38" ht="31.95" customHeight="1" thickBot="1" x14ac:dyDescent="0.35">
      <c r="A253" s="37">
        <v>44075</v>
      </c>
      <c r="B253" s="194">
        <v>0.64226851851851852</v>
      </c>
      <c r="C253" s="39"/>
      <c r="D253" s="39">
        <f>IF(I253=Categories!$E$4,VLOOKUP(H253,Categories!$A$4:$C$15,3,FALSE),VLOOKUP(I253,Categories!$E$4:$G$27,3,FALSE))</f>
        <v>60</v>
      </c>
      <c r="E253" s="39"/>
      <c r="F253" s="39"/>
      <c r="G253" s="40" t="s">
        <v>58</v>
      </c>
      <c r="H253" s="41" t="s">
        <v>72</v>
      </c>
      <c r="I253" s="59" t="s">
        <v>97</v>
      </c>
      <c r="J253" s="42"/>
      <c r="K253" s="60">
        <v>3100</v>
      </c>
      <c r="L253" s="43" t="s">
        <v>58</v>
      </c>
      <c r="M253" s="44" t="str">
        <f>IFERROR(VLOOKUP(VLOOKUP(O253,O253,1,1),Categories!$K$4:$V$17,2+VLOOKUP(L253,L253,1,FALSE),FALSE),"-"  )</f>
        <v>-</v>
      </c>
      <c r="N253" s="44" t="str">
        <f>IFERROR(VLOOKUP(VLOOKUP(O253,O253,1,1),Categories!$K$3:$V$17,7+VLOOKUP(L253,L253,1,FALSE),FALSE),"-")</f>
        <v>-</v>
      </c>
      <c r="O253" s="45" t="s">
        <v>58</v>
      </c>
      <c r="P253" s="71">
        <v>0</v>
      </c>
      <c r="Q253" s="47">
        <f t="shared" si="3"/>
        <v>7.01</v>
      </c>
      <c r="R253" s="61"/>
      <c r="S253" s="61"/>
      <c r="T253" s="62"/>
      <c r="U253" s="61"/>
      <c r="V253" s="63"/>
      <c r="W253" s="63"/>
      <c r="X253" s="51"/>
      <c r="Y253" s="64"/>
      <c r="Z253" s="64"/>
      <c r="AA253" s="64"/>
      <c r="AB253" s="64"/>
      <c r="AC253" s="64"/>
      <c r="AD253" s="64"/>
      <c r="AE253" s="64"/>
      <c r="AF253" s="64"/>
      <c r="AG253" s="51"/>
      <c r="AH253" s="65"/>
      <c r="AI253" s="55" t="s">
        <v>63</v>
      </c>
      <c r="AJ253" s="57" t="s">
        <v>365</v>
      </c>
      <c r="AK253" s="57"/>
      <c r="AL253" s="57"/>
    </row>
    <row r="254" spans="1:38" ht="31.95" customHeight="1" thickBot="1" x14ac:dyDescent="0.35">
      <c r="A254" s="37">
        <v>44075</v>
      </c>
      <c r="B254" s="194">
        <v>0.6539814814814815</v>
      </c>
      <c r="C254" s="39"/>
      <c r="D254" s="39">
        <f>IF(I254=Categories!$E$4,VLOOKUP(H254,Categories!$A$4:$C$15,3,FALSE),VLOOKUP(I254,Categories!$E$4:$G$27,3,FALSE))</f>
        <v>60</v>
      </c>
      <c r="E254" s="39"/>
      <c r="F254" s="39"/>
      <c r="G254" s="40">
        <v>27</v>
      </c>
      <c r="H254" s="41" t="s">
        <v>78</v>
      </c>
      <c r="I254" s="59" t="s">
        <v>58</v>
      </c>
      <c r="J254" s="42"/>
      <c r="K254" s="60">
        <v>3100</v>
      </c>
      <c r="L254" s="43" t="s">
        <v>58</v>
      </c>
      <c r="M254" s="44" t="str">
        <f>IFERROR(VLOOKUP(VLOOKUP(O254,O254,1,1),Categories!$K$4:$V$17,2+VLOOKUP(L254,L254,1,FALSE),FALSE),"-"  )</f>
        <v>-</v>
      </c>
      <c r="N254" s="44" t="str">
        <f>IFERROR(VLOOKUP(VLOOKUP(O254,O254,1,1),Categories!$K$3:$V$17,7+VLOOKUP(L254,L254,1,FALSE),FALSE),"-")</f>
        <v>-</v>
      </c>
      <c r="O254" s="45" t="s">
        <v>58</v>
      </c>
      <c r="P254" s="46" t="s">
        <v>58</v>
      </c>
      <c r="Q254" s="47" t="s">
        <v>58</v>
      </c>
      <c r="R254" s="61"/>
      <c r="S254" s="61"/>
      <c r="T254" s="62"/>
      <c r="U254" s="61"/>
      <c r="V254" s="63">
        <v>5.4</v>
      </c>
      <c r="W254" s="63">
        <v>5.6</v>
      </c>
      <c r="X254" s="70">
        <v>7.02</v>
      </c>
      <c r="Y254" s="64"/>
      <c r="Z254" s="64"/>
      <c r="AA254" s="64"/>
      <c r="AB254" s="64"/>
      <c r="AC254" s="64"/>
      <c r="AD254" s="64"/>
      <c r="AE254" s="64"/>
      <c r="AF254" s="64"/>
      <c r="AG254" s="51"/>
      <c r="AH254" s="65"/>
      <c r="AI254" s="55"/>
      <c r="AJ254" s="57"/>
      <c r="AK254" s="57"/>
      <c r="AL254" s="57" t="s">
        <v>92</v>
      </c>
    </row>
    <row r="255" spans="1:38" ht="31.95" customHeight="1" thickBot="1" x14ac:dyDescent="0.35">
      <c r="A255" s="37">
        <v>44075</v>
      </c>
      <c r="B255" s="194">
        <v>0.65468749999999998</v>
      </c>
      <c r="C255" s="39"/>
      <c r="D255" s="39">
        <f>IF(I255=Categories!$E$4,VLOOKUP(H255,Categories!$A$4:$C$15,3,FALSE),VLOOKUP(I255,Categories!$E$4:$G$27,3,FALSE))</f>
        <v>30</v>
      </c>
      <c r="E255" s="39"/>
      <c r="F255" s="39"/>
      <c r="G255" s="40">
        <v>27</v>
      </c>
      <c r="H255" s="41" t="s">
        <v>66</v>
      </c>
      <c r="I255" s="59" t="s">
        <v>67</v>
      </c>
      <c r="J255" s="42"/>
      <c r="K255" s="60">
        <v>2800</v>
      </c>
      <c r="L255" s="43" t="s">
        <v>58</v>
      </c>
      <c r="M255" s="44" t="str">
        <f>IFERROR(VLOOKUP(VLOOKUP(O255,O255,1,1),Categories!$K$4:$V$17,2+VLOOKUP(L255,L255,1,FALSE),FALSE),"-"  )</f>
        <v>-</v>
      </c>
      <c r="N255" s="44" t="str">
        <f>IFERROR(VLOOKUP(VLOOKUP(O255,O255,1,1),Categories!$K$3:$V$17,7+VLOOKUP(L255,L255,1,FALSE),FALSE),"-")</f>
        <v>-</v>
      </c>
      <c r="O255" s="45" t="s">
        <v>58</v>
      </c>
      <c r="P255" s="46" t="s">
        <v>58</v>
      </c>
      <c r="Q255" s="47" t="s">
        <v>58</v>
      </c>
      <c r="R255" s="61"/>
      <c r="S255" s="61"/>
      <c r="T255" s="62"/>
      <c r="U255" s="61"/>
      <c r="V255" s="63"/>
      <c r="W255" s="63"/>
      <c r="X255" s="51"/>
      <c r="Y255" s="64"/>
      <c r="Z255" s="64"/>
      <c r="AA255" s="64"/>
      <c r="AB255" s="64"/>
      <c r="AC255" s="64"/>
      <c r="AD255" s="64"/>
      <c r="AE255" s="64"/>
      <c r="AF255" s="64"/>
      <c r="AG255" s="51"/>
      <c r="AH255" s="65"/>
      <c r="AI255" s="55"/>
      <c r="AJ255" s="57"/>
      <c r="AK255" s="57"/>
      <c r="AL255" s="57" t="s">
        <v>93</v>
      </c>
    </row>
    <row r="256" spans="1:38" ht="31.95" customHeight="1" thickBot="1" x14ac:dyDescent="0.35">
      <c r="A256" s="37">
        <v>44075</v>
      </c>
      <c r="B256" s="194">
        <v>0.65535879629629623</v>
      </c>
      <c r="C256" s="39"/>
      <c r="D256" s="39">
        <f>IF(I256=Categories!$E$4,VLOOKUP(H256,Categories!$A$4:$C$15,3,FALSE),VLOOKUP(I256,Categories!$E$4:$G$27,3,FALSE))</f>
        <v>60</v>
      </c>
      <c r="E256" s="39"/>
      <c r="F256" s="39"/>
      <c r="G256" s="40">
        <v>27</v>
      </c>
      <c r="H256" s="41" t="s">
        <v>86</v>
      </c>
      <c r="I256" s="59" t="s">
        <v>58</v>
      </c>
      <c r="J256" s="42"/>
      <c r="K256" s="60">
        <v>2800</v>
      </c>
      <c r="L256" s="43" t="s">
        <v>58</v>
      </c>
      <c r="M256" s="44" t="str">
        <f>IFERROR(VLOOKUP(VLOOKUP(O256,O256,1,1),Categories!$K$4:$V$17,2+VLOOKUP(L256,L256,1,FALSE),FALSE),"-"  )</f>
        <v>-</v>
      </c>
      <c r="N256" s="44" t="str">
        <f>IFERROR(VLOOKUP(VLOOKUP(O256,O256,1,1),Categories!$K$3:$V$17,7+VLOOKUP(L256,L256,1,FALSE),FALSE),"-")</f>
        <v>-</v>
      </c>
      <c r="O256" s="45" t="s">
        <v>58</v>
      </c>
      <c r="P256" s="46" t="s">
        <v>58</v>
      </c>
      <c r="Q256" s="47" t="s">
        <v>58</v>
      </c>
      <c r="R256" s="61"/>
      <c r="S256" s="61"/>
      <c r="T256" s="62"/>
      <c r="U256" s="61"/>
      <c r="V256" s="63">
        <v>4.5</v>
      </c>
      <c r="W256" s="63">
        <v>4.0999999999999996</v>
      </c>
      <c r="X256" s="70">
        <v>6.29</v>
      </c>
      <c r="Y256" s="64"/>
      <c r="Z256" s="64"/>
      <c r="AA256" s="64"/>
      <c r="AB256" s="64"/>
      <c r="AC256" s="64"/>
      <c r="AD256" s="64"/>
      <c r="AE256" s="64"/>
      <c r="AF256" s="64"/>
      <c r="AG256" s="51"/>
      <c r="AH256" s="65"/>
      <c r="AI256" s="55"/>
      <c r="AJ256" s="57"/>
      <c r="AK256" s="57"/>
      <c r="AL256" s="57" t="s">
        <v>94</v>
      </c>
    </row>
    <row r="257" spans="1:38" ht="31.95" customHeight="1" thickBot="1" x14ac:dyDescent="0.35">
      <c r="A257" s="37">
        <v>44075</v>
      </c>
      <c r="B257" s="194">
        <v>0.65631944444444446</v>
      </c>
      <c r="C257" s="39"/>
      <c r="D257" s="39">
        <f>IF(I257=Categories!$E$4,VLOOKUP(H257,Categories!$A$4:$C$15,3,FALSE),VLOOKUP(I257,Categories!$E$4:$G$27,3,FALSE))</f>
        <v>30</v>
      </c>
      <c r="E257" s="39"/>
      <c r="F257" s="39"/>
      <c r="G257" s="40">
        <v>27</v>
      </c>
      <c r="H257" s="41" t="s">
        <v>66</v>
      </c>
      <c r="I257" s="59" t="s">
        <v>67</v>
      </c>
      <c r="J257" s="42"/>
      <c r="K257" s="60">
        <v>2500</v>
      </c>
      <c r="L257" s="43" t="s">
        <v>58</v>
      </c>
      <c r="M257" s="44" t="str">
        <f>IFERROR(VLOOKUP(VLOOKUP(O257,O257,1,1),Categories!$K$4:$V$17,2+VLOOKUP(L257,L257,1,FALSE),FALSE),"-"  )</f>
        <v>-</v>
      </c>
      <c r="N257" s="44" t="str">
        <f>IFERROR(VLOOKUP(VLOOKUP(O257,O257,1,1),Categories!$K$3:$V$17,7+VLOOKUP(L257,L257,1,FALSE),FALSE),"-")</f>
        <v>-</v>
      </c>
      <c r="O257" s="45" t="s">
        <v>58</v>
      </c>
      <c r="P257" s="46" t="s">
        <v>58</v>
      </c>
      <c r="Q257" s="47" t="s">
        <v>58</v>
      </c>
      <c r="R257" s="61"/>
      <c r="S257" s="61"/>
      <c r="T257" s="62"/>
      <c r="U257" s="61"/>
      <c r="V257" s="63"/>
      <c r="W257" s="63"/>
      <c r="X257" s="51"/>
      <c r="Y257" s="64"/>
      <c r="Z257" s="64"/>
      <c r="AA257" s="64"/>
      <c r="AB257" s="64"/>
      <c r="AC257" s="64"/>
      <c r="AD257" s="64"/>
      <c r="AE257" s="64"/>
      <c r="AF257" s="64"/>
      <c r="AG257" s="51"/>
      <c r="AH257" s="65"/>
      <c r="AI257" s="55"/>
      <c r="AJ257" s="57"/>
      <c r="AK257" s="57"/>
      <c r="AL257" s="57" t="s">
        <v>95</v>
      </c>
    </row>
    <row r="258" spans="1:38" ht="31.95" customHeight="1" thickBot="1" x14ac:dyDescent="0.35">
      <c r="A258" s="37">
        <v>44075</v>
      </c>
      <c r="B258" s="194">
        <v>0.6567708333333333</v>
      </c>
      <c r="C258" s="39"/>
      <c r="D258" s="39">
        <f>IF(I258=Categories!$E$4,VLOOKUP(H258,Categories!$A$4:$C$15,3,FALSE),VLOOKUP(I258,Categories!$E$4:$G$27,3,FALSE))</f>
        <v>60</v>
      </c>
      <c r="E258" s="39"/>
      <c r="F258" s="39"/>
      <c r="G258" s="40">
        <v>27</v>
      </c>
      <c r="H258" s="41" t="s">
        <v>78</v>
      </c>
      <c r="I258" s="59" t="s">
        <v>58</v>
      </c>
      <c r="J258" s="42"/>
      <c r="K258" s="60">
        <v>2500</v>
      </c>
      <c r="L258" s="43" t="s">
        <v>58</v>
      </c>
      <c r="M258" s="44" t="str">
        <f>IFERROR(VLOOKUP(VLOOKUP(O258,O258,1,1),Categories!$K$4:$V$17,2+VLOOKUP(L258,L258,1,FALSE),FALSE),"-"  )</f>
        <v>-</v>
      </c>
      <c r="N258" s="44" t="str">
        <f>IFERROR(VLOOKUP(VLOOKUP(O258,O258,1,1),Categories!$K$3:$V$17,7+VLOOKUP(L258,L258,1,FALSE),FALSE),"-")</f>
        <v>-</v>
      </c>
      <c r="O258" s="45" t="s">
        <v>58</v>
      </c>
      <c r="P258" s="46" t="s">
        <v>58</v>
      </c>
      <c r="Q258" s="47" t="s">
        <v>58</v>
      </c>
      <c r="R258" s="61"/>
      <c r="S258" s="61"/>
      <c r="T258" s="62"/>
      <c r="U258" s="61"/>
      <c r="V258" s="63">
        <v>4</v>
      </c>
      <c r="W258" s="63">
        <v>3</v>
      </c>
      <c r="X258" s="70">
        <v>5.57</v>
      </c>
      <c r="Y258" s="64"/>
      <c r="Z258" s="64"/>
      <c r="AA258" s="64"/>
      <c r="AB258" s="64"/>
      <c r="AC258" s="64"/>
      <c r="AD258" s="64"/>
      <c r="AE258" s="64"/>
      <c r="AF258" s="64"/>
      <c r="AG258" s="51"/>
      <c r="AH258" s="65"/>
      <c r="AI258" s="55"/>
      <c r="AJ258" s="57"/>
      <c r="AK258" s="57"/>
      <c r="AL258" s="57" t="s">
        <v>96</v>
      </c>
    </row>
    <row r="259" spans="1:38" ht="31.95" customHeight="1" thickBot="1" x14ac:dyDescent="0.35">
      <c r="A259" s="37">
        <v>44075</v>
      </c>
      <c r="B259" s="194">
        <v>0.65752314814814816</v>
      </c>
      <c r="C259" s="39"/>
      <c r="D259" s="39">
        <f>IF(I259=Categories!$E$4,VLOOKUP(H259,Categories!$A$4:$C$15,3,FALSE),VLOOKUP(I259,Categories!$E$4:$G$27,3,FALSE))</f>
        <v>30</v>
      </c>
      <c r="E259" s="39"/>
      <c r="F259" s="39"/>
      <c r="G259" s="40">
        <v>27</v>
      </c>
      <c r="H259" s="41" t="s">
        <v>66</v>
      </c>
      <c r="I259" s="59" t="s">
        <v>67</v>
      </c>
      <c r="J259" s="42"/>
      <c r="K259" s="60">
        <v>2200</v>
      </c>
      <c r="L259" s="43" t="s">
        <v>58</v>
      </c>
      <c r="M259" s="44" t="str">
        <f>IFERROR(VLOOKUP(VLOOKUP(O259,O259,1,1),Categories!$K$4:$V$17,2+VLOOKUP(L259,L259,1,FALSE),FALSE),"-"  )</f>
        <v>-</v>
      </c>
      <c r="N259" s="44" t="str">
        <f>IFERROR(VLOOKUP(VLOOKUP(O259,O259,1,1),Categories!$K$3:$V$17,7+VLOOKUP(L259,L259,1,FALSE),FALSE),"-")</f>
        <v>-</v>
      </c>
      <c r="O259" s="45" t="s">
        <v>58</v>
      </c>
      <c r="P259" s="46" t="s">
        <v>58</v>
      </c>
      <c r="Q259" s="47" t="s">
        <v>58</v>
      </c>
      <c r="R259" s="61"/>
      <c r="S259" s="61"/>
      <c r="T259" s="62"/>
      <c r="U259" s="61"/>
      <c r="V259" s="63"/>
      <c r="W259" s="63"/>
      <c r="X259" s="51"/>
      <c r="Y259" s="64"/>
      <c r="Z259" s="64"/>
      <c r="AA259" s="64"/>
      <c r="AB259" s="64"/>
      <c r="AC259" s="64"/>
      <c r="AD259" s="64"/>
      <c r="AE259" s="64"/>
      <c r="AF259" s="64"/>
      <c r="AG259" s="51"/>
      <c r="AH259" s="65"/>
      <c r="AI259" s="55"/>
      <c r="AJ259" s="57"/>
      <c r="AK259" s="57"/>
      <c r="AL259" s="57" t="s">
        <v>96</v>
      </c>
    </row>
    <row r="260" spans="1:38" ht="31.95" customHeight="1" thickBot="1" x14ac:dyDescent="0.35">
      <c r="A260" s="37">
        <v>44075</v>
      </c>
      <c r="B260" s="194">
        <v>0.65833333333333333</v>
      </c>
      <c r="C260" s="39"/>
      <c r="D260" s="39">
        <f>IF(I260=Categories!$E$4,VLOOKUP(H260,Categories!$A$4:$C$15,3,FALSE),VLOOKUP(I260,Categories!$E$4:$G$27,3,FALSE))</f>
        <v>60</v>
      </c>
      <c r="E260" s="39"/>
      <c r="F260" s="39"/>
      <c r="G260" s="40">
        <v>27</v>
      </c>
      <c r="H260" s="41" t="s">
        <v>78</v>
      </c>
      <c r="I260" s="59" t="s">
        <v>58</v>
      </c>
      <c r="J260" s="42"/>
      <c r="K260" s="60">
        <v>2200</v>
      </c>
      <c r="L260" s="43" t="s">
        <v>58</v>
      </c>
      <c r="M260" s="44" t="str">
        <f>IFERROR(VLOOKUP(VLOOKUP(O260,O260,1,1),Categories!$K$4:$V$17,2+VLOOKUP(L260,L260,1,FALSE),FALSE),"-"  )</f>
        <v>-</v>
      </c>
      <c r="N260" s="44" t="str">
        <f>IFERROR(VLOOKUP(VLOOKUP(O260,O260,1,1),Categories!$K$3:$V$17,7+VLOOKUP(L260,L260,1,FALSE),FALSE),"-")</f>
        <v>-</v>
      </c>
      <c r="O260" s="45" t="s">
        <v>58</v>
      </c>
      <c r="P260" s="46" t="s">
        <v>58</v>
      </c>
      <c r="Q260" s="47" t="s">
        <v>58</v>
      </c>
      <c r="R260" s="61"/>
      <c r="S260" s="61"/>
      <c r="T260" s="62"/>
      <c r="U260" s="61"/>
      <c r="V260" s="63">
        <v>3.3</v>
      </c>
      <c r="W260" s="63">
        <v>2.1</v>
      </c>
      <c r="X260" s="70">
        <v>4.84</v>
      </c>
      <c r="Y260" s="64"/>
      <c r="Z260" s="64"/>
      <c r="AA260" s="64"/>
      <c r="AB260" s="64"/>
      <c r="AC260" s="64"/>
      <c r="AD260" s="64"/>
      <c r="AE260" s="64"/>
      <c r="AF260" s="64"/>
      <c r="AG260" s="51"/>
      <c r="AH260" s="65"/>
      <c r="AI260" s="55"/>
      <c r="AJ260" s="57"/>
      <c r="AK260" s="57"/>
      <c r="AL260" s="57" t="s">
        <v>96</v>
      </c>
    </row>
    <row r="261" spans="1:38" ht="31.95" customHeight="1" x14ac:dyDescent="0.3">
      <c r="A261" s="37">
        <v>44075</v>
      </c>
      <c r="B261" s="194">
        <v>0.65916666666666668</v>
      </c>
      <c r="C261" s="39"/>
      <c r="D261" s="39">
        <f>IF(I261=Categories!$E$4,VLOOKUP(H261,Categories!$A$4:$C$15,3,FALSE),VLOOKUP(I261,Categories!$E$4:$G$27,3,FALSE))</f>
        <v>60</v>
      </c>
      <c r="E261" s="39"/>
      <c r="F261" s="39"/>
      <c r="G261" s="40" t="s">
        <v>58</v>
      </c>
      <c r="H261" s="41" t="s">
        <v>72</v>
      </c>
      <c r="I261" s="59" t="s">
        <v>103</v>
      </c>
      <c r="J261" s="42"/>
      <c r="K261" s="60">
        <v>2200</v>
      </c>
      <c r="L261" s="43" t="s">
        <v>58</v>
      </c>
      <c r="M261" s="44" t="str">
        <f>IFERROR(VLOOKUP(VLOOKUP(O261,O261,1,1),Categories!$K$4:$V$17,2+VLOOKUP(L261,L261,1,FALSE),FALSE),"-"  )</f>
        <v>-</v>
      </c>
      <c r="N261" s="44" t="str">
        <f>IFERROR(VLOOKUP(VLOOKUP(O261,O261,1,1),Categories!$K$3:$V$17,7+VLOOKUP(L261,L261,1,FALSE),FALSE),"-")</f>
        <v>-</v>
      </c>
      <c r="O261" s="45" t="s">
        <v>58</v>
      </c>
      <c r="P261" s="71">
        <v>10</v>
      </c>
      <c r="Q261" s="47">
        <f t="shared" ref="Q261:Q270" si="4">$X$260*(1-$P261/100)</f>
        <v>4.3559999999999999</v>
      </c>
      <c r="R261" s="61"/>
      <c r="S261" s="61"/>
      <c r="T261" s="62"/>
      <c r="U261" s="61"/>
      <c r="V261" s="63"/>
      <c r="W261" s="63"/>
      <c r="X261" s="51"/>
      <c r="Y261" s="64"/>
      <c r="Z261" s="64"/>
      <c r="AA261" s="64"/>
      <c r="AB261" s="64"/>
      <c r="AC261" s="64"/>
      <c r="AD261" s="64"/>
      <c r="AE261" s="64"/>
      <c r="AF261" s="64"/>
      <c r="AG261" s="51"/>
      <c r="AH261" s="65"/>
      <c r="AI261" s="55"/>
      <c r="AJ261" s="57"/>
      <c r="AK261" s="57"/>
      <c r="AL261" s="57" t="s">
        <v>363</v>
      </c>
    </row>
    <row r="262" spans="1:38" ht="31.95" customHeight="1" x14ac:dyDescent="0.3">
      <c r="A262" s="66">
        <v>44075</v>
      </c>
      <c r="B262" s="195">
        <v>0.66240740740740744</v>
      </c>
      <c r="C262" s="39"/>
      <c r="D262" s="39">
        <f>IF(I262=Categories!$E$4,VLOOKUP(H262,Categories!$A$4:$C$15,3,FALSE),VLOOKUP(I262,Categories!$E$4:$G$27,3,FALSE))</f>
        <v>120</v>
      </c>
      <c r="E262" s="39"/>
      <c r="F262" s="39"/>
      <c r="G262" s="40">
        <v>28</v>
      </c>
      <c r="H262" s="41" t="s">
        <v>62</v>
      </c>
      <c r="I262" s="68" t="s">
        <v>58</v>
      </c>
      <c r="J262" s="42"/>
      <c r="K262" s="60">
        <v>2200</v>
      </c>
      <c r="L262" s="43" t="s">
        <v>58</v>
      </c>
      <c r="M262" s="44" t="str">
        <f>IFERROR(VLOOKUP(VLOOKUP(O262,O262,1,1),Categories!$K$4:$V$17,2+VLOOKUP(L262,L262,1,FALSE),FALSE),"-"  )</f>
        <v>-</v>
      </c>
      <c r="N262" s="44" t="str">
        <f>IFERROR(VLOOKUP(VLOOKUP(O262,O262,1,1),Categories!$K$3:$V$17,7+VLOOKUP(L262,L262,1,FALSE),FALSE),"-")</f>
        <v>-</v>
      </c>
      <c r="O262" s="45" t="s">
        <v>58</v>
      </c>
      <c r="P262" s="46">
        <v>10</v>
      </c>
      <c r="Q262" s="47">
        <f t="shared" si="4"/>
        <v>4.3559999999999999</v>
      </c>
      <c r="R262" s="48"/>
      <c r="S262" s="48"/>
      <c r="T262" s="49"/>
      <c r="U262" s="61"/>
      <c r="V262" s="50">
        <v>3</v>
      </c>
      <c r="W262" s="50">
        <v>2</v>
      </c>
      <c r="X262" s="53"/>
      <c r="Y262" s="52"/>
      <c r="Z262" s="52"/>
      <c r="AA262" s="52"/>
      <c r="AB262" s="52"/>
      <c r="AC262" s="52"/>
      <c r="AD262" s="52"/>
      <c r="AE262" s="52"/>
      <c r="AF262" s="52"/>
      <c r="AG262" s="53"/>
      <c r="AH262" s="54"/>
      <c r="AI262" s="55"/>
      <c r="AJ262" s="56"/>
      <c r="AK262" s="57"/>
      <c r="AL262" s="57" t="s">
        <v>364</v>
      </c>
    </row>
    <row r="263" spans="1:38" ht="31.95" customHeight="1" x14ac:dyDescent="0.3">
      <c r="A263" s="37">
        <v>44075</v>
      </c>
      <c r="B263" s="194">
        <v>0.66392361111111109</v>
      </c>
      <c r="C263" s="39"/>
      <c r="D263" s="39">
        <f>IF(I263=Categories!$E$4,VLOOKUP(H263,Categories!$A$4:$C$15,3,FALSE),VLOOKUP(I263,Categories!$E$4:$G$27,3,FALSE))</f>
        <v>60</v>
      </c>
      <c r="E263" s="39"/>
      <c r="F263" s="39"/>
      <c r="G263" s="40">
        <v>28</v>
      </c>
      <c r="H263" s="41" t="s">
        <v>66</v>
      </c>
      <c r="I263" s="59" t="s">
        <v>103</v>
      </c>
      <c r="J263" s="42"/>
      <c r="K263" s="60">
        <v>2200</v>
      </c>
      <c r="L263" s="43" t="s">
        <v>58</v>
      </c>
      <c r="M263" s="44" t="str">
        <f>IFERROR(VLOOKUP(VLOOKUP(O263,O263,1,1),Categories!$K$4:$V$17,2+VLOOKUP(L263,L263,1,FALSE),FALSE),"-"  )</f>
        <v>-</v>
      </c>
      <c r="N263" s="44" t="str">
        <f>IFERROR(VLOOKUP(VLOOKUP(O263,O263,1,1),Categories!$K$3:$V$17,7+VLOOKUP(L263,L263,1,FALSE),FALSE),"-")</f>
        <v>-</v>
      </c>
      <c r="O263" s="45" t="s">
        <v>58</v>
      </c>
      <c r="P263" s="71">
        <v>20</v>
      </c>
      <c r="Q263" s="47">
        <f t="shared" si="4"/>
        <v>3.8719999999999999</v>
      </c>
      <c r="R263" s="61"/>
      <c r="S263" s="61"/>
      <c r="T263" s="62"/>
      <c r="U263" s="61"/>
      <c r="V263" s="63"/>
      <c r="W263" s="63"/>
      <c r="X263" s="51"/>
      <c r="Y263" s="64"/>
      <c r="Z263" s="64"/>
      <c r="AA263" s="64"/>
      <c r="AB263" s="64"/>
      <c r="AC263" s="64"/>
      <c r="AD263" s="64"/>
      <c r="AE263" s="64"/>
      <c r="AF263" s="64"/>
      <c r="AG263" s="51"/>
      <c r="AH263" s="65"/>
      <c r="AI263" s="55"/>
      <c r="AJ263" s="57"/>
      <c r="AK263" s="57"/>
      <c r="AL263" s="57" t="s">
        <v>363</v>
      </c>
    </row>
    <row r="264" spans="1:38" ht="31.95" customHeight="1" x14ac:dyDescent="0.3">
      <c r="A264" s="66">
        <v>44075</v>
      </c>
      <c r="B264" s="195">
        <v>0.66468749999999999</v>
      </c>
      <c r="C264" s="39"/>
      <c r="D264" s="39">
        <f>IF(I264=Categories!$E$4,VLOOKUP(H264,Categories!$A$4:$C$15,3,FALSE),VLOOKUP(I264,Categories!$E$4:$G$27,3,FALSE))</f>
        <v>120</v>
      </c>
      <c r="E264" s="39"/>
      <c r="F264" s="39"/>
      <c r="G264" s="40">
        <v>28</v>
      </c>
      <c r="H264" s="41" t="s">
        <v>62</v>
      </c>
      <c r="I264" s="68" t="s">
        <v>58</v>
      </c>
      <c r="J264" s="42"/>
      <c r="K264" s="60">
        <v>2200</v>
      </c>
      <c r="L264" s="43" t="s">
        <v>58</v>
      </c>
      <c r="M264" s="44" t="str">
        <f>IFERROR(VLOOKUP(VLOOKUP(O264,O264,1,1),Categories!$K$4:$V$17,2+VLOOKUP(L264,L264,1,FALSE),FALSE),"-"  )</f>
        <v>-</v>
      </c>
      <c r="N264" s="44" t="str">
        <f>IFERROR(VLOOKUP(VLOOKUP(O264,O264,1,1),Categories!$K$3:$V$17,7+VLOOKUP(L264,L264,1,FALSE),FALSE),"-")</f>
        <v>-</v>
      </c>
      <c r="O264" s="45" t="s">
        <v>58</v>
      </c>
      <c r="P264" s="46">
        <v>20</v>
      </c>
      <c r="Q264" s="47">
        <f t="shared" si="4"/>
        <v>3.8719999999999999</v>
      </c>
      <c r="R264" s="48"/>
      <c r="S264" s="48"/>
      <c r="T264" s="49"/>
      <c r="U264" s="61"/>
      <c r="V264" s="50">
        <v>2.6</v>
      </c>
      <c r="W264" s="50">
        <v>1.9</v>
      </c>
      <c r="X264" s="53"/>
      <c r="Y264" s="52"/>
      <c r="Z264" s="52"/>
      <c r="AA264" s="52"/>
      <c r="AB264" s="52"/>
      <c r="AC264" s="52"/>
      <c r="AD264" s="52"/>
      <c r="AE264" s="52"/>
      <c r="AF264" s="52"/>
      <c r="AG264" s="53"/>
      <c r="AH264" s="54"/>
      <c r="AI264" s="55"/>
      <c r="AJ264" s="56"/>
      <c r="AK264" s="57"/>
      <c r="AL264" s="57" t="s">
        <v>99</v>
      </c>
    </row>
    <row r="265" spans="1:38" ht="31.95" customHeight="1" x14ac:dyDescent="0.3">
      <c r="A265" s="66">
        <v>44075</v>
      </c>
      <c r="B265" s="195">
        <v>0.6661921296296297</v>
      </c>
      <c r="C265" s="39"/>
      <c r="D265" s="39">
        <f>IF(I265=Categories!$E$4,VLOOKUP(H265,Categories!$A$4:$C$15,3,FALSE),VLOOKUP(I265,Categories!$E$4:$G$27,3,FALSE))</f>
        <v>60</v>
      </c>
      <c r="E265" s="39"/>
      <c r="F265" s="39"/>
      <c r="G265" s="40">
        <v>28</v>
      </c>
      <c r="H265" s="41" t="s">
        <v>66</v>
      </c>
      <c r="I265" s="59" t="s">
        <v>103</v>
      </c>
      <c r="J265" s="42"/>
      <c r="K265" s="60">
        <v>2200</v>
      </c>
      <c r="L265" s="43" t="s">
        <v>58</v>
      </c>
      <c r="M265" s="44" t="str">
        <f>IFERROR(VLOOKUP(VLOOKUP(O265,O265,1,1),Categories!$K$4:$V$17,2+VLOOKUP(L265,L265,1,FALSE),FALSE),"-"  )</f>
        <v>-</v>
      </c>
      <c r="N265" s="44" t="str">
        <f>IFERROR(VLOOKUP(VLOOKUP(O265,O265,1,1),Categories!$K$3:$V$17,7+VLOOKUP(L265,L265,1,FALSE),FALSE),"-")</f>
        <v>-</v>
      </c>
      <c r="O265" s="45" t="s">
        <v>58</v>
      </c>
      <c r="P265" s="71">
        <v>40</v>
      </c>
      <c r="Q265" s="47">
        <f t="shared" si="4"/>
        <v>2.9039999999999999</v>
      </c>
      <c r="R265" s="48"/>
      <c r="S265" s="48"/>
      <c r="T265" s="49"/>
      <c r="U265" s="61"/>
      <c r="V265" s="50"/>
      <c r="W265" s="50"/>
      <c r="X265" s="53"/>
      <c r="Y265" s="52"/>
      <c r="Z265" s="52"/>
      <c r="AA265" s="52"/>
      <c r="AB265" s="52"/>
      <c r="AC265" s="52"/>
      <c r="AD265" s="52"/>
      <c r="AE265" s="52"/>
      <c r="AF265" s="52"/>
      <c r="AG265" s="53"/>
      <c r="AH265" s="54"/>
      <c r="AI265" s="55"/>
      <c r="AJ265" s="56"/>
      <c r="AK265" s="57"/>
      <c r="AL265" s="57" t="s">
        <v>98</v>
      </c>
    </row>
    <row r="266" spans="1:38" ht="31.95" customHeight="1" x14ac:dyDescent="0.3">
      <c r="A266" s="66">
        <v>44075</v>
      </c>
      <c r="B266" s="195">
        <v>0.66688657407407403</v>
      </c>
      <c r="C266" s="39"/>
      <c r="D266" s="39">
        <f>IF(I266=Categories!$E$4,VLOOKUP(H266,Categories!$A$4:$C$15,3,FALSE),VLOOKUP(I266,Categories!$E$4:$G$27,3,FALSE))</f>
        <v>120</v>
      </c>
      <c r="E266" s="39"/>
      <c r="F266" s="39"/>
      <c r="G266" s="40">
        <v>28</v>
      </c>
      <c r="H266" s="41" t="s">
        <v>62</v>
      </c>
      <c r="I266" s="68" t="s">
        <v>58</v>
      </c>
      <c r="J266" s="42"/>
      <c r="K266" s="60">
        <v>2200</v>
      </c>
      <c r="L266" s="43" t="s">
        <v>58</v>
      </c>
      <c r="M266" s="44" t="str">
        <f>IFERROR(VLOOKUP(VLOOKUP(O266,O266,1,1),Categories!$K$4:$V$17,2+VLOOKUP(L266,L266,1,FALSE),FALSE),"-"  )</f>
        <v>-</v>
      </c>
      <c r="N266" s="44" t="str">
        <f>IFERROR(VLOOKUP(VLOOKUP(O266,O266,1,1),Categories!$K$3:$V$17,7+VLOOKUP(L266,L266,1,FALSE),FALSE),"-")</f>
        <v>-</v>
      </c>
      <c r="O266" s="45" t="s">
        <v>58</v>
      </c>
      <c r="P266" s="46">
        <v>40</v>
      </c>
      <c r="Q266" s="47">
        <f t="shared" si="4"/>
        <v>2.9039999999999999</v>
      </c>
      <c r="R266" s="48"/>
      <c r="S266" s="48"/>
      <c r="T266" s="49"/>
      <c r="U266" s="61"/>
      <c r="V266" s="50">
        <v>1.7</v>
      </c>
      <c r="W266" s="50">
        <v>1.7</v>
      </c>
      <c r="X266" s="53"/>
      <c r="Y266" s="52"/>
      <c r="Z266" s="52"/>
      <c r="AA266" s="52"/>
      <c r="AB266" s="52"/>
      <c r="AC266" s="52"/>
      <c r="AD266" s="52"/>
      <c r="AE266" s="52"/>
      <c r="AF266" s="52"/>
      <c r="AG266" s="53"/>
      <c r="AH266" s="54"/>
      <c r="AI266" s="55"/>
      <c r="AJ266" s="56"/>
      <c r="AK266" s="57"/>
      <c r="AL266" s="57" t="s">
        <v>100</v>
      </c>
    </row>
    <row r="267" spans="1:38" ht="31.95" customHeight="1" x14ac:dyDescent="0.3">
      <c r="A267" s="66">
        <v>44075</v>
      </c>
      <c r="B267" s="195">
        <v>0.6683796296296296</v>
      </c>
      <c r="C267" s="39"/>
      <c r="D267" s="39">
        <f>IF(I267=Categories!$E$4,VLOOKUP(H267,Categories!$A$4:$C$15,3,FALSE),VLOOKUP(I267,Categories!$E$4:$G$27,3,FALSE))</f>
        <v>60</v>
      </c>
      <c r="E267" s="39"/>
      <c r="F267" s="39"/>
      <c r="G267" s="40">
        <v>28</v>
      </c>
      <c r="H267" s="41" t="s">
        <v>66</v>
      </c>
      <c r="I267" s="59" t="s">
        <v>103</v>
      </c>
      <c r="J267" s="42"/>
      <c r="K267" s="60">
        <v>2200</v>
      </c>
      <c r="L267" s="43" t="s">
        <v>58</v>
      </c>
      <c r="M267" s="44" t="str">
        <f>IFERROR(VLOOKUP(VLOOKUP(O267,O267,1,1),Categories!$K$4:$V$17,2+VLOOKUP(L267,L267,1,FALSE),FALSE),"-"  )</f>
        <v>-</v>
      </c>
      <c r="N267" s="44" t="str">
        <f>IFERROR(VLOOKUP(VLOOKUP(O267,O267,1,1),Categories!$K$3:$V$17,7+VLOOKUP(L267,L267,1,FALSE),FALSE),"-")</f>
        <v>-</v>
      </c>
      <c r="O267" s="45" t="s">
        <v>58</v>
      </c>
      <c r="P267" s="71">
        <v>60</v>
      </c>
      <c r="Q267" s="47">
        <f t="shared" si="4"/>
        <v>1.9359999999999999</v>
      </c>
      <c r="R267" s="48"/>
      <c r="S267" s="48"/>
      <c r="T267" s="49"/>
      <c r="U267" s="61"/>
      <c r="V267" s="50"/>
      <c r="W267" s="50"/>
      <c r="X267" s="53"/>
      <c r="Y267" s="52"/>
      <c r="Z267" s="52"/>
      <c r="AA267" s="52"/>
      <c r="AB267" s="52"/>
      <c r="AC267" s="52"/>
      <c r="AD267" s="52"/>
      <c r="AE267" s="52"/>
      <c r="AF267" s="52"/>
      <c r="AG267" s="53"/>
      <c r="AH267" s="54"/>
      <c r="AI267" s="55"/>
      <c r="AJ267" s="56"/>
      <c r="AK267" s="57"/>
      <c r="AL267" s="57" t="s">
        <v>98</v>
      </c>
    </row>
    <row r="268" spans="1:38" ht="31.95" customHeight="1" x14ac:dyDescent="0.3">
      <c r="A268" s="66">
        <v>44075</v>
      </c>
      <c r="B268" s="195">
        <v>0.66935185185185186</v>
      </c>
      <c r="C268" s="39"/>
      <c r="D268" s="39">
        <f>IF(I268=Categories!$E$4,VLOOKUP(H268,Categories!$A$4:$C$15,3,FALSE),VLOOKUP(I268,Categories!$E$4:$G$27,3,FALSE))</f>
        <v>120</v>
      </c>
      <c r="E268" s="39"/>
      <c r="F268" s="39"/>
      <c r="G268" s="40">
        <v>28</v>
      </c>
      <c r="H268" s="41" t="s">
        <v>62</v>
      </c>
      <c r="I268" s="68" t="s">
        <v>58</v>
      </c>
      <c r="J268" s="42"/>
      <c r="K268" s="60">
        <v>2200</v>
      </c>
      <c r="L268" s="43" t="s">
        <v>58</v>
      </c>
      <c r="M268" s="44" t="str">
        <f>IFERROR(VLOOKUP(VLOOKUP(O268,O268,1,1),Categories!$K$4:$V$17,2+VLOOKUP(L268,L268,1,FALSE),FALSE),"-"  )</f>
        <v>-</v>
      </c>
      <c r="N268" s="44" t="str">
        <f>IFERROR(VLOOKUP(VLOOKUP(O268,O268,1,1),Categories!$K$3:$V$17,7+VLOOKUP(L268,L268,1,FALSE),FALSE),"-")</f>
        <v>-</v>
      </c>
      <c r="O268" s="45" t="s">
        <v>58</v>
      </c>
      <c r="P268" s="46">
        <v>60</v>
      </c>
      <c r="Q268" s="47">
        <f t="shared" si="4"/>
        <v>1.9359999999999999</v>
      </c>
      <c r="R268" s="48"/>
      <c r="S268" s="48"/>
      <c r="T268" s="49"/>
      <c r="U268" s="61"/>
      <c r="V268" s="50">
        <v>1</v>
      </c>
      <c r="W268" s="50">
        <v>1.5</v>
      </c>
      <c r="X268" s="53"/>
      <c r="Y268" s="52"/>
      <c r="Z268" s="52"/>
      <c r="AA268" s="52"/>
      <c r="AB268" s="52"/>
      <c r="AC268" s="52"/>
      <c r="AD268" s="52"/>
      <c r="AE268" s="52"/>
      <c r="AF268" s="52"/>
      <c r="AG268" s="53"/>
      <c r="AH268" s="54"/>
      <c r="AI268" s="55"/>
      <c r="AJ268" s="56"/>
      <c r="AK268" s="57"/>
      <c r="AL268" s="57" t="s">
        <v>101</v>
      </c>
    </row>
    <row r="269" spans="1:38" ht="31.95" customHeight="1" x14ac:dyDescent="0.3">
      <c r="A269" s="66">
        <v>44075</v>
      </c>
      <c r="B269" s="195">
        <v>0.67082175925925924</v>
      </c>
      <c r="C269" s="39"/>
      <c r="D269" s="39">
        <f>IF(I269=Categories!$E$4,VLOOKUP(H269,Categories!$A$4:$C$15,3,FALSE),VLOOKUP(I269,Categories!$E$4:$G$27,3,FALSE))</f>
        <v>60</v>
      </c>
      <c r="E269" s="39"/>
      <c r="F269" s="39"/>
      <c r="G269" s="40">
        <v>28</v>
      </c>
      <c r="H269" s="41" t="s">
        <v>66</v>
      </c>
      <c r="I269" s="59" t="s">
        <v>103</v>
      </c>
      <c r="J269" s="42"/>
      <c r="K269" s="60">
        <v>2200</v>
      </c>
      <c r="L269" s="43" t="s">
        <v>58</v>
      </c>
      <c r="M269" s="44" t="str">
        <f>IFERROR(VLOOKUP(VLOOKUP(O269,O269,1,1),Categories!$K$4:$V$17,2+VLOOKUP(L269,L269,1,FALSE),FALSE),"-"  )</f>
        <v>-</v>
      </c>
      <c r="N269" s="44" t="str">
        <f>IFERROR(VLOOKUP(VLOOKUP(O269,O269,1,1),Categories!$K$3:$V$17,7+VLOOKUP(L269,L269,1,FALSE),FALSE),"-")</f>
        <v>-</v>
      </c>
      <c r="O269" s="45" t="s">
        <v>58</v>
      </c>
      <c r="P269" s="71">
        <v>80</v>
      </c>
      <c r="Q269" s="47">
        <f t="shared" si="4"/>
        <v>0.96799999999999975</v>
      </c>
      <c r="R269" s="48"/>
      <c r="S269" s="48"/>
      <c r="T269" s="49"/>
      <c r="U269" s="61"/>
      <c r="V269" s="50"/>
      <c r="W269" s="50"/>
      <c r="X269" s="53"/>
      <c r="Y269" s="52"/>
      <c r="Z269" s="52"/>
      <c r="AA269" s="52"/>
      <c r="AB269" s="52"/>
      <c r="AC269" s="52"/>
      <c r="AD269" s="52"/>
      <c r="AE269" s="52"/>
      <c r="AF269" s="52"/>
      <c r="AG269" s="53"/>
      <c r="AH269" s="54"/>
      <c r="AI269" s="55"/>
      <c r="AJ269" s="56"/>
      <c r="AK269" s="57"/>
      <c r="AL269" s="57" t="s">
        <v>98</v>
      </c>
    </row>
    <row r="270" spans="1:38" ht="31.95" customHeight="1" x14ac:dyDescent="0.3">
      <c r="A270" s="66">
        <v>44075</v>
      </c>
      <c r="B270" s="195">
        <v>0.67177083333333332</v>
      </c>
      <c r="C270" s="39"/>
      <c r="D270" s="39">
        <f>IF(I270=Categories!$E$4,VLOOKUP(H270,Categories!$A$4:$C$15,3,FALSE),VLOOKUP(I270,Categories!$E$4:$G$27,3,FALSE))</f>
        <v>120</v>
      </c>
      <c r="E270" s="39"/>
      <c r="F270" s="39"/>
      <c r="G270" s="40">
        <v>28</v>
      </c>
      <c r="H270" s="41" t="s">
        <v>62</v>
      </c>
      <c r="I270" s="68" t="s">
        <v>58</v>
      </c>
      <c r="J270" s="42"/>
      <c r="K270" s="60">
        <v>2200</v>
      </c>
      <c r="L270" s="43" t="s">
        <v>58</v>
      </c>
      <c r="M270" s="44" t="str">
        <f>IFERROR(VLOOKUP(VLOOKUP(O270,O270,1,1),Categories!$K$4:$V$17,2+VLOOKUP(L270,L270,1,FALSE),FALSE),"-"  )</f>
        <v>-</v>
      </c>
      <c r="N270" s="44" t="str">
        <f>IFERROR(VLOOKUP(VLOOKUP(O270,O270,1,1),Categories!$K$3:$V$17,7+VLOOKUP(L270,L270,1,FALSE),FALSE),"-")</f>
        <v>-</v>
      </c>
      <c r="O270" s="45" t="s">
        <v>58</v>
      </c>
      <c r="P270" s="46">
        <v>80</v>
      </c>
      <c r="Q270" s="47">
        <f t="shared" si="4"/>
        <v>0.96799999999999975</v>
      </c>
      <c r="R270" s="48"/>
      <c r="S270" s="48"/>
      <c r="T270" s="49"/>
      <c r="U270" s="61"/>
      <c r="V270" s="50">
        <v>0.3</v>
      </c>
      <c r="W270" s="50">
        <v>1.2</v>
      </c>
      <c r="X270" s="53"/>
      <c r="Y270" s="52"/>
      <c r="Z270" s="52"/>
      <c r="AA270" s="52"/>
      <c r="AB270" s="52"/>
      <c r="AC270" s="52"/>
      <c r="AD270" s="52"/>
      <c r="AE270" s="52"/>
      <c r="AF270" s="52"/>
      <c r="AG270" s="53"/>
      <c r="AH270" s="54"/>
      <c r="AI270" s="55"/>
      <c r="AJ270" s="56"/>
      <c r="AK270" s="57"/>
      <c r="AL270" s="57" t="s">
        <v>102</v>
      </c>
    </row>
    <row r="271" spans="1:38" ht="31.95" customHeight="1" x14ac:dyDescent="0.3">
      <c r="A271" s="37">
        <v>44075</v>
      </c>
      <c r="B271" s="194">
        <v>0.67320601851851858</v>
      </c>
      <c r="C271" s="39"/>
      <c r="D271" s="39"/>
      <c r="E271" s="39"/>
      <c r="F271" s="39"/>
      <c r="G271" s="40" t="s">
        <v>58</v>
      </c>
      <c r="H271" s="41" t="s">
        <v>66</v>
      </c>
      <c r="I271" s="59" t="s">
        <v>67</v>
      </c>
      <c r="J271" s="42"/>
      <c r="K271" s="60">
        <v>2500</v>
      </c>
      <c r="L271" s="43" t="s">
        <v>58</v>
      </c>
      <c r="M271" s="44" t="str">
        <f>IFERROR(VLOOKUP(VLOOKUP(O271,O271,1,1),Categories!$K$4:$V$17,2+VLOOKUP(L271,L271,1,FALSE),FALSE),"-"  )</f>
        <v>-</v>
      </c>
      <c r="N271" s="44" t="str">
        <f>IFERROR(VLOOKUP(VLOOKUP(O271,O271,1,1),Categories!$K$3:$V$17,7+VLOOKUP(L271,L271,1,FALSE),FALSE),"-")</f>
        <v>-</v>
      </c>
      <c r="O271" s="45" t="s">
        <v>58</v>
      </c>
      <c r="P271" s="46" t="s">
        <v>58</v>
      </c>
      <c r="Q271" s="47" t="s">
        <v>58</v>
      </c>
      <c r="R271" s="61"/>
      <c r="S271" s="61"/>
      <c r="T271" s="62"/>
      <c r="U271" s="61"/>
      <c r="V271" s="63"/>
      <c r="W271" s="63"/>
      <c r="X271" s="51"/>
      <c r="Y271" s="64"/>
      <c r="Z271" s="64"/>
      <c r="AA271" s="64"/>
      <c r="AB271" s="64"/>
      <c r="AC271" s="64"/>
      <c r="AD271" s="64"/>
      <c r="AE271" s="64"/>
      <c r="AF271" s="64"/>
      <c r="AG271" s="51"/>
      <c r="AH271" s="65"/>
      <c r="AI271" s="55"/>
      <c r="AJ271" s="57"/>
      <c r="AK271" s="57"/>
      <c r="AL271" s="57"/>
    </row>
    <row r="272" spans="1:38" ht="31.95" customHeight="1" x14ac:dyDescent="0.3">
      <c r="A272" s="37">
        <v>44075</v>
      </c>
      <c r="B272" s="194">
        <v>0.67361111111111116</v>
      </c>
      <c r="C272" s="39"/>
      <c r="D272" s="39">
        <f>IF(I272=Categories!$E$4,VLOOKUP(H272,Categories!$A$4:$C$15,3,FALSE),VLOOKUP(I272,Categories!$E$4:$G$27,3,FALSE))</f>
        <v>60</v>
      </c>
      <c r="E272" s="39"/>
      <c r="F272" s="39"/>
      <c r="G272" s="40" t="s">
        <v>58</v>
      </c>
      <c r="H272" s="41" t="s">
        <v>66</v>
      </c>
      <c r="I272" s="59" t="s">
        <v>103</v>
      </c>
      <c r="J272" s="42"/>
      <c r="K272" s="60">
        <v>2500</v>
      </c>
      <c r="L272" s="43" t="s">
        <v>58</v>
      </c>
      <c r="M272" s="44" t="str">
        <f>IFERROR(VLOOKUP(VLOOKUP(O272,O272,1,1),Categories!$K$4:$V$17,2+VLOOKUP(L272,L272,1,FALSE),FALSE),"-"  )</f>
        <v>-</v>
      </c>
      <c r="N272" s="44" t="str">
        <f>IFERROR(VLOOKUP(VLOOKUP(O272,O272,1,1),Categories!$K$3:$V$17,7+VLOOKUP(L272,L272,1,FALSE),FALSE),"-")</f>
        <v>-</v>
      </c>
      <c r="O272" s="45" t="s">
        <v>58</v>
      </c>
      <c r="P272" s="71">
        <v>10</v>
      </c>
      <c r="Q272" s="47">
        <f t="shared" ref="Q272:Q279" si="5">$X$258*(1-$P272/100)</f>
        <v>5.0130000000000008</v>
      </c>
      <c r="R272" s="61"/>
      <c r="S272" s="61"/>
      <c r="T272" s="62"/>
      <c r="U272" s="61"/>
      <c r="V272" s="63"/>
      <c r="W272" s="63"/>
      <c r="X272" s="51"/>
      <c r="Y272" s="64"/>
      <c r="Z272" s="64"/>
      <c r="AA272" s="64"/>
      <c r="AB272" s="64"/>
      <c r="AC272" s="64"/>
      <c r="AD272" s="64"/>
      <c r="AE272" s="64"/>
      <c r="AF272" s="64"/>
      <c r="AG272" s="51"/>
      <c r="AH272" s="65"/>
      <c r="AI272" s="55"/>
      <c r="AJ272" s="57"/>
      <c r="AK272" s="57"/>
      <c r="AL272" s="57" t="s">
        <v>363</v>
      </c>
    </row>
    <row r="273" spans="1:38" ht="31.95" customHeight="1" x14ac:dyDescent="0.3">
      <c r="A273" s="66">
        <v>44075</v>
      </c>
      <c r="B273" s="195">
        <v>0.67394675925925929</v>
      </c>
      <c r="C273" s="39"/>
      <c r="D273" s="39">
        <f>IF(I273=Categories!$E$4,VLOOKUP(H273,Categories!$A$4:$C$15,3,FALSE),VLOOKUP(I273,Categories!$E$4:$G$27,3,FALSE))</f>
        <v>120</v>
      </c>
      <c r="E273" s="39"/>
      <c r="F273" s="39"/>
      <c r="G273" s="40">
        <v>29</v>
      </c>
      <c r="H273" s="41" t="s">
        <v>62</v>
      </c>
      <c r="I273" s="68" t="s">
        <v>58</v>
      </c>
      <c r="J273" s="42"/>
      <c r="K273" s="60">
        <v>2500</v>
      </c>
      <c r="L273" s="43" t="s">
        <v>58</v>
      </c>
      <c r="M273" s="44" t="str">
        <f>IFERROR(VLOOKUP(VLOOKUP(O273,O273,1,1),Categories!$K$4:$V$17,2+VLOOKUP(L273,L273,1,FALSE),FALSE),"-"  )</f>
        <v>-</v>
      </c>
      <c r="N273" s="44" t="str">
        <f>IFERROR(VLOOKUP(VLOOKUP(O273,O273,1,1),Categories!$K$3:$V$17,7+VLOOKUP(L273,L273,1,FALSE),FALSE),"-")</f>
        <v>-</v>
      </c>
      <c r="O273" s="45" t="s">
        <v>58</v>
      </c>
      <c r="P273" s="46">
        <v>10</v>
      </c>
      <c r="Q273" s="47">
        <f t="shared" si="5"/>
        <v>5.0130000000000008</v>
      </c>
      <c r="R273" s="48"/>
      <c r="S273" s="48"/>
      <c r="T273" s="49"/>
      <c r="U273" s="61"/>
      <c r="V273" s="50">
        <v>3.5</v>
      </c>
      <c r="W273" s="50">
        <v>2.9</v>
      </c>
      <c r="X273" s="53"/>
      <c r="Y273" s="52"/>
      <c r="Z273" s="52"/>
      <c r="AA273" s="52"/>
      <c r="AB273" s="52"/>
      <c r="AC273" s="52"/>
      <c r="AD273" s="52"/>
      <c r="AE273" s="52"/>
      <c r="AF273" s="52"/>
      <c r="AG273" s="53"/>
      <c r="AH273" s="54"/>
      <c r="AI273" s="55"/>
      <c r="AJ273" s="56"/>
      <c r="AK273" s="57"/>
      <c r="AL273" s="57" t="s">
        <v>364</v>
      </c>
    </row>
    <row r="274" spans="1:38" ht="31.95" customHeight="1" x14ac:dyDescent="0.3">
      <c r="A274" s="37">
        <v>44075</v>
      </c>
      <c r="B274" s="194">
        <v>0.67541666666666667</v>
      </c>
      <c r="C274" s="39"/>
      <c r="D274" s="39">
        <f>IF(I274=Categories!$E$4,VLOOKUP(H274,Categories!$A$4:$C$15,3,FALSE),VLOOKUP(I274,Categories!$E$4:$G$27,3,FALSE))</f>
        <v>60</v>
      </c>
      <c r="E274" s="39"/>
      <c r="F274" s="39"/>
      <c r="G274" s="40">
        <v>29</v>
      </c>
      <c r="H274" s="41" t="s">
        <v>66</v>
      </c>
      <c r="I274" s="59" t="s">
        <v>103</v>
      </c>
      <c r="J274" s="42"/>
      <c r="K274" s="60">
        <v>2500</v>
      </c>
      <c r="L274" s="43" t="s">
        <v>58</v>
      </c>
      <c r="M274" s="44" t="str">
        <f>IFERROR(VLOOKUP(VLOOKUP(O274,O274,1,1),Categories!$K$4:$V$17,2+VLOOKUP(L274,L274,1,FALSE),FALSE),"-"  )</f>
        <v>-</v>
      </c>
      <c r="N274" s="44" t="str">
        <f>IFERROR(VLOOKUP(VLOOKUP(O274,O274,1,1),Categories!$K$3:$V$17,7+VLOOKUP(L274,L274,1,FALSE),FALSE),"-")</f>
        <v>-</v>
      </c>
      <c r="O274" s="45" t="s">
        <v>58</v>
      </c>
      <c r="P274" s="71">
        <v>20</v>
      </c>
      <c r="Q274" s="47">
        <f t="shared" si="5"/>
        <v>4.4560000000000004</v>
      </c>
      <c r="R274" s="61"/>
      <c r="S274" s="61"/>
      <c r="T274" s="62"/>
      <c r="U274" s="61"/>
      <c r="V274" s="63"/>
      <c r="W274" s="63"/>
      <c r="X274" s="51"/>
      <c r="Y274" s="64"/>
      <c r="Z274" s="64"/>
      <c r="AA274" s="64"/>
      <c r="AB274" s="64"/>
      <c r="AC274" s="64"/>
      <c r="AD274" s="64"/>
      <c r="AE274" s="64"/>
      <c r="AF274" s="64"/>
      <c r="AG274" s="51"/>
      <c r="AH274" s="65"/>
      <c r="AI274" s="55"/>
      <c r="AJ274" s="57"/>
      <c r="AK274" s="57"/>
      <c r="AL274" s="57" t="s">
        <v>363</v>
      </c>
    </row>
    <row r="275" spans="1:38" ht="31.95" customHeight="1" x14ac:dyDescent="0.3">
      <c r="A275" s="66">
        <v>44075</v>
      </c>
      <c r="B275" s="195">
        <v>0.67611111111111111</v>
      </c>
      <c r="C275" s="39"/>
      <c r="D275" s="39">
        <f>IF(I275=Categories!$E$4,VLOOKUP(H275,Categories!$A$4:$C$15,3,FALSE),VLOOKUP(I275,Categories!$E$4:$G$27,3,FALSE))</f>
        <v>120</v>
      </c>
      <c r="E275" s="39"/>
      <c r="F275" s="39"/>
      <c r="G275" s="40">
        <v>29</v>
      </c>
      <c r="H275" s="41" t="s">
        <v>62</v>
      </c>
      <c r="I275" s="68" t="s">
        <v>58</v>
      </c>
      <c r="J275" s="42"/>
      <c r="K275" s="60">
        <v>2500</v>
      </c>
      <c r="L275" s="43" t="s">
        <v>58</v>
      </c>
      <c r="M275" s="44" t="str">
        <f>IFERROR(VLOOKUP(VLOOKUP(O275,O275,1,1),Categories!$K$4:$V$17,2+VLOOKUP(L275,L275,1,FALSE),FALSE),"-"  )</f>
        <v>-</v>
      </c>
      <c r="N275" s="44" t="str">
        <f>IFERROR(VLOOKUP(VLOOKUP(O275,O275,1,1),Categories!$K$3:$V$17,7+VLOOKUP(L275,L275,1,FALSE),FALSE),"-")</f>
        <v>-</v>
      </c>
      <c r="O275" s="45" t="s">
        <v>58</v>
      </c>
      <c r="P275" s="46">
        <v>20</v>
      </c>
      <c r="Q275" s="47">
        <f t="shared" si="5"/>
        <v>4.4560000000000004</v>
      </c>
      <c r="R275" s="48"/>
      <c r="S275" s="48"/>
      <c r="T275" s="49"/>
      <c r="U275" s="61"/>
      <c r="V275" s="50">
        <v>3.1</v>
      </c>
      <c r="W275" s="50">
        <v>2.7</v>
      </c>
      <c r="X275" s="53"/>
      <c r="Y275" s="52"/>
      <c r="Z275" s="52"/>
      <c r="AA275" s="52"/>
      <c r="AB275" s="52"/>
      <c r="AC275" s="52"/>
      <c r="AD275" s="52"/>
      <c r="AE275" s="52"/>
      <c r="AF275" s="52"/>
      <c r="AG275" s="53"/>
      <c r="AH275" s="54"/>
      <c r="AI275" s="55"/>
      <c r="AJ275" s="56"/>
      <c r="AK275" s="57"/>
      <c r="AL275" s="57" t="s">
        <v>99</v>
      </c>
    </row>
    <row r="276" spans="1:38" ht="31.95" customHeight="1" x14ac:dyDescent="0.3">
      <c r="A276" s="66">
        <v>44075</v>
      </c>
      <c r="B276" s="195">
        <v>0.67818287037037039</v>
      </c>
      <c r="C276" s="39"/>
      <c r="D276" s="39">
        <f>IF(I276=Categories!$E$4,VLOOKUP(H276,Categories!$A$4:$C$15,3,FALSE),VLOOKUP(I276,Categories!$E$4:$G$27,3,FALSE))</f>
        <v>60</v>
      </c>
      <c r="E276" s="39"/>
      <c r="F276" s="39"/>
      <c r="G276" s="40">
        <v>29</v>
      </c>
      <c r="H276" s="41" t="s">
        <v>66</v>
      </c>
      <c r="I276" s="59" t="s">
        <v>103</v>
      </c>
      <c r="J276" s="42"/>
      <c r="K276" s="60">
        <v>2500</v>
      </c>
      <c r="L276" s="43" t="s">
        <v>58</v>
      </c>
      <c r="M276" s="44" t="str">
        <f>IFERROR(VLOOKUP(VLOOKUP(O276,O276,1,1),Categories!$K$4:$V$17,2+VLOOKUP(L276,L276,1,FALSE),FALSE),"-"  )</f>
        <v>-</v>
      </c>
      <c r="N276" s="44" t="str">
        <f>IFERROR(VLOOKUP(VLOOKUP(O276,O276,1,1),Categories!$K$3:$V$17,7+VLOOKUP(L276,L276,1,FALSE),FALSE),"-")</f>
        <v>-</v>
      </c>
      <c r="O276" s="45" t="s">
        <v>58</v>
      </c>
      <c r="P276" s="71">
        <v>40</v>
      </c>
      <c r="Q276" s="47">
        <f t="shared" si="5"/>
        <v>3.3420000000000001</v>
      </c>
      <c r="R276" s="48"/>
      <c r="S276" s="48"/>
      <c r="T276" s="49"/>
      <c r="U276" s="61"/>
      <c r="V276" s="50"/>
      <c r="W276" s="50"/>
      <c r="X276" s="53"/>
      <c r="Y276" s="52"/>
      <c r="Z276" s="52"/>
      <c r="AA276" s="52"/>
      <c r="AB276" s="52"/>
      <c r="AC276" s="52"/>
      <c r="AD276" s="52"/>
      <c r="AE276" s="52"/>
      <c r="AF276" s="52"/>
      <c r="AG276" s="53"/>
      <c r="AH276" s="54"/>
      <c r="AI276" s="55"/>
      <c r="AJ276" s="56"/>
      <c r="AK276" s="57"/>
      <c r="AL276" s="57" t="s">
        <v>98</v>
      </c>
    </row>
    <row r="277" spans="1:38" ht="31.95" customHeight="1" x14ac:dyDescent="0.3">
      <c r="A277" s="66">
        <v>44075</v>
      </c>
      <c r="B277" s="195">
        <v>0.6789236111111111</v>
      </c>
      <c r="C277" s="39"/>
      <c r="D277" s="39">
        <f>IF(I277=Categories!$E$4,VLOOKUP(H277,Categories!$A$4:$C$15,3,FALSE),VLOOKUP(I277,Categories!$E$4:$G$27,3,FALSE))</f>
        <v>120</v>
      </c>
      <c r="E277" s="39"/>
      <c r="F277" s="39"/>
      <c r="G277" s="40">
        <v>29</v>
      </c>
      <c r="H277" s="41" t="s">
        <v>62</v>
      </c>
      <c r="I277" s="68" t="s">
        <v>58</v>
      </c>
      <c r="J277" s="42"/>
      <c r="K277" s="60">
        <v>2500</v>
      </c>
      <c r="L277" s="43" t="s">
        <v>58</v>
      </c>
      <c r="M277" s="44" t="str">
        <f>IFERROR(VLOOKUP(VLOOKUP(O277,O277,1,1),Categories!$K$4:$V$17,2+VLOOKUP(L277,L277,1,FALSE),FALSE),"-"  )</f>
        <v>-</v>
      </c>
      <c r="N277" s="44" t="str">
        <f>IFERROR(VLOOKUP(VLOOKUP(O277,O277,1,1),Categories!$K$3:$V$17,7+VLOOKUP(L277,L277,1,FALSE),FALSE),"-")</f>
        <v>-</v>
      </c>
      <c r="O277" s="45" t="s">
        <v>58</v>
      </c>
      <c r="P277" s="46">
        <v>40</v>
      </c>
      <c r="Q277" s="47">
        <f t="shared" si="5"/>
        <v>3.3420000000000001</v>
      </c>
      <c r="R277" s="48"/>
      <c r="S277" s="48"/>
      <c r="T277" s="49"/>
      <c r="U277" s="61"/>
      <c r="V277" s="50">
        <v>2.2000000000000002</v>
      </c>
      <c r="W277" s="50">
        <v>2.4</v>
      </c>
      <c r="X277" s="53"/>
      <c r="Y277" s="52"/>
      <c r="Z277" s="52"/>
      <c r="AA277" s="52"/>
      <c r="AB277" s="52"/>
      <c r="AC277" s="52"/>
      <c r="AD277" s="52"/>
      <c r="AE277" s="52"/>
      <c r="AF277" s="52"/>
      <c r="AG277" s="53"/>
      <c r="AH277" s="54"/>
      <c r="AI277" s="55"/>
      <c r="AJ277" s="56"/>
      <c r="AK277" s="57"/>
      <c r="AL277" s="57" t="s">
        <v>100</v>
      </c>
    </row>
    <row r="278" spans="1:38" ht="31.95" customHeight="1" x14ac:dyDescent="0.3">
      <c r="A278" s="66">
        <v>44075</v>
      </c>
      <c r="B278" s="195">
        <v>0.6810532407407407</v>
      </c>
      <c r="C278" s="39"/>
      <c r="D278" s="39">
        <f>IF(I278=Categories!$E$4,VLOOKUP(H278,Categories!$A$4:$C$15,3,FALSE),VLOOKUP(I278,Categories!$E$4:$G$27,3,FALSE))</f>
        <v>60</v>
      </c>
      <c r="E278" s="39"/>
      <c r="F278" s="39"/>
      <c r="G278" s="40">
        <v>29</v>
      </c>
      <c r="H278" s="41" t="s">
        <v>66</v>
      </c>
      <c r="I278" s="59" t="s">
        <v>103</v>
      </c>
      <c r="J278" s="42"/>
      <c r="K278" s="60">
        <v>2500</v>
      </c>
      <c r="L278" s="43" t="s">
        <v>58</v>
      </c>
      <c r="M278" s="44" t="str">
        <f>IFERROR(VLOOKUP(VLOOKUP(O278,O278,1,1),Categories!$K$4:$V$17,2+VLOOKUP(L278,L278,1,FALSE),FALSE),"-"  )</f>
        <v>-</v>
      </c>
      <c r="N278" s="44" t="str">
        <f>IFERROR(VLOOKUP(VLOOKUP(O278,O278,1,1),Categories!$K$3:$V$17,7+VLOOKUP(L278,L278,1,FALSE),FALSE),"-")</f>
        <v>-</v>
      </c>
      <c r="O278" s="45" t="s">
        <v>58</v>
      </c>
      <c r="P278" s="71">
        <v>60</v>
      </c>
      <c r="Q278" s="47">
        <f t="shared" si="5"/>
        <v>2.2280000000000002</v>
      </c>
      <c r="R278" s="48"/>
      <c r="S278" s="48"/>
      <c r="T278" s="49"/>
      <c r="U278" s="61"/>
      <c r="V278" s="50"/>
      <c r="W278" s="50"/>
      <c r="X278" s="53"/>
      <c r="Y278" s="52"/>
      <c r="Z278" s="52"/>
      <c r="AA278" s="52"/>
      <c r="AB278" s="52"/>
      <c r="AC278" s="52"/>
      <c r="AD278" s="52"/>
      <c r="AE278" s="52"/>
      <c r="AF278" s="52"/>
      <c r="AG278" s="53"/>
      <c r="AH278" s="54"/>
      <c r="AI278" s="55"/>
      <c r="AJ278" s="56"/>
      <c r="AK278" s="57"/>
      <c r="AL278" s="57" t="s">
        <v>98</v>
      </c>
    </row>
    <row r="279" spans="1:38" ht="31.95" customHeight="1" x14ac:dyDescent="0.3">
      <c r="A279" s="66">
        <v>44075</v>
      </c>
      <c r="B279" s="195">
        <v>0.68174768518518514</v>
      </c>
      <c r="C279" s="39"/>
      <c r="D279" s="39">
        <f>IF(I279=Categories!$E$4,VLOOKUP(H279,Categories!$A$4:$C$15,3,FALSE),VLOOKUP(I279,Categories!$E$4:$G$27,3,FALSE))</f>
        <v>120</v>
      </c>
      <c r="E279" s="39"/>
      <c r="F279" s="39"/>
      <c r="G279" s="40">
        <v>29</v>
      </c>
      <c r="H279" s="41" t="s">
        <v>62</v>
      </c>
      <c r="I279" s="68" t="s">
        <v>58</v>
      </c>
      <c r="J279" s="42"/>
      <c r="K279" s="60">
        <v>2500</v>
      </c>
      <c r="L279" s="43" t="s">
        <v>58</v>
      </c>
      <c r="M279" s="44" t="str">
        <f>IFERROR(VLOOKUP(VLOOKUP(O279,O279,1,1),Categories!$K$4:$V$17,2+VLOOKUP(L279,L279,1,FALSE),FALSE),"-"  )</f>
        <v>-</v>
      </c>
      <c r="N279" s="44" t="str">
        <f>IFERROR(VLOOKUP(VLOOKUP(O279,O279,1,1),Categories!$K$3:$V$17,7+VLOOKUP(L279,L279,1,FALSE),FALSE),"-")</f>
        <v>-</v>
      </c>
      <c r="O279" s="45" t="s">
        <v>58</v>
      </c>
      <c r="P279" s="46">
        <v>60</v>
      </c>
      <c r="Q279" s="47">
        <f t="shared" si="5"/>
        <v>2.2280000000000002</v>
      </c>
      <c r="R279" s="48"/>
      <c r="S279" s="48"/>
      <c r="T279" s="49"/>
      <c r="U279" s="61"/>
      <c r="V279" s="50">
        <v>1.2</v>
      </c>
      <c r="W279" s="50">
        <v>2</v>
      </c>
      <c r="X279" s="53"/>
      <c r="Y279" s="52"/>
      <c r="Z279" s="52"/>
      <c r="AA279" s="52"/>
      <c r="AB279" s="52"/>
      <c r="AC279" s="52"/>
      <c r="AD279" s="52"/>
      <c r="AE279" s="52"/>
      <c r="AF279" s="52"/>
      <c r="AG279" s="53"/>
      <c r="AH279" s="54"/>
      <c r="AI279" s="55"/>
      <c r="AJ279" s="56"/>
      <c r="AK279" s="57"/>
      <c r="AL279" s="57" t="s">
        <v>101</v>
      </c>
    </row>
    <row r="280" spans="1:38" ht="31.95" customHeight="1" x14ac:dyDescent="0.3">
      <c r="A280" s="66">
        <v>44075</v>
      </c>
      <c r="B280" s="195">
        <v>0.68346064814814822</v>
      </c>
      <c r="C280" s="39"/>
      <c r="D280" s="39">
        <f>IF(I280=Categories!$E$4,VLOOKUP(H280,Categories!$A$4:$C$15,3,FALSE),VLOOKUP(I280,Categories!$E$4:$G$27,3,FALSE))</f>
        <v>60</v>
      </c>
      <c r="E280" s="39"/>
      <c r="F280" s="39"/>
      <c r="G280" s="40">
        <v>29</v>
      </c>
      <c r="H280" s="41" t="s">
        <v>66</v>
      </c>
      <c r="I280" s="59" t="s">
        <v>103</v>
      </c>
      <c r="J280" s="42"/>
      <c r="K280" s="60">
        <v>2500</v>
      </c>
      <c r="L280" s="43" t="s">
        <v>58</v>
      </c>
      <c r="M280" s="44" t="str">
        <f>IFERROR(VLOOKUP(VLOOKUP(O280,O280,1,1),Categories!$K$4:$V$17,2+VLOOKUP(L280,L280,1,FALSE),FALSE),"-"  )</f>
        <v>-</v>
      </c>
      <c r="N280" s="44" t="str">
        <f>IFERROR(VLOOKUP(VLOOKUP(O280,O280,1,1),Categories!$K$3:$V$17,7+VLOOKUP(L280,L280,1,FALSE),FALSE),"-")</f>
        <v>-</v>
      </c>
      <c r="O280" s="45" t="s">
        <v>58</v>
      </c>
      <c r="P280" s="71">
        <v>80</v>
      </c>
      <c r="Q280" s="47">
        <f t="shared" ref="Q280:Q281" si="6">$X$258*(1-$P280/100)</f>
        <v>1.1139999999999999</v>
      </c>
      <c r="R280" s="48"/>
      <c r="S280" s="48"/>
      <c r="T280" s="49"/>
      <c r="U280" s="61"/>
      <c r="V280" s="50"/>
      <c r="W280" s="50"/>
      <c r="X280" s="53"/>
      <c r="Y280" s="52"/>
      <c r="Z280" s="52"/>
      <c r="AA280" s="52"/>
      <c r="AB280" s="52"/>
      <c r="AC280" s="52"/>
      <c r="AD280" s="52"/>
      <c r="AE280" s="52"/>
      <c r="AF280" s="52"/>
      <c r="AG280" s="53"/>
      <c r="AH280" s="54"/>
      <c r="AI280" s="55"/>
      <c r="AJ280" s="56" t="s">
        <v>367</v>
      </c>
      <c r="AK280" s="57"/>
      <c r="AL280" s="57" t="s">
        <v>98</v>
      </c>
    </row>
    <row r="281" spans="1:38" ht="31.95" customHeight="1" x14ac:dyDescent="0.3">
      <c r="A281" s="66">
        <v>44075</v>
      </c>
      <c r="B281" s="195">
        <v>0.68417824074074074</v>
      </c>
      <c r="C281" s="39"/>
      <c r="D281" s="39">
        <f>IF(I281=Categories!$E$4,VLOOKUP(H281,Categories!$A$4:$C$15,3,FALSE),VLOOKUP(I281,Categories!$E$4:$G$27,3,FALSE))</f>
        <v>120</v>
      </c>
      <c r="E281" s="39"/>
      <c r="F281" s="39"/>
      <c r="G281" s="40">
        <v>29</v>
      </c>
      <c r="H281" s="41" t="s">
        <v>62</v>
      </c>
      <c r="I281" s="68" t="s">
        <v>58</v>
      </c>
      <c r="J281" s="42"/>
      <c r="K281" s="60">
        <v>2500</v>
      </c>
      <c r="L281" s="43" t="s">
        <v>58</v>
      </c>
      <c r="M281" s="44" t="str">
        <f>IFERROR(VLOOKUP(VLOOKUP(O281,O281,1,1),Categories!$K$4:$V$17,2+VLOOKUP(L281,L281,1,FALSE),FALSE),"-"  )</f>
        <v>-</v>
      </c>
      <c r="N281" s="44" t="str">
        <f>IFERROR(VLOOKUP(VLOOKUP(O281,O281,1,1),Categories!$K$3:$V$17,7+VLOOKUP(L281,L281,1,FALSE),FALSE),"-")</f>
        <v>-</v>
      </c>
      <c r="O281" s="45" t="s">
        <v>58</v>
      </c>
      <c r="P281" s="46">
        <v>80</v>
      </c>
      <c r="Q281" s="47">
        <f t="shared" si="6"/>
        <v>1.1139999999999999</v>
      </c>
      <c r="R281" s="48"/>
      <c r="S281" s="48"/>
      <c r="T281" s="49"/>
      <c r="U281" s="61"/>
      <c r="V281" s="50">
        <v>0.4</v>
      </c>
      <c r="W281" s="50">
        <v>1.7</v>
      </c>
      <c r="X281" s="53"/>
      <c r="Y281" s="52"/>
      <c r="Z281" s="52"/>
      <c r="AA281" s="52"/>
      <c r="AB281" s="52"/>
      <c r="AC281" s="52"/>
      <c r="AD281" s="52"/>
      <c r="AE281" s="52"/>
      <c r="AF281" s="52"/>
      <c r="AG281" s="53"/>
      <c r="AH281" s="54"/>
      <c r="AI281" s="55"/>
      <c r="AJ281" s="56"/>
      <c r="AK281" s="57"/>
      <c r="AL281" s="57" t="s">
        <v>102</v>
      </c>
    </row>
    <row r="282" spans="1:38" ht="31.95" customHeight="1" x14ac:dyDescent="0.3">
      <c r="A282" s="37">
        <v>44075</v>
      </c>
      <c r="B282" s="194">
        <v>0.6855902777777777</v>
      </c>
      <c r="C282" s="39"/>
      <c r="D282" s="39"/>
      <c r="E282" s="39"/>
      <c r="F282" s="39"/>
      <c r="G282" s="40" t="s">
        <v>58</v>
      </c>
      <c r="H282" s="41" t="s">
        <v>72</v>
      </c>
      <c r="I282" s="59" t="s">
        <v>67</v>
      </c>
      <c r="J282" s="42"/>
      <c r="K282" s="60">
        <v>2800</v>
      </c>
      <c r="L282" s="43" t="s">
        <v>58</v>
      </c>
      <c r="M282" s="44" t="str">
        <f>IFERROR(VLOOKUP(VLOOKUP(O282,O282,1,1),Categories!$K$4:$V$17,2+VLOOKUP(L282,L282,1,FALSE),FALSE),"-"  )</f>
        <v>-</v>
      </c>
      <c r="N282" s="44" t="str">
        <f>IFERROR(VLOOKUP(VLOOKUP(O282,O282,1,1),Categories!$K$3:$V$17,7+VLOOKUP(L282,L282,1,FALSE),FALSE),"-")</f>
        <v>-</v>
      </c>
      <c r="O282" s="45" t="s">
        <v>58</v>
      </c>
      <c r="P282" s="46" t="s">
        <v>58</v>
      </c>
      <c r="Q282" s="47" t="s">
        <v>58</v>
      </c>
      <c r="R282" s="61"/>
      <c r="S282" s="61"/>
      <c r="T282" s="62"/>
      <c r="U282" s="61"/>
      <c r="V282" s="63"/>
      <c r="W282" s="63"/>
      <c r="X282" s="51"/>
      <c r="Y282" s="64"/>
      <c r="Z282" s="64"/>
      <c r="AA282" s="64"/>
      <c r="AB282" s="64"/>
      <c r="AC282" s="64"/>
      <c r="AD282" s="64"/>
      <c r="AE282" s="64"/>
      <c r="AF282" s="64"/>
      <c r="AG282" s="51"/>
      <c r="AH282" s="65"/>
      <c r="AI282" s="55" t="s">
        <v>63</v>
      </c>
      <c r="AJ282" s="57" t="s">
        <v>366</v>
      </c>
      <c r="AK282" s="57"/>
      <c r="AL282" s="57"/>
    </row>
    <row r="283" spans="1:38" ht="31.95" customHeight="1" x14ac:dyDescent="0.3">
      <c r="A283" s="37">
        <v>44075</v>
      </c>
      <c r="B283" s="194">
        <v>0.68710648148148146</v>
      </c>
      <c r="C283" s="39"/>
      <c r="D283" s="39">
        <f>IF(I283=Categories!$E$4,VLOOKUP(H283,Categories!$A$4:$C$15,3,FALSE),VLOOKUP(I283,Categories!$E$4:$G$27,3,FALSE))</f>
        <v>60</v>
      </c>
      <c r="E283" s="39"/>
      <c r="F283" s="39"/>
      <c r="G283" s="40" t="s">
        <v>58</v>
      </c>
      <c r="H283" s="41" t="s">
        <v>66</v>
      </c>
      <c r="I283" s="59" t="s">
        <v>103</v>
      </c>
      <c r="J283" s="42"/>
      <c r="K283" s="60">
        <v>2800</v>
      </c>
      <c r="L283" s="43" t="s">
        <v>58</v>
      </c>
      <c r="M283" s="44" t="str">
        <f>IFERROR(VLOOKUP(VLOOKUP(O283,O283,1,1),Categories!$K$4:$V$17,2+VLOOKUP(L283,L283,1,FALSE),FALSE),"-"  )</f>
        <v>-</v>
      </c>
      <c r="N283" s="44" t="str">
        <f>IFERROR(VLOOKUP(VLOOKUP(O283,O283,1,1),Categories!$K$3:$V$17,7+VLOOKUP(L283,L283,1,FALSE),FALSE),"-")</f>
        <v>-</v>
      </c>
      <c r="O283" s="45" t="s">
        <v>58</v>
      </c>
      <c r="P283" s="71">
        <v>10</v>
      </c>
      <c r="Q283" s="47">
        <f t="shared" ref="Q283:Q290" si="7">$X$256*(1-$P283/100)</f>
        <v>5.6610000000000005</v>
      </c>
      <c r="R283" s="61"/>
      <c r="S283" s="61"/>
      <c r="T283" s="62"/>
      <c r="U283" s="61"/>
      <c r="V283" s="63"/>
      <c r="W283" s="63"/>
      <c r="X283" s="51"/>
      <c r="Y283" s="64"/>
      <c r="Z283" s="64"/>
      <c r="AA283" s="64"/>
      <c r="AB283" s="64"/>
      <c r="AC283" s="64"/>
      <c r="AD283" s="64"/>
      <c r="AE283" s="64"/>
      <c r="AF283" s="64"/>
      <c r="AG283" s="51"/>
      <c r="AH283" s="65"/>
      <c r="AI283" s="55"/>
      <c r="AJ283" s="57"/>
      <c r="AK283" s="57"/>
      <c r="AL283" s="57" t="s">
        <v>363</v>
      </c>
    </row>
    <row r="284" spans="1:38" ht="31.95" customHeight="1" x14ac:dyDescent="0.3">
      <c r="A284" s="66">
        <v>44075</v>
      </c>
      <c r="B284" s="195">
        <v>0.6878009259259259</v>
      </c>
      <c r="C284" s="39"/>
      <c r="D284" s="39">
        <f>IF(I284=Categories!$E$4,VLOOKUP(H284,Categories!$A$4:$C$15,3,FALSE),VLOOKUP(I284,Categories!$E$4:$G$27,3,FALSE))</f>
        <v>120</v>
      </c>
      <c r="E284" s="39"/>
      <c r="F284" s="39"/>
      <c r="G284" s="40">
        <v>30</v>
      </c>
      <c r="H284" s="41" t="s">
        <v>62</v>
      </c>
      <c r="I284" s="68" t="s">
        <v>58</v>
      </c>
      <c r="J284" s="42"/>
      <c r="K284" s="60">
        <v>2800</v>
      </c>
      <c r="L284" s="43" t="s">
        <v>58</v>
      </c>
      <c r="M284" s="44" t="str">
        <f>IFERROR(VLOOKUP(VLOOKUP(O284,O284,1,1),Categories!$K$4:$V$17,2+VLOOKUP(L284,L284,1,FALSE),FALSE),"-"  )</f>
        <v>-</v>
      </c>
      <c r="N284" s="44" t="str">
        <f>IFERROR(VLOOKUP(VLOOKUP(O284,O284,1,1),Categories!$K$3:$V$17,7+VLOOKUP(L284,L284,1,FALSE),FALSE),"-")</f>
        <v>-</v>
      </c>
      <c r="O284" s="45" t="s">
        <v>58</v>
      </c>
      <c r="P284" s="46">
        <v>10</v>
      </c>
      <c r="Q284" s="47">
        <f t="shared" si="7"/>
        <v>5.6610000000000005</v>
      </c>
      <c r="R284" s="48"/>
      <c r="S284" s="48"/>
      <c r="T284" s="49"/>
      <c r="U284" s="61"/>
      <c r="V284" s="50">
        <v>4</v>
      </c>
      <c r="W284" s="50">
        <v>3.9</v>
      </c>
      <c r="X284" s="53"/>
      <c r="Y284" s="52"/>
      <c r="Z284" s="52"/>
      <c r="AA284" s="52"/>
      <c r="AB284" s="52"/>
      <c r="AC284" s="52"/>
      <c r="AD284" s="52"/>
      <c r="AE284" s="52"/>
      <c r="AF284" s="52"/>
      <c r="AG284" s="53"/>
      <c r="AH284" s="54"/>
      <c r="AI284" s="55"/>
      <c r="AJ284" s="56"/>
      <c r="AK284" s="57"/>
      <c r="AL284" s="57" t="s">
        <v>364</v>
      </c>
    </row>
    <row r="285" spans="1:38" ht="31.95" customHeight="1" x14ac:dyDescent="0.3">
      <c r="A285" s="37">
        <v>44075</v>
      </c>
      <c r="B285" s="194">
        <v>0.68927083333333339</v>
      </c>
      <c r="C285" s="39"/>
      <c r="D285" s="39">
        <f>IF(I285=Categories!$E$4,VLOOKUP(H285,Categories!$A$4:$C$15,3,FALSE),VLOOKUP(I285,Categories!$E$4:$G$27,3,FALSE))</f>
        <v>60</v>
      </c>
      <c r="E285" s="39"/>
      <c r="F285" s="39"/>
      <c r="G285" s="40">
        <v>30</v>
      </c>
      <c r="H285" s="41" t="s">
        <v>66</v>
      </c>
      <c r="I285" s="59" t="s">
        <v>103</v>
      </c>
      <c r="J285" s="42"/>
      <c r="K285" s="60">
        <v>2800</v>
      </c>
      <c r="L285" s="43" t="s">
        <v>58</v>
      </c>
      <c r="M285" s="44" t="str">
        <f>IFERROR(VLOOKUP(VLOOKUP(O285,O285,1,1),Categories!$K$4:$V$17,2+VLOOKUP(L285,L285,1,FALSE),FALSE),"-"  )</f>
        <v>-</v>
      </c>
      <c r="N285" s="44" t="str">
        <f>IFERROR(VLOOKUP(VLOOKUP(O285,O285,1,1),Categories!$K$3:$V$17,7+VLOOKUP(L285,L285,1,FALSE),FALSE),"-")</f>
        <v>-</v>
      </c>
      <c r="O285" s="45" t="s">
        <v>58</v>
      </c>
      <c r="P285" s="71">
        <v>20</v>
      </c>
      <c r="Q285" s="47">
        <f t="shared" si="7"/>
        <v>5.032</v>
      </c>
      <c r="R285" s="61"/>
      <c r="S285" s="61"/>
      <c r="T285" s="62"/>
      <c r="U285" s="61"/>
      <c r="V285" s="63"/>
      <c r="W285" s="63"/>
      <c r="X285" s="51"/>
      <c r="Y285" s="64"/>
      <c r="Z285" s="64"/>
      <c r="AA285" s="64"/>
      <c r="AB285" s="64"/>
      <c r="AC285" s="64"/>
      <c r="AD285" s="64"/>
      <c r="AE285" s="64"/>
      <c r="AF285" s="64"/>
      <c r="AG285" s="51"/>
      <c r="AH285" s="65"/>
      <c r="AI285" s="55"/>
      <c r="AJ285" s="57"/>
      <c r="AK285" s="57"/>
      <c r="AL285" s="57" t="s">
        <v>363</v>
      </c>
    </row>
    <row r="286" spans="1:38" ht="31.95" customHeight="1" x14ac:dyDescent="0.3">
      <c r="A286" s="66">
        <v>44075</v>
      </c>
      <c r="B286" s="195">
        <v>0.69002314814814814</v>
      </c>
      <c r="C286" s="39"/>
      <c r="D286" s="39">
        <f>IF(I286=Categories!$E$4,VLOOKUP(H286,Categories!$A$4:$C$15,3,FALSE),VLOOKUP(I286,Categories!$E$4:$G$27,3,FALSE))</f>
        <v>120</v>
      </c>
      <c r="E286" s="39"/>
      <c r="F286" s="39"/>
      <c r="G286" s="40">
        <v>30</v>
      </c>
      <c r="H286" s="41" t="s">
        <v>62</v>
      </c>
      <c r="I286" s="68" t="s">
        <v>58</v>
      </c>
      <c r="J286" s="42"/>
      <c r="K286" s="60">
        <v>2800</v>
      </c>
      <c r="L286" s="43" t="s">
        <v>58</v>
      </c>
      <c r="M286" s="44" t="str">
        <f>IFERROR(VLOOKUP(VLOOKUP(O286,O286,1,1),Categories!$K$4:$V$17,2+VLOOKUP(L286,L286,1,FALSE),FALSE),"-"  )</f>
        <v>-</v>
      </c>
      <c r="N286" s="44" t="str">
        <f>IFERROR(VLOOKUP(VLOOKUP(O286,O286,1,1),Categories!$K$3:$V$17,7+VLOOKUP(L286,L286,1,FALSE),FALSE),"-")</f>
        <v>-</v>
      </c>
      <c r="O286" s="45" t="s">
        <v>58</v>
      </c>
      <c r="P286" s="46">
        <v>20</v>
      </c>
      <c r="Q286" s="47">
        <f t="shared" si="7"/>
        <v>5.032</v>
      </c>
      <c r="R286" s="48"/>
      <c r="S286" s="48"/>
      <c r="T286" s="49"/>
      <c r="U286" s="61"/>
      <c r="V286" s="50">
        <v>3.4</v>
      </c>
      <c r="W286" s="50">
        <v>3.7</v>
      </c>
      <c r="X286" s="53"/>
      <c r="Y286" s="52"/>
      <c r="Z286" s="52"/>
      <c r="AA286" s="52"/>
      <c r="AB286" s="52"/>
      <c r="AC286" s="52"/>
      <c r="AD286" s="52"/>
      <c r="AE286" s="52"/>
      <c r="AF286" s="52"/>
      <c r="AG286" s="53"/>
      <c r="AH286" s="54"/>
      <c r="AI286" s="55"/>
      <c r="AJ286" s="56"/>
      <c r="AK286" s="57"/>
      <c r="AL286" s="57" t="s">
        <v>99</v>
      </c>
    </row>
    <row r="287" spans="1:38" ht="31.95" customHeight="1" x14ac:dyDescent="0.3">
      <c r="A287" s="66">
        <v>44075</v>
      </c>
      <c r="B287" s="195">
        <v>0.69141203703703702</v>
      </c>
      <c r="C287" s="39"/>
      <c r="D287" s="39">
        <f>IF(I287=Categories!$E$4,VLOOKUP(H287,Categories!$A$4:$C$15,3,FALSE),VLOOKUP(I287,Categories!$E$4:$G$27,3,FALSE))</f>
        <v>60</v>
      </c>
      <c r="E287" s="39"/>
      <c r="F287" s="39"/>
      <c r="G287" s="40">
        <v>30</v>
      </c>
      <c r="H287" s="41" t="s">
        <v>66</v>
      </c>
      <c r="I287" s="59" t="s">
        <v>103</v>
      </c>
      <c r="J287" s="42"/>
      <c r="K287" s="60">
        <v>2800</v>
      </c>
      <c r="L287" s="43" t="s">
        <v>58</v>
      </c>
      <c r="M287" s="44" t="str">
        <f>IFERROR(VLOOKUP(VLOOKUP(O287,O287,1,1),Categories!$K$4:$V$17,2+VLOOKUP(L287,L287,1,FALSE),FALSE),"-"  )</f>
        <v>-</v>
      </c>
      <c r="N287" s="44" t="str">
        <f>IFERROR(VLOOKUP(VLOOKUP(O287,O287,1,1),Categories!$K$3:$V$17,7+VLOOKUP(L287,L287,1,FALSE),FALSE),"-")</f>
        <v>-</v>
      </c>
      <c r="O287" s="45" t="s">
        <v>58</v>
      </c>
      <c r="P287" s="71">
        <v>40</v>
      </c>
      <c r="Q287" s="47">
        <f t="shared" si="7"/>
        <v>3.774</v>
      </c>
      <c r="R287" s="48"/>
      <c r="S287" s="48"/>
      <c r="T287" s="49"/>
      <c r="U287" s="61"/>
      <c r="V287" s="50"/>
      <c r="W287" s="50"/>
      <c r="X287" s="53"/>
      <c r="Y287" s="52"/>
      <c r="Z287" s="52"/>
      <c r="AA287" s="52"/>
      <c r="AB287" s="52"/>
      <c r="AC287" s="52"/>
      <c r="AD287" s="52"/>
      <c r="AE287" s="52"/>
      <c r="AF287" s="52"/>
      <c r="AG287" s="53"/>
      <c r="AH287" s="54"/>
      <c r="AI287" s="55"/>
      <c r="AJ287" s="56"/>
      <c r="AK287" s="57"/>
      <c r="AL287" s="57" t="s">
        <v>98</v>
      </c>
    </row>
    <row r="288" spans="1:38" ht="31.95" customHeight="1" x14ac:dyDescent="0.3">
      <c r="A288" s="66">
        <v>44075</v>
      </c>
      <c r="B288" s="195">
        <v>0.69390046296296293</v>
      </c>
      <c r="C288" s="39"/>
      <c r="D288" s="39">
        <f>IF(I288=Categories!$E$4,VLOOKUP(H288,Categories!$A$4:$C$15,3,FALSE),VLOOKUP(I288,Categories!$E$4:$G$27,3,FALSE))</f>
        <v>120</v>
      </c>
      <c r="E288" s="39"/>
      <c r="F288" s="39"/>
      <c r="G288" s="40">
        <v>30</v>
      </c>
      <c r="H288" s="41" t="s">
        <v>62</v>
      </c>
      <c r="I288" s="68" t="s">
        <v>58</v>
      </c>
      <c r="J288" s="42"/>
      <c r="K288" s="60">
        <v>2800</v>
      </c>
      <c r="L288" s="43" t="s">
        <v>58</v>
      </c>
      <c r="M288" s="44" t="str">
        <f>IFERROR(VLOOKUP(VLOOKUP(O288,O288,1,1),Categories!$K$4:$V$17,2+VLOOKUP(L288,L288,1,FALSE),FALSE),"-"  )</f>
        <v>-</v>
      </c>
      <c r="N288" s="44" t="str">
        <f>IFERROR(VLOOKUP(VLOOKUP(O288,O288,1,1),Categories!$K$3:$V$17,7+VLOOKUP(L288,L288,1,FALSE),FALSE),"-")</f>
        <v>-</v>
      </c>
      <c r="O288" s="45" t="s">
        <v>58</v>
      </c>
      <c r="P288" s="46">
        <v>40</v>
      </c>
      <c r="Q288" s="47">
        <f t="shared" si="7"/>
        <v>3.774</v>
      </c>
      <c r="R288" s="48"/>
      <c r="S288" s="48"/>
      <c r="T288" s="49"/>
      <c r="U288" s="61"/>
      <c r="V288" s="50">
        <v>2.5</v>
      </c>
      <c r="W288" s="50">
        <v>3.2</v>
      </c>
      <c r="X288" s="53"/>
      <c r="Y288" s="52"/>
      <c r="Z288" s="52"/>
      <c r="AA288" s="52"/>
      <c r="AB288" s="52"/>
      <c r="AC288" s="52"/>
      <c r="AD288" s="52"/>
      <c r="AE288" s="52"/>
      <c r="AF288" s="52"/>
      <c r="AG288" s="53"/>
      <c r="AH288" s="54"/>
      <c r="AI288" s="55"/>
      <c r="AJ288" s="56" t="s">
        <v>368</v>
      </c>
      <c r="AK288" s="57"/>
      <c r="AL288" s="57" t="s">
        <v>100</v>
      </c>
    </row>
    <row r="289" spans="1:38" ht="31.95" customHeight="1" x14ac:dyDescent="0.3">
      <c r="A289" s="66">
        <v>44075</v>
      </c>
      <c r="B289" s="195">
        <v>0.69534722222222223</v>
      </c>
      <c r="C289" s="39"/>
      <c r="D289" s="39">
        <f>IF(I289=Categories!$E$4,VLOOKUP(H289,Categories!$A$4:$C$15,3,FALSE),VLOOKUP(I289,Categories!$E$4:$G$27,3,FALSE))</f>
        <v>60</v>
      </c>
      <c r="E289" s="39"/>
      <c r="F289" s="39"/>
      <c r="G289" s="40">
        <v>30</v>
      </c>
      <c r="H289" s="41" t="s">
        <v>66</v>
      </c>
      <c r="I289" s="59" t="s">
        <v>103</v>
      </c>
      <c r="J289" s="42"/>
      <c r="K289" s="60">
        <v>2800</v>
      </c>
      <c r="L289" s="43" t="s">
        <v>58</v>
      </c>
      <c r="M289" s="44" t="str">
        <f>IFERROR(VLOOKUP(VLOOKUP(O289,O289,1,1),Categories!$K$4:$V$17,2+VLOOKUP(L289,L289,1,FALSE),FALSE),"-"  )</f>
        <v>-</v>
      </c>
      <c r="N289" s="44" t="str">
        <f>IFERROR(VLOOKUP(VLOOKUP(O289,O289,1,1),Categories!$K$3:$V$17,7+VLOOKUP(L289,L289,1,FALSE),FALSE),"-")</f>
        <v>-</v>
      </c>
      <c r="O289" s="45" t="s">
        <v>58</v>
      </c>
      <c r="P289" s="71">
        <v>60</v>
      </c>
      <c r="Q289" s="47">
        <f t="shared" si="7"/>
        <v>2.516</v>
      </c>
      <c r="R289" s="48"/>
      <c r="S289" s="48"/>
      <c r="T289" s="49"/>
      <c r="U289" s="61"/>
      <c r="V289" s="50"/>
      <c r="W289" s="50"/>
      <c r="X289" s="53"/>
      <c r="Y289" s="52"/>
      <c r="Z289" s="52"/>
      <c r="AA289" s="52"/>
      <c r="AB289" s="52"/>
      <c r="AC289" s="52"/>
      <c r="AD289" s="52"/>
      <c r="AE289" s="52"/>
      <c r="AF289" s="52"/>
      <c r="AG289" s="53"/>
      <c r="AH289" s="54"/>
      <c r="AI289" s="55"/>
      <c r="AJ289" s="56"/>
      <c r="AK289" s="57"/>
      <c r="AL289" s="57" t="s">
        <v>98</v>
      </c>
    </row>
    <row r="290" spans="1:38" ht="31.95" customHeight="1" x14ac:dyDescent="0.3">
      <c r="A290" s="66">
        <v>44075</v>
      </c>
      <c r="B290" s="195">
        <v>0.69608796296296294</v>
      </c>
      <c r="C290" s="39"/>
      <c r="D290" s="39">
        <f>IF(I290=Categories!$E$4,VLOOKUP(H290,Categories!$A$4:$C$15,3,FALSE),VLOOKUP(I290,Categories!$E$4:$G$27,3,FALSE))</f>
        <v>120</v>
      </c>
      <c r="E290" s="39"/>
      <c r="F290" s="39"/>
      <c r="G290" s="40">
        <v>30</v>
      </c>
      <c r="H290" s="41" t="s">
        <v>62</v>
      </c>
      <c r="I290" s="68" t="s">
        <v>58</v>
      </c>
      <c r="J290" s="42"/>
      <c r="K290" s="60">
        <v>2800</v>
      </c>
      <c r="L290" s="43" t="s">
        <v>58</v>
      </c>
      <c r="M290" s="44" t="str">
        <f>IFERROR(VLOOKUP(VLOOKUP(O290,O290,1,1),Categories!$K$4:$V$17,2+VLOOKUP(L290,L290,1,FALSE),FALSE),"-"  )</f>
        <v>-</v>
      </c>
      <c r="N290" s="44" t="str">
        <f>IFERROR(VLOOKUP(VLOOKUP(O290,O290,1,1),Categories!$K$3:$V$17,7+VLOOKUP(L290,L290,1,FALSE),FALSE),"-")</f>
        <v>-</v>
      </c>
      <c r="O290" s="45" t="s">
        <v>58</v>
      </c>
      <c r="P290" s="46">
        <v>60</v>
      </c>
      <c r="Q290" s="47">
        <f t="shared" si="7"/>
        <v>2.516</v>
      </c>
      <c r="R290" s="48"/>
      <c r="S290" s="48"/>
      <c r="T290" s="49"/>
      <c r="U290" s="61"/>
      <c r="V290" s="50">
        <v>1.5</v>
      </c>
      <c r="W290" s="50">
        <v>2.7</v>
      </c>
      <c r="X290" s="53"/>
      <c r="Y290" s="52"/>
      <c r="Z290" s="52"/>
      <c r="AA290" s="52"/>
      <c r="AB290" s="52"/>
      <c r="AC290" s="52"/>
      <c r="AD290" s="52"/>
      <c r="AE290" s="52"/>
      <c r="AF290" s="52"/>
      <c r="AG290" s="53"/>
      <c r="AH290" s="54"/>
      <c r="AI290" s="55"/>
      <c r="AJ290" s="56"/>
      <c r="AK290" s="57"/>
      <c r="AL290" s="57" t="s">
        <v>101</v>
      </c>
    </row>
    <row r="291" spans="1:38" ht="31.95" customHeight="1" x14ac:dyDescent="0.3">
      <c r="A291" s="66">
        <v>44075</v>
      </c>
      <c r="B291" s="195">
        <v>0.6974999999999999</v>
      </c>
      <c r="C291" s="39"/>
      <c r="D291" s="39">
        <f>IF(I291=Categories!$E$4,VLOOKUP(H291,Categories!$A$4:$C$15,3,FALSE),VLOOKUP(I291,Categories!$E$4:$G$27,3,FALSE))</f>
        <v>60</v>
      </c>
      <c r="E291" s="39"/>
      <c r="F291" s="39"/>
      <c r="G291" s="40">
        <v>30</v>
      </c>
      <c r="H291" s="41" t="s">
        <v>66</v>
      </c>
      <c r="I291" s="59" t="s">
        <v>103</v>
      </c>
      <c r="J291" s="42"/>
      <c r="K291" s="60">
        <v>2800</v>
      </c>
      <c r="L291" s="43" t="s">
        <v>58</v>
      </c>
      <c r="M291" s="44" t="str">
        <f>IFERROR(VLOOKUP(VLOOKUP(O291,O291,1,1),Categories!$K$4:$V$17,2+VLOOKUP(L291,L291,1,FALSE),FALSE),"-"  )</f>
        <v>-</v>
      </c>
      <c r="N291" s="44" t="str">
        <f>IFERROR(VLOOKUP(VLOOKUP(O291,O291,1,1),Categories!$K$3:$V$17,7+VLOOKUP(L291,L291,1,FALSE),FALSE),"-")</f>
        <v>-</v>
      </c>
      <c r="O291" s="45" t="s">
        <v>58</v>
      </c>
      <c r="P291" s="71">
        <v>80</v>
      </c>
      <c r="Q291" s="47">
        <f t="shared" ref="Q291:Q292" si="8">$X$256*(1-$P291/100)</f>
        <v>1.2579999999999998</v>
      </c>
      <c r="R291" s="48"/>
      <c r="S291" s="48"/>
      <c r="T291" s="49"/>
      <c r="U291" s="61"/>
      <c r="V291" s="50"/>
      <c r="W291" s="50"/>
      <c r="X291" s="53"/>
      <c r="Y291" s="52"/>
      <c r="Z291" s="52"/>
      <c r="AA291" s="52"/>
      <c r="AB291" s="52"/>
      <c r="AC291" s="52"/>
      <c r="AD291" s="52"/>
      <c r="AE291" s="52"/>
      <c r="AF291" s="52"/>
      <c r="AG291" s="53"/>
      <c r="AH291" s="54"/>
      <c r="AI291" s="55"/>
      <c r="AJ291" s="56"/>
      <c r="AK291" s="57"/>
      <c r="AL291" s="57" t="s">
        <v>98</v>
      </c>
    </row>
    <row r="292" spans="1:38" ht="31.95" customHeight="1" x14ac:dyDescent="0.3">
      <c r="A292" s="66">
        <v>44075</v>
      </c>
      <c r="B292" s="195">
        <v>0.69839120370370367</v>
      </c>
      <c r="C292" s="39"/>
      <c r="D292" s="39">
        <f>IF(I292=Categories!$E$4,VLOOKUP(H292,Categories!$A$4:$C$15,3,FALSE),VLOOKUP(I292,Categories!$E$4:$G$27,3,FALSE))</f>
        <v>120</v>
      </c>
      <c r="E292" s="39"/>
      <c r="F292" s="39"/>
      <c r="G292" s="40">
        <v>30</v>
      </c>
      <c r="H292" s="41" t="s">
        <v>62</v>
      </c>
      <c r="I292" s="68" t="s">
        <v>58</v>
      </c>
      <c r="J292" s="42"/>
      <c r="K292" s="60">
        <v>2800</v>
      </c>
      <c r="L292" s="43" t="s">
        <v>58</v>
      </c>
      <c r="M292" s="44" t="str">
        <f>IFERROR(VLOOKUP(VLOOKUP(O292,O292,1,1),Categories!$K$4:$V$17,2+VLOOKUP(L292,L292,1,FALSE),FALSE),"-"  )</f>
        <v>-</v>
      </c>
      <c r="N292" s="44" t="str">
        <f>IFERROR(VLOOKUP(VLOOKUP(O292,O292,1,1),Categories!$K$3:$V$17,7+VLOOKUP(L292,L292,1,FALSE),FALSE),"-")</f>
        <v>-</v>
      </c>
      <c r="O292" s="45" t="s">
        <v>58</v>
      </c>
      <c r="P292" s="46">
        <v>80</v>
      </c>
      <c r="Q292" s="47">
        <f t="shared" si="8"/>
        <v>1.2579999999999998</v>
      </c>
      <c r="R292" s="48"/>
      <c r="S292" s="48"/>
      <c r="T292" s="49"/>
      <c r="U292" s="61"/>
      <c r="V292" s="50">
        <v>0.5</v>
      </c>
      <c r="W292" s="50">
        <v>2.2000000000000002</v>
      </c>
      <c r="X292" s="53"/>
      <c r="Y292" s="52"/>
      <c r="Z292" s="52"/>
      <c r="AA292" s="52"/>
      <c r="AB292" s="52"/>
      <c r="AC292" s="52"/>
      <c r="AD292" s="52"/>
      <c r="AE292" s="52"/>
      <c r="AF292" s="52"/>
      <c r="AG292" s="53"/>
      <c r="AH292" s="54"/>
      <c r="AI292" s="55"/>
      <c r="AJ292" s="56"/>
      <c r="AK292" s="57"/>
      <c r="AL292" s="57" t="s">
        <v>102</v>
      </c>
    </row>
    <row r="293" spans="1:38" ht="31.95" customHeight="1" x14ac:dyDescent="0.3">
      <c r="A293" s="66">
        <v>44075</v>
      </c>
      <c r="B293" s="195">
        <v>0.69986111111111116</v>
      </c>
      <c r="C293" s="39"/>
      <c r="D293" s="39"/>
      <c r="E293" s="39"/>
      <c r="F293" s="39"/>
      <c r="G293" s="40" t="s">
        <v>58</v>
      </c>
      <c r="H293" s="41" t="s">
        <v>66</v>
      </c>
      <c r="I293" s="59" t="s">
        <v>67</v>
      </c>
      <c r="J293" s="42"/>
      <c r="K293" s="60">
        <v>3100</v>
      </c>
      <c r="L293" s="43" t="s">
        <v>58</v>
      </c>
      <c r="M293" s="44" t="str">
        <f>IFERROR(VLOOKUP(VLOOKUP(O293,O293,1,1),Categories!$K$4:$V$17,2+VLOOKUP(L293,L293,1,FALSE),FALSE),"-"  )</f>
        <v>-</v>
      </c>
      <c r="N293" s="44" t="str">
        <f>IFERROR(VLOOKUP(VLOOKUP(O293,O293,1,1),Categories!$K$3:$V$17,7+VLOOKUP(L293,L293,1,FALSE),FALSE),"-")</f>
        <v>-</v>
      </c>
      <c r="O293" s="45" t="s">
        <v>58</v>
      </c>
      <c r="P293" s="46" t="s">
        <v>58</v>
      </c>
      <c r="Q293" s="47" t="s">
        <v>58</v>
      </c>
      <c r="R293" s="61"/>
      <c r="S293" s="61"/>
      <c r="T293" s="62"/>
      <c r="U293" s="61"/>
      <c r="V293" s="63"/>
      <c r="W293" s="63"/>
      <c r="X293" s="51"/>
      <c r="Y293" s="64"/>
      <c r="Z293" s="64"/>
      <c r="AA293" s="64"/>
      <c r="AB293" s="64"/>
      <c r="AC293" s="64"/>
      <c r="AD293" s="64"/>
      <c r="AE293" s="64"/>
      <c r="AF293" s="64"/>
      <c r="AG293" s="51"/>
      <c r="AH293" s="65"/>
      <c r="AI293" s="55"/>
      <c r="AJ293" s="57"/>
      <c r="AK293" s="57"/>
      <c r="AL293" s="57"/>
    </row>
    <row r="294" spans="1:38" ht="31.95" customHeight="1" x14ac:dyDescent="0.3">
      <c r="A294" s="37">
        <v>44075</v>
      </c>
      <c r="B294" s="194">
        <v>0.70000000000000007</v>
      </c>
      <c r="C294" s="39"/>
      <c r="D294" s="39">
        <f>IF(I294=Categories!$E$4,VLOOKUP(H294,Categories!$A$4:$C$15,3,FALSE),VLOOKUP(I294,Categories!$E$4:$G$27,3,FALSE))</f>
        <v>60</v>
      </c>
      <c r="E294" s="39"/>
      <c r="F294" s="39"/>
      <c r="G294" s="40" t="s">
        <v>58</v>
      </c>
      <c r="H294" s="41" t="s">
        <v>66</v>
      </c>
      <c r="I294" s="59" t="s">
        <v>103</v>
      </c>
      <c r="J294" s="42"/>
      <c r="K294" s="60">
        <v>3100</v>
      </c>
      <c r="L294" s="43" t="s">
        <v>58</v>
      </c>
      <c r="M294" s="44" t="str">
        <f>IFERROR(VLOOKUP(VLOOKUP(O294,O294,1,1),Categories!$K$4:$V$17,2+VLOOKUP(L294,L294,1,FALSE),FALSE),"-"  )</f>
        <v>-</v>
      </c>
      <c r="N294" s="44" t="str">
        <f>IFERROR(VLOOKUP(VLOOKUP(O294,O294,1,1),Categories!$K$3:$V$17,7+VLOOKUP(L294,L294,1,FALSE),FALSE),"-")</f>
        <v>-</v>
      </c>
      <c r="O294" s="45" t="s">
        <v>58</v>
      </c>
      <c r="P294" s="71">
        <v>10</v>
      </c>
      <c r="Q294" s="47">
        <f t="shared" ref="Q294:Q301" si="9">$X$254*(1-$P294/100)</f>
        <v>6.3179999999999996</v>
      </c>
      <c r="R294" s="61"/>
      <c r="S294" s="61"/>
      <c r="T294" s="62"/>
      <c r="U294" s="61"/>
      <c r="V294" s="63"/>
      <c r="W294" s="63"/>
      <c r="X294" s="51"/>
      <c r="Y294" s="64"/>
      <c r="Z294" s="64"/>
      <c r="AA294" s="64"/>
      <c r="AB294" s="64"/>
      <c r="AC294" s="64"/>
      <c r="AD294" s="64"/>
      <c r="AE294" s="64"/>
      <c r="AF294" s="64"/>
      <c r="AG294" s="51"/>
      <c r="AH294" s="65"/>
      <c r="AI294" s="55"/>
      <c r="AJ294" s="57"/>
      <c r="AK294" s="57"/>
      <c r="AL294" s="57" t="s">
        <v>363</v>
      </c>
    </row>
    <row r="295" spans="1:38" ht="31.95" customHeight="1" x14ac:dyDescent="0.3">
      <c r="A295" s="66">
        <v>44075</v>
      </c>
      <c r="B295" s="195">
        <v>0.70042824074074073</v>
      </c>
      <c r="C295" s="39"/>
      <c r="D295" s="39">
        <f>IF(I295=Categories!$E$4,VLOOKUP(H295,Categories!$A$4:$C$15,3,FALSE),VLOOKUP(I295,Categories!$E$4:$G$27,3,FALSE))</f>
        <v>120</v>
      </c>
      <c r="E295" s="39"/>
      <c r="F295" s="39"/>
      <c r="G295" s="40">
        <v>31</v>
      </c>
      <c r="H295" s="41" t="s">
        <v>62</v>
      </c>
      <c r="I295" s="68" t="s">
        <v>58</v>
      </c>
      <c r="J295" s="42"/>
      <c r="K295" s="60">
        <v>3100</v>
      </c>
      <c r="L295" s="43" t="s">
        <v>58</v>
      </c>
      <c r="M295" s="44" t="str">
        <f>IFERROR(VLOOKUP(VLOOKUP(O295,O295,1,1),Categories!$K$4:$V$17,2+VLOOKUP(L295,L295,1,FALSE),FALSE),"-"  )</f>
        <v>-</v>
      </c>
      <c r="N295" s="44" t="str">
        <f>IFERROR(VLOOKUP(VLOOKUP(O295,O295,1,1),Categories!$K$3:$V$17,7+VLOOKUP(L295,L295,1,FALSE),FALSE),"-")</f>
        <v>-</v>
      </c>
      <c r="O295" s="45" t="s">
        <v>58</v>
      </c>
      <c r="P295" s="46">
        <v>10</v>
      </c>
      <c r="Q295" s="47">
        <f t="shared" si="9"/>
        <v>6.3179999999999996</v>
      </c>
      <c r="R295" s="48"/>
      <c r="S295" s="48"/>
      <c r="T295" s="49"/>
      <c r="U295" s="61"/>
      <c r="V295" s="50">
        <v>4.8</v>
      </c>
      <c r="W295" s="50">
        <v>5.3</v>
      </c>
      <c r="X295" s="53"/>
      <c r="Y295" s="52"/>
      <c r="Z295" s="52"/>
      <c r="AA295" s="52"/>
      <c r="AB295" s="52"/>
      <c r="AC295" s="52"/>
      <c r="AD295" s="52"/>
      <c r="AE295" s="52"/>
      <c r="AF295" s="52"/>
      <c r="AG295" s="53"/>
      <c r="AH295" s="54"/>
      <c r="AI295" s="55"/>
      <c r="AJ295" s="56"/>
      <c r="AK295" s="57"/>
      <c r="AL295" s="57" t="s">
        <v>364</v>
      </c>
    </row>
    <row r="296" spans="1:38" ht="31.95" customHeight="1" x14ac:dyDescent="0.3">
      <c r="A296" s="37">
        <v>44075</v>
      </c>
      <c r="B296" s="194">
        <v>0.70193287037037033</v>
      </c>
      <c r="C296" s="39"/>
      <c r="D296" s="39">
        <f>IF(I296=Categories!$E$4,VLOOKUP(H296,Categories!$A$4:$C$15,3,FALSE),VLOOKUP(I296,Categories!$E$4:$G$27,3,FALSE))</f>
        <v>60</v>
      </c>
      <c r="E296" s="39"/>
      <c r="F296" s="39"/>
      <c r="G296" s="40">
        <v>31</v>
      </c>
      <c r="H296" s="41" t="s">
        <v>66</v>
      </c>
      <c r="I296" s="59" t="s">
        <v>103</v>
      </c>
      <c r="J296" s="42"/>
      <c r="K296" s="60">
        <v>3100</v>
      </c>
      <c r="L296" s="43" t="s">
        <v>58</v>
      </c>
      <c r="M296" s="44" t="str">
        <f>IFERROR(VLOOKUP(VLOOKUP(O296,O296,1,1),Categories!$K$4:$V$17,2+VLOOKUP(L296,L296,1,FALSE),FALSE),"-"  )</f>
        <v>-</v>
      </c>
      <c r="N296" s="44" t="str">
        <f>IFERROR(VLOOKUP(VLOOKUP(O296,O296,1,1),Categories!$K$3:$V$17,7+VLOOKUP(L296,L296,1,FALSE),FALSE),"-")</f>
        <v>-</v>
      </c>
      <c r="O296" s="45" t="s">
        <v>58</v>
      </c>
      <c r="P296" s="71">
        <v>20</v>
      </c>
      <c r="Q296" s="47">
        <f t="shared" si="9"/>
        <v>5.6159999999999997</v>
      </c>
      <c r="R296" s="61"/>
      <c r="S296" s="61"/>
      <c r="T296" s="62"/>
      <c r="U296" s="61"/>
      <c r="V296" s="63"/>
      <c r="W296" s="63"/>
      <c r="X296" s="51"/>
      <c r="Y296" s="64"/>
      <c r="Z296" s="64"/>
      <c r="AA296" s="64"/>
      <c r="AB296" s="64"/>
      <c r="AC296" s="64"/>
      <c r="AD296" s="64"/>
      <c r="AE296" s="64"/>
      <c r="AF296" s="64"/>
      <c r="AG296" s="51"/>
      <c r="AH296" s="65"/>
      <c r="AI296" s="55"/>
      <c r="AJ296" s="57"/>
      <c r="AK296" s="57"/>
      <c r="AL296" s="57" t="s">
        <v>363</v>
      </c>
    </row>
    <row r="297" spans="1:38" ht="31.95" customHeight="1" x14ac:dyDescent="0.3">
      <c r="A297" s="66">
        <v>44075</v>
      </c>
      <c r="B297" s="195">
        <v>0.70265046296296296</v>
      </c>
      <c r="C297" s="39"/>
      <c r="D297" s="39">
        <f>IF(I297=Categories!$E$4,VLOOKUP(H297,Categories!$A$4:$C$15,3,FALSE),VLOOKUP(I297,Categories!$E$4:$G$27,3,FALSE))</f>
        <v>120</v>
      </c>
      <c r="E297" s="39"/>
      <c r="F297" s="39"/>
      <c r="G297" s="40">
        <v>31</v>
      </c>
      <c r="H297" s="41" t="s">
        <v>62</v>
      </c>
      <c r="I297" s="68" t="s">
        <v>58</v>
      </c>
      <c r="J297" s="42"/>
      <c r="K297" s="60">
        <v>3100</v>
      </c>
      <c r="L297" s="43" t="s">
        <v>58</v>
      </c>
      <c r="M297" s="44" t="str">
        <f>IFERROR(VLOOKUP(VLOOKUP(O297,O297,1,1),Categories!$K$4:$V$17,2+VLOOKUP(L297,L297,1,FALSE),FALSE),"-"  )</f>
        <v>-</v>
      </c>
      <c r="N297" s="44" t="str">
        <f>IFERROR(VLOOKUP(VLOOKUP(O297,O297,1,1),Categories!$K$3:$V$17,7+VLOOKUP(L297,L297,1,FALSE),FALSE),"-")</f>
        <v>-</v>
      </c>
      <c r="O297" s="45" t="s">
        <v>58</v>
      </c>
      <c r="P297" s="46">
        <v>20</v>
      </c>
      <c r="Q297" s="47">
        <f t="shared" si="9"/>
        <v>5.6159999999999997</v>
      </c>
      <c r="R297" s="48"/>
      <c r="S297" s="48"/>
      <c r="T297" s="49"/>
      <c r="U297" s="61"/>
      <c r="V297" s="50">
        <v>4.0999999999999996</v>
      </c>
      <c r="W297" s="50">
        <v>5</v>
      </c>
      <c r="X297" s="53"/>
      <c r="Y297" s="52"/>
      <c r="Z297" s="52"/>
      <c r="AA297" s="52"/>
      <c r="AB297" s="52"/>
      <c r="AC297" s="52"/>
      <c r="AD297" s="52"/>
      <c r="AE297" s="52"/>
      <c r="AF297" s="52"/>
      <c r="AG297" s="53"/>
      <c r="AH297" s="54"/>
      <c r="AI297" s="55"/>
      <c r="AJ297" s="56"/>
      <c r="AK297" s="57"/>
      <c r="AL297" s="57" t="s">
        <v>99</v>
      </c>
    </row>
    <row r="298" spans="1:38" ht="31.95" customHeight="1" x14ac:dyDescent="0.3">
      <c r="A298" s="66">
        <v>44075</v>
      </c>
      <c r="B298" s="195">
        <v>0.70420138888888895</v>
      </c>
      <c r="C298" s="39"/>
      <c r="D298" s="39">
        <f>IF(I298=Categories!$E$4,VLOOKUP(H298,Categories!$A$4:$C$15,3,FALSE),VLOOKUP(I298,Categories!$E$4:$G$27,3,FALSE))</f>
        <v>60</v>
      </c>
      <c r="E298" s="39"/>
      <c r="F298" s="39"/>
      <c r="G298" s="40">
        <v>31</v>
      </c>
      <c r="H298" s="41" t="s">
        <v>66</v>
      </c>
      <c r="I298" s="59" t="s">
        <v>103</v>
      </c>
      <c r="J298" s="42"/>
      <c r="K298" s="60">
        <v>3100</v>
      </c>
      <c r="L298" s="43" t="s">
        <v>58</v>
      </c>
      <c r="M298" s="44" t="str">
        <f>IFERROR(VLOOKUP(VLOOKUP(O298,O298,1,1),Categories!$K$4:$V$17,2+VLOOKUP(L298,L298,1,FALSE),FALSE),"-"  )</f>
        <v>-</v>
      </c>
      <c r="N298" s="44" t="str">
        <f>IFERROR(VLOOKUP(VLOOKUP(O298,O298,1,1),Categories!$K$3:$V$17,7+VLOOKUP(L298,L298,1,FALSE),FALSE),"-")</f>
        <v>-</v>
      </c>
      <c r="O298" s="45" t="s">
        <v>58</v>
      </c>
      <c r="P298" s="71">
        <v>40</v>
      </c>
      <c r="Q298" s="47">
        <f t="shared" si="9"/>
        <v>4.2119999999999997</v>
      </c>
      <c r="R298" s="48"/>
      <c r="S298" s="48"/>
      <c r="T298" s="49"/>
      <c r="U298" s="61"/>
      <c r="V298" s="50"/>
      <c r="W298" s="50"/>
      <c r="X298" s="53"/>
      <c r="Y298" s="52"/>
      <c r="Z298" s="52"/>
      <c r="AA298" s="52"/>
      <c r="AB298" s="52"/>
      <c r="AC298" s="52"/>
      <c r="AD298" s="52"/>
      <c r="AE298" s="52"/>
      <c r="AF298" s="52"/>
      <c r="AG298" s="53"/>
      <c r="AH298" s="54"/>
      <c r="AI298" s="55"/>
      <c r="AJ298" s="56"/>
      <c r="AK298" s="57"/>
      <c r="AL298" s="57" t="s">
        <v>98</v>
      </c>
    </row>
    <row r="299" spans="1:38" ht="31.95" customHeight="1" x14ac:dyDescent="0.3">
      <c r="A299" s="66">
        <v>44075</v>
      </c>
      <c r="B299" s="195">
        <v>0.705011574074074</v>
      </c>
      <c r="C299" s="39"/>
      <c r="D299" s="39">
        <f>IF(I299=Categories!$E$4,VLOOKUP(H299,Categories!$A$4:$C$15,3,FALSE),VLOOKUP(I299,Categories!$E$4:$G$27,3,FALSE))</f>
        <v>120</v>
      </c>
      <c r="E299" s="39"/>
      <c r="F299" s="39"/>
      <c r="G299" s="40">
        <v>31</v>
      </c>
      <c r="H299" s="41" t="s">
        <v>62</v>
      </c>
      <c r="I299" s="68" t="s">
        <v>58</v>
      </c>
      <c r="J299" s="42"/>
      <c r="K299" s="60">
        <v>3100</v>
      </c>
      <c r="L299" s="43" t="s">
        <v>58</v>
      </c>
      <c r="M299" s="44" t="str">
        <f>IFERROR(VLOOKUP(VLOOKUP(O299,O299,1,1),Categories!$K$4:$V$17,2+VLOOKUP(L299,L299,1,FALSE),FALSE),"-"  )</f>
        <v>-</v>
      </c>
      <c r="N299" s="44" t="str">
        <f>IFERROR(VLOOKUP(VLOOKUP(O299,O299,1,1),Categories!$K$3:$V$17,7+VLOOKUP(L299,L299,1,FALSE),FALSE),"-")</f>
        <v>-</v>
      </c>
      <c r="O299" s="45" t="s">
        <v>58</v>
      </c>
      <c r="P299" s="46">
        <v>40</v>
      </c>
      <c r="Q299" s="47">
        <f t="shared" si="9"/>
        <v>4.2119999999999997</v>
      </c>
      <c r="R299" s="48"/>
      <c r="S299" s="48"/>
      <c r="T299" s="49"/>
      <c r="U299" s="61"/>
      <c r="V299" s="50">
        <v>2.9</v>
      </c>
      <c r="W299" s="50">
        <v>4.3</v>
      </c>
      <c r="X299" s="53"/>
      <c r="Y299" s="52"/>
      <c r="Z299" s="52"/>
      <c r="AA299" s="52"/>
      <c r="AB299" s="52"/>
      <c r="AC299" s="52"/>
      <c r="AD299" s="52"/>
      <c r="AE299" s="52"/>
      <c r="AF299" s="52"/>
      <c r="AG299" s="53"/>
      <c r="AH299" s="54"/>
      <c r="AI299" s="55"/>
      <c r="AJ299" s="56"/>
      <c r="AK299" s="57"/>
      <c r="AL299" s="57" t="s">
        <v>100</v>
      </c>
    </row>
    <row r="300" spans="1:38" ht="31.95" customHeight="1" x14ac:dyDescent="0.3">
      <c r="A300" s="66">
        <v>44075</v>
      </c>
      <c r="B300" s="195">
        <v>0.70646990740740734</v>
      </c>
      <c r="C300" s="39"/>
      <c r="D300" s="39">
        <f>IF(I300=Categories!$E$4,VLOOKUP(H300,Categories!$A$4:$C$15,3,FALSE),VLOOKUP(I300,Categories!$E$4:$G$27,3,FALSE))</f>
        <v>60</v>
      </c>
      <c r="E300" s="39"/>
      <c r="F300" s="39"/>
      <c r="G300" s="40">
        <v>31</v>
      </c>
      <c r="H300" s="41" t="s">
        <v>66</v>
      </c>
      <c r="I300" s="59" t="s">
        <v>103</v>
      </c>
      <c r="J300" s="42"/>
      <c r="K300" s="60">
        <v>3100</v>
      </c>
      <c r="L300" s="43" t="s">
        <v>58</v>
      </c>
      <c r="M300" s="44" t="str">
        <f>IFERROR(VLOOKUP(VLOOKUP(O300,O300,1,1),Categories!$K$4:$V$17,2+VLOOKUP(L300,L300,1,FALSE),FALSE),"-"  )</f>
        <v>-</v>
      </c>
      <c r="N300" s="44" t="str">
        <f>IFERROR(VLOOKUP(VLOOKUP(O300,O300,1,1),Categories!$K$3:$V$17,7+VLOOKUP(L300,L300,1,FALSE),FALSE),"-")</f>
        <v>-</v>
      </c>
      <c r="O300" s="45" t="s">
        <v>58</v>
      </c>
      <c r="P300" s="71">
        <v>60</v>
      </c>
      <c r="Q300" s="47">
        <f t="shared" si="9"/>
        <v>2.8079999999999998</v>
      </c>
      <c r="R300" s="48"/>
      <c r="S300" s="48"/>
      <c r="T300" s="49"/>
      <c r="U300" s="61"/>
      <c r="V300" s="50"/>
      <c r="W300" s="50"/>
      <c r="X300" s="53"/>
      <c r="Y300" s="52"/>
      <c r="Z300" s="52"/>
      <c r="AA300" s="52"/>
      <c r="AB300" s="52"/>
      <c r="AC300" s="52"/>
      <c r="AD300" s="52"/>
      <c r="AE300" s="52"/>
      <c r="AF300" s="52"/>
      <c r="AG300" s="53"/>
      <c r="AH300" s="54"/>
      <c r="AI300" s="55"/>
      <c r="AJ300" s="56"/>
      <c r="AK300" s="57"/>
      <c r="AL300" s="57" t="s">
        <v>98</v>
      </c>
    </row>
    <row r="301" spans="1:38" ht="31.95" customHeight="1" x14ac:dyDescent="0.3">
      <c r="A301" s="66">
        <v>44075</v>
      </c>
      <c r="B301" s="195">
        <v>0.70731481481481484</v>
      </c>
      <c r="C301" s="39"/>
      <c r="D301" s="39">
        <f>IF(I301=Categories!$E$4,VLOOKUP(H301,Categories!$A$4:$C$15,3,FALSE),VLOOKUP(I301,Categories!$E$4:$G$27,3,FALSE))</f>
        <v>120</v>
      </c>
      <c r="E301" s="39"/>
      <c r="F301" s="39"/>
      <c r="G301" s="40">
        <v>31</v>
      </c>
      <c r="H301" s="41" t="s">
        <v>62</v>
      </c>
      <c r="I301" s="68" t="s">
        <v>58</v>
      </c>
      <c r="J301" s="42"/>
      <c r="K301" s="60">
        <v>3100</v>
      </c>
      <c r="L301" s="43" t="s">
        <v>58</v>
      </c>
      <c r="M301" s="44" t="str">
        <f>IFERROR(VLOOKUP(VLOOKUP(O301,O301,1,1),Categories!$K$4:$V$17,2+VLOOKUP(L301,L301,1,FALSE),FALSE),"-"  )</f>
        <v>-</v>
      </c>
      <c r="N301" s="44" t="str">
        <f>IFERROR(VLOOKUP(VLOOKUP(O301,O301,1,1),Categories!$K$3:$V$17,7+VLOOKUP(L301,L301,1,FALSE),FALSE),"-")</f>
        <v>-</v>
      </c>
      <c r="O301" s="45" t="s">
        <v>58</v>
      </c>
      <c r="P301" s="46">
        <v>60</v>
      </c>
      <c r="Q301" s="47">
        <f t="shared" si="9"/>
        <v>2.8079999999999998</v>
      </c>
      <c r="R301" s="48"/>
      <c r="S301" s="48"/>
      <c r="T301" s="49"/>
      <c r="U301" s="61"/>
      <c r="V301" s="50">
        <v>1.7</v>
      </c>
      <c r="W301" s="50">
        <v>3.6</v>
      </c>
      <c r="X301" s="53"/>
      <c r="Y301" s="52"/>
      <c r="Z301" s="52"/>
      <c r="AA301" s="52"/>
      <c r="AB301" s="52"/>
      <c r="AC301" s="52"/>
      <c r="AD301" s="52"/>
      <c r="AE301" s="52"/>
      <c r="AF301" s="52"/>
      <c r="AG301" s="53"/>
      <c r="AH301" s="54"/>
      <c r="AI301" s="55"/>
      <c r="AJ301" s="56"/>
      <c r="AK301" s="57"/>
      <c r="AL301" s="57" t="s">
        <v>101</v>
      </c>
    </row>
    <row r="302" spans="1:38" ht="31.95" customHeight="1" x14ac:dyDescent="0.3">
      <c r="A302" s="66">
        <v>44075</v>
      </c>
      <c r="B302" s="195">
        <v>0.7088078703703703</v>
      </c>
      <c r="C302" s="39"/>
      <c r="D302" s="39">
        <f>IF(I302=Categories!$E$4,VLOOKUP(H302,Categories!$A$4:$C$15,3,FALSE),VLOOKUP(I302,Categories!$E$4:$G$27,3,FALSE))</f>
        <v>60</v>
      </c>
      <c r="E302" s="39"/>
      <c r="F302" s="39"/>
      <c r="G302" s="40">
        <v>31</v>
      </c>
      <c r="H302" s="41" t="s">
        <v>66</v>
      </c>
      <c r="I302" s="59" t="s">
        <v>103</v>
      </c>
      <c r="J302" s="42"/>
      <c r="K302" s="60">
        <v>3100</v>
      </c>
      <c r="L302" s="43" t="s">
        <v>58</v>
      </c>
      <c r="M302" s="44" t="str">
        <f>IFERROR(VLOOKUP(VLOOKUP(O302,O302,1,1),Categories!$K$4:$V$17,2+VLOOKUP(L302,L302,1,FALSE),FALSE),"-"  )</f>
        <v>-</v>
      </c>
      <c r="N302" s="44" t="str">
        <f>IFERROR(VLOOKUP(VLOOKUP(O302,O302,1,1),Categories!$K$3:$V$17,7+VLOOKUP(L302,L302,1,FALSE),FALSE),"-")</f>
        <v>-</v>
      </c>
      <c r="O302" s="45" t="s">
        <v>58</v>
      </c>
      <c r="P302" s="71">
        <v>80</v>
      </c>
      <c r="Q302" s="47">
        <f t="shared" ref="Q302:Q303" si="10">$X$254*(1-$P302/100)</f>
        <v>1.4039999999999997</v>
      </c>
      <c r="R302" s="48"/>
      <c r="S302" s="48"/>
      <c r="T302" s="49"/>
      <c r="U302" s="61"/>
      <c r="V302" s="50"/>
      <c r="W302" s="50"/>
      <c r="X302" s="53"/>
      <c r="Y302" s="52"/>
      <c r="Z302" s="52"/>
      <c r="AA302" s="52"/>
      <c r="AB302" s="52"/>
      <c r="AC302" s="52"/>
      <c r="AD302" s="52"/>
      <c r="AE302" s="52"/>
      <c r="AF302" s="52"/>
      <c r="AG302" s="53"/>
      <c r="AH302" s="54"/>
      <c r="AI302" s="55"/>
      <c r="AJ302" s="56"/>
      <c r="AK302" s="57"/>
      <c r="AL302" s="57" t="s">
        <v>98</v>
      </c>
    </row>
    <row r="303" spans="1:38" ht="31.95" customHeight="1" x14ac:dyDescent="0.3">
      <c r="A303" s="66">
        <v>44075</v>
      </c>
      <c r="B303" s="195">
        <v>0.70954861111111101</v>
      </c>
      <c r="C303" s="39"/>
      <c r="D303" s="39">
        <f>IF(I303=Categories!$E$4,VLOOKUP(H303,Categories!$A$4:$C$15,3,FALSE),VLOOKUP(I303,Categories!$E$4:$G$27,3,FALSE))</f>
        <v>120</v>
      </c>
      <c r="E303" s="39"/>
      <c r="F303" s="39"/>
      <c r="G303" s="40">
        <v>31</v>
      </c>
      <c r="H303" s="41" t="s">
        <v>62</v>
      </c>
      <c r="I303" s="68" t="s">
        <v>58</v>
      </c>
      <c r="J303" s="42"/>
      <c r="K303" s="60">
        <v>3100</v>
      </c>
      <c r="L303" s="43" t="s">
        <v>58</v>
      </c>
      <c r="M303" s="44" t="str">
        <f>IFERROR(VLOOKUP(VLOOKUP(O303,O303,1,1),Categories!$K$4:$V$17,2+VLOOKUP(L303,L303,1,FALSE),FALSE),"-"  )</f>
        <v>-</v>
      </c>
      <c r="N303" s="44" t="str">
        <f>IFERROR(VLOOKUP(VLOOKUP(O303,O303,1,1),Categories!$K$3:$V$17,7+VLOOKUP(L303,L303,1,FALSE),FALSE),"-")</f>
        <v>-</v>
      </c>
      <c r="O303" s="45" t="s">
        <v>58</v>
      </c>
      <c r="P303" s="46">
        <v>80</v>
      </c>
      <c r="Q303" s="47">
        <f t="shared" si="10"/>
        <v>1.4039999999999997</v>
      </c>
      <c r="R303" s="48"/>
      <c r="S303" s="48"/>
      <c r="T303" s="49"/>
      <c r="U303" s="61"/>
      <c r="V303" s="50">
        <v>0.6</v>
      </c>
      <c r="W303" s="50">
        <v>2.9</v>
      </c>
      <c r="X303" s="53"/>
      <c r="Y303" s="52"/>
      <c r="Z303" s="52"/>
      <c r="AA303" s="52"/>
      <c r="AB303" s="52"/>
      <c r="AC303" s="52"/>
      <c r="AD303" s="52"/>
      <c r="AE303" s="52"/>
      <c r="AF303" s="52"/>
      <c r="AG303" s="53"/>
      <c r="AH303" s="54"/>
      <c r="AI303" s="55"/>
      <c r="AJ303" s="56"/>
      <c r="AK303" s="57"/>
      <c r="AL303" s="57" t="s">
        <v>102</v>
      </c>
    </row>
    <row r="304" spans="1:38" ht="31.95" customHeight="1" x14ac:dyDescent="0.3">
      <c r="A304" s="37">
        <v>44075</v>
      </c>
      <c r="B304" s="194">
        <v>0.71105324074074072</v>
      </c>
      <c r="C304" s="39"/>
      <c r="D304" s="39">
        <f>IF(I304=Categories!$E$4,VLOOKUP(H304,Categories!$A$4:$C$15,3,FALSE),VLOOKUP(I304,Categories!$E$4:$G$27,3,FALSE))</f>
        <v>60</v>
      </c>
      <c r="E304" s="39"/>
      <c r="F304" s="39"/>
      <c r="G304" s="40" t="s">
        <v>58</v>
      </c>
      <c r="H304" s="41" t="s">
        <v>66</v>
      </c>
      <c r="I304" s="59" t="s">
        <v>103</v>
      </c>
      <c r="J304" s="42"/>
      <c r="K304" s="60">
        <v>3100</v>
      </c>
      <c r="L304" s="43" t="s">
        <v>58</v>
      </c>
      <c r="M304" s="44" t="str">
        <f>IFERROR(VLOOKUP(VLOOKUP(O304,O304,1,1),Categories!$K$4:$V$17,2+VLOOKUP(L304,L304,1,FALSE),FALSE),"-"  )</f>
        <v>-</v>
      </c>
      <c r="N304" s="44" t="str">
        <f>IFERROR(VLOOKUP(VLOOKUP(O304,O304,1,1),Categories!$K$3:$V$17,7+VLOOKUP(L304,L304,1,FALSE),FALSE),"-")</f>
        <v>-</v>
      </c>
      <c r="O304" s="45" t="s">
        <v>58</v>
      </c>
      <c r="P304" s="71">
        <v>0</v>
      </c>
      <c r="Q304" s="47" t="s">
        <v>58</v>
      </c>
      <c r="R304" s="61"/>
      <c r="S304" s="61"/>
      <c r="T304" s="62"/>
      <c r="U304" s="61"/>
      <c r="V304" s="63"/>
      <c r="W304" s="63"/>
      <c r="X304" s="51"/>
      <c r="Y304" s="64"/>
      <c r="Z304" s="64"/>
      <c r="AA304" s="64"/>
      <c r="AB304" s="64"/>
      <c r="AC304" s="64"/>
      <c r="AD304" s="64"/>
      <c r="AE304" s="64"/>
      <c r="AF304" s="64"/>
      <c r="AG304" s="51"/>
      <c r="AH304" s="65"/>
      <c r="AI304" s="55"/>
      <c r="AJ304" s="57"/>
      <c r="AK304" s="57"/>
      <c r="AL304" s="57"/>
    </row>
    <row r="305" spans="1:38" ht="31.95" customHeight="1" x14ac:dyDescent="0.3">
      <c r="A305" s="37">
        <v>44075</v>
      </c>
      <c r="B305" s="194">
        <v>0.71199074074074076</v>
      </c>
      <c r="C305" s="39"/>
      <c r="D305" s="39">
        <f>IF(I305=Categories!$E$4,VLOOKUP(H305,Categories!$A$4:$C$15,3,FALSE),VLOOKUP(I305,Categories!$E$4:$G$27,3,FALSE))</f>
        <v>60</v>
      </c>
      <c r="E305" s="39"/>
      <c r="F305" s="39"/>
      <c r="G305" s="40">
        <v>32</v>
      </c>
      <c r="H305" s="41" t="s">
        <v>78</v>
      </c>
      <c r="I305" s="59" t="s">
        <v>58</v>
      </c>
      <c r="J305" s="42"/>
      <c r="K305" s="60">
        <v>3100</v>
      </c>
      <c r="L305" s="43" t="s">
        <v>58</v>
      </c>
      <c r="M305" s="44" t="str">
        <f>IFERROR(VLOOKUP(VLOOKUP(O305,O305,1,1),Categories!$K$4:$V$17,2+VLOOKUP(L305,L305,1,FALSE),FALSE),"-"  )</f>
        <v>-</v>
      </c>
      <c r="N305" s="44" t="str">
        <f>IFERROR(VLOOKUP(VLOOKUP(O305,O305,1,1),Categories!$K$3:$V$17,7+VLOOKUP(L305,L305,1,FALSE),FALSE),"-")</f>
        <v>-</v>
      </c>
      <c r="O305" s="45" t="s">
        <v>58</v>
      </c>
      <c r="P305" s="46" t="s">
        <v>58</v>
      </c>
      <c r="Q305" s="47" t="s">
        <v>58</v>
      </c>
      <c r="R305" s="61"/>
      <c r="S305" s="61"/>
      <c r="T305" s="62"/>
      <c r="U305" s="61"/>
      <c r="V305" s="63">
        <v>5.4</v>
      </c>
      <c r="W305" s="63">
        <v>5.6</v>
      </c>
      <c r="X305" s="51">
        <v>7</v>
      </c>
      <c r="Y305" s="64"/>
      <c r="Z305" s="64"/>
      <c r="AA305" s="64"/>
      <c r="AB305" s="64"/>
      <c r="AC305" s="64"/>
      <c r="AD305" s="64"/>
      <c r="AE305" s="64"/>
      <c r="AF305" s="64"/>
      <c r="AG305" s="51"/>
      <c r="AH305" s="65"/>
      <c r="AI305" s="55"/>
      <c r="AJ305" s="57"/>
      <c r="AK305" s="57"/>
      <c r="AL305" s="57" t="s">
        <v>92</v>
      </c>
    </row>
    <row r="306" spans="1:38" ht="31.95" customHeight="1" x14ac:dyDescent="0.3">
      <c r="A306" s="37">
        <v>44075</v>
      </c>
      <c r="B306" s="194">
        <v>0.7128472222222223</v>
      </c>
      <c r="C306" s="39"/>
      <c r="D306" s="39">
        <f>IF(I306=Categories!$E$4,VLOOKUP(H306,Categories!$A$4:$C$15,3,FALSE),VLOOKUP(I306,Categories!$E$4:$G$27,3,FALSE))</f>
        <v>30</v>
      </c>
      <c r="E306" s="39"/>
      <c r="F306" s="39"/>
      <c r="G306" s="40">
        <v>32</v>
      </c>
      <c r="H306" s="41" t="s">
        <v>66</v>
      </c>
      <c r="I306" s="59" t="s">
        <v>67</v>
      </c>
      <c r="J306" s="42"/>
      <c r="K306" s="60">
        <v>2800</v>
      </c>
      <c r="L306" s="43" t="s">
        <v>58</v>
      </c>
      <c r="M306" s="44" t="str">
        <f>IFERROR(VLOOKUP(VLOOKUP(O306,O306,1,1),Categories!$K$4:$V$17,2+VLOOKUP(L306,L306,1,FALSE),FALSE),"-"  )</f>
        <v>-</v>
      </c>
      <c r="N306" s="44" t="str">
        <f>IFERROR(VLOOKUP(VLOOKUP(O306,O306,1,1),Categories!$K$3:$V$17,7+VLOOKUP(L306,L306,1,FALSE),FALSE),"-")</f>
        <v>-</v>
      </c>
      <c r="O306" s="45" t="s">
        <v>58</v>
      </c>
      <c r="P306" s="46" t="s">
        <v>58</v>
      </c>
      <c r="Q306" s="47" t="s">
        <v>58</v>
      </c>
      <c r="R306" s="61"/>
      <c r="S306" s="61"/>
      <c r="T306" s="62"/>
      <c r="U306" s="61"/>
      <c r="V306" s="63"/>
      <c r="W306" s="63"/>
      <c r="X306" s="51"/>
      <c r="Y306" s="64"/>
      <c r="Z306" s="64"/>
      <c r="AA306" s="64"/>
      <c r="AB306" s="64"/>
      <c r="AC306" s="64"/>
      <c r="AD306" s="64"/>
      <c r="AE306" s="64"/>
      <c r="AF306" s="64"/>
      <c r="AG306" s="51"/>
      <c r="AH306" s="65"/>
      <c r="AI306" s="55"/>
      <c r="AJ306" s="57"/>
      <c r="AK306" s="57"/>
      <c r="AL306" s="57" t="s">
        <v>93</v>
      </c>
    </row>
    <row r="307" spans="1:38" ht="31.95" customHeight="1" x14ac:dyDescent="0.3">
      <c r="A307" s="37">
        <v>44075</v>
      </c>
      <c r="B307" s="194">
        <v>0.71332175925925922</v>
      </c>
      <c r="C307" s="39"/>
      <c r="D307" s="39">
        <f>IF(I307=Categories!$E$4,VLOOKUP(H307,Categories!$A$4:$C$15,3,FALSE),VLOOKUP(I307,Categories!$E$4:$G$27,3,FALSE))</f>
        <v>60</v>
      </c>
      <c r="E307" s="39"/>
      <c r="F307" s="39"/>
      <c r="G307" s="40">
        <v>32</v>
      </c>
      <c r="H307" s="41" t="s">
        <v>86</v>
      </c>
      <c r="I307" s="59" t="s">
        <v>58</v>
      </c>
      <c r="J307" s="42"/>
      <c r="K307" s="60">
        <v>2800</v>
      </c>
      <c r="L307" s="43" t="s">
        <v>58</v>
      </c>
      <c r="M307" s="44" t="str">
        <f>IFERROR(VLOOKUP(VLOOKUP(O307,O307,1,1),Categories!$K$4:$V$17,2+VLOOKUP(L307,L307,1,FALSE),FALSE),"-"  )</f>
        <v>-</v>
      </c>
      <c r="N307" s="44" t="str">
        <f>IFERROR(VLOOKUP(VLOOKUP(O307,O307,1,1),Categories!$K$3:$V$17,7+VLOOKUP(L307,L307,1,FALSE),FALSE),"-")</f>
        <v>-</v>
      </c>
      <c r="O307" s="45" t="s">
        <v>58</v>
      </c>
      <c r="P307" s="46" t="s">
        <v>58</v>
      </c>
      <c r="Q307" s="47" t="s">
        <v>58</v>
      </c>
      <c r="R307" s="61"/>
      <c r="S307" s="61"/>
      <c r="T307" s="62"/>
      <c r="U307" s="61"/>
      <c r="V307" s="63">
        <v>4.5</v>
      </c>
      <c r="W307" s="63">
        <v>4.0999999999999996</v>
      </c>
      <c r="X307" s="51">
        <v>6.27</v>
      </c>
      <c r="Y307" s="64"/>
      <c r="Z307" s="64"/>
      <c r="AA307" s="64"/>
      <c r="AB307" s="64"/>
      <c r="AC307" s="64"/>
      <c r="AD307" s="64"/>
      <c r="AE307" s="64"/>
      <c r="AF307" s="64"/>
      <c r="AG307" s="51"/>
      <c r="AH307" s="65"/>
      <c r="AI307" s="55"/>
      <c r="AJ307" s="57"/>
      <c r="AK307" s="57"/>
      <c r="AL307" s="57" t="s">
        <v>94</v>
      </c>
    </row>
    <row r="308" spans="1:38" ht="31.95" customHeight="1" x14ac:dyDescent="0.3">
      <c r="A308" s="37">
        <v>44075</v>
      </c>
      <c r="B308" s="194">
        <v>0.71403935185185186</v>
      </c>
      <c r="C308" s="39"/>
      <c r="D308" s="39">
        <f>IF(I308=Categories!$E$4,VLOOKUP(H308,Categories!$A$4:$C$15,3,FALSE),VLOOKUP(I308,Categories!$E$4:$G$27,3,FALSE))</f>
        <v>30</v>
      </c>
      <c r="E308" s="39"/>
      <c r="F308" s="39"/>
      <c r="G308" s="40">
        <v>32</v>
      </c>
      <c r="H308" s="41" t="s">
        <v>66</v>
      </c>
      <c r="I308" s="59" t="s">
        <v>67</v>
      </c>
      <c r="J308" s="42"/>
      <c r="K308" s="60">
        <v>2500</v>
      </c>
      <c r="L308" s="43" t="s">
        <v>58</v>
      </c>
      <c r="M308" s="44" t="str">
        <f>IFERROR(VLOOKUP(VLOOKUP(O308,O308,1,1),Categories!$K$4:$V$17,2+VLOOKUP(L308,L308,1,FALSE),FALSE),"-"  )</f>
        <v>-</v>
      </c>
      <c r="N308" s="44" t="str">
        <f>IFERROR(VLOOKUP(VLOOKUP(O308,O308,1,1),Categories!$K$3:$V$17,7+VLOOKUP(L308,L308,1,FALSE),FALSE),"-")</f>
        <v>-</v>
      </c>
      <c r="O308" s="45" t="s">
        <v>58</v>
      </c>
      <c r="P308" s="46" t="s">
        <v>58</v>
      </c>
      <c r="Q308" s="47" t="s">
        <v>58</v>
      </c>
      <c r="R308" s="61"/>
      <c r="S308" s="61"/>
      <c r="T308" s="62"/>
      <c r="U308" s="61"/>
      <c r="V308" s="63"/>
      <c r="W308" s="63"/>
      <c r="X308" s="51"/>
      <c r="Y308" s="64"/>
      <c r="Z308" s="64"/>
      <c r="AA308" s="64"/>
      <c r="AB308" s="64"/>
      <c r="AC308" s="64"/>
      <c r="AD308" s="64"/>
      <c r="AE308" s="64"/>
      <c r="AF308" s="64"/>
      <c r="AG308" s="51"/>
      <c r="AH308" s="65"/>
      <c r="AI308" s="55"/>
      <c r="AJ308" s="57"/>
      <c r="AK308" s="57"/>
      <c r="AL308" s="57" t="s">
        <v>95</v>
      </c>
    </row>
    <row r="309" spans="1:38" ht="31.95" customHeight="1" x14ac:dyDescent="0.3">
      <c r="A309" s="37">
        <v>44075</v>
      </c>
      <c r="B309" s="194">
        <v>0.71450231481481474</v>
      </c>
      <c r="C309" s="39"/>
      <c r="D309" s="39">
        <f>IF(I309=Categories!$E$4,VLOOKUP(H309,Categories!$A$4:$C$15,3,FALSE),VLOOKUP(I309,Categories!$E$4:$G$27,3,FALSE))</f>
        <v>60</v>
      </c>
      <c r="E309" s="39"/>
      <c r="F309" s="39"/>
      <c r="G309" s="40">
        <v>32</v>
      </c>
      <c r="H309" s="41" t="s">
        <v>78</v>
      </c>
      <c r="I309" s="59" t="s">
        <v>58</v>
      </c>
      <c r="J309" s="42"/>
      <c r="K309" s="60">
        <v>2500</v>
      </c>
      <c r="L309" s="43" t="s">
        <v>58</v>
      </c>
      <c r="M309" s="44" t="str">
        <f>IFERROR(VLOOKUP(VLOOKUP(O309,O309,1,1),Categories!$K$4:$V$17,2+VLOOKUP(L309,L309,1,FALSE),FALSE),"-"  )</f>
        <v>-</v>
      </c>
      <c r="N309" s="44" t="str">
        <f>IFERROR(VLOOKUP(VLOOKUP(O309,O309,1,1),Categories!$K$3:$V$17,7+VLOOKUP(L309,L309,1,FALSE),FALSE),"-")</f>
        <v>-</v>
      </c>
      <c r="O309" s="45" t="s">
        <v>58</v>
      </c>
      <c r="P309" s="46" t="s">
        <v>58</v>
      </c>
      <c r="Q309" s="47" t="s">
        <v>58</v>
      </c>
      <c r="R309" s="61"/>
      <c r="S309" s="61"/>
      <c r="T309" s="62"/>
      <c r="U309" s="61"/>
      <c r="V309" s="63">
        <v>4</v>
      </c>
      <c r="W309" s="63">
        <v>3</v>
      </c>
      <c r="X309" s="51">
        <v>5.55</v>
      </c>
      <c r="Y309" s="64"/>
      <c r="Z309" s="64"/>
      <c r="AA309" s="64"/>
      <c r="AB309" s="64"/>
      <c r="AC309" s="64"/>
      <c r="AD309" s="64"/>
      <c r="AE309" s="64"/>
      <c r="AF309" s="64"/>
      <c r="AG309" s="51"/>
      <c r="AH309" s="65"/>
      <c r="AI309" s="55"/>
      <c r="AJ309" s="57"/>
      <c r="AK309" s="57"/>
      <c r="AL309" s="57" t="s">
        <v>96</v>
      </c>
    </row>
    <row r="310" spans="1:38" ht="31.95" customHeight="1" x14ac:dyDescent="0.3">
      <c r="A310" s="37">
        <v>44075</v>
      </c>
      <c r="B310" s="194">
        <v>0.71527777777777779</v>
      </c>
      <c r="C310" s="39"/>
      <c r="D310" s="39">
        <f>IF(I310=Categories!$E$4,VLOOKUP(H310,Categories!$A$4:$C$15,3,FALSE),VLOOKUP(I310,Categories!$E$4:$G$27,3,FALSE))</f>
        <v>30</v>
      </c>
      <c r="E310" s="39"/>
      <c r="F310" s="39"/>
      <c r="G310" s="40">
        <v>32</v>
      </c>
      <c r="H310" s="41" t="s">
        <v>66</v>
      </c>
      <c r="I310" s="59" t="s">
        <v>67</v>
      </c>
      <c r="J310" s="42"/>
      <c r="K310" s="60">
        <v>2200</v>
      </c>
      <c r="L310" s="43" t="s">
        <v>58</v>
      </c>
      <c r="M310" s="44" t="str">
        <f>IFERROR(VLOOKUP(VLOOKUP(O310,O310,1,1),Categories!$K$4:$V$17,2+VLOOKUP(L310,L310,1,FALSE),FALSE),"-"  )</f>
        <v>-</v>
      </c>
      <c r="N310" s="44" t="str">
        <f>IFERROR(VLOOKUP(VLOOKUP(O310,O310,1,1),Categories!$K$3:$V$17,7+VLOOKUP(L310,L310,1,FALSE),FALSE),"-")</f>
        <v>-</v>
      </c>
      <c r="O310" s="45" t="s">
        <v>58</v>
      </c>
      <c r="P310" s="46" t="s">
        <v>58</v>
      </c>
      <c r="Q310" s="47" t="s">
        <v>58</v>
      </c>
      <c r="R310" s="61"/>
      <c r="S310" s="61"/>
      <c r="T310" s="62"/>
      <c r="U310" s="61"/>
      <c r="V310" s="63"/>
      <c r="W310" s="63"/>
      <c r="X310" s="51"/>
      <c r="Y310" s="64"/>
      <c r="Z310" s="64"/>
      <c r="AA310" s="64"/>
      <c r="AB310" s="64"/>
      <c r="AC310" s="64"/>
      <c r="AD310" s="64"/>
      <c r="AE310" s="64"/>
      <c r="AF310" s="64"/>
      <c r="AG310" s="51"/>
      <c r="AH310" s="65"/>
      <c r="AI310" s="55"/>
      <c r="AJ310" s="57"/>
      <c r="AK310" s="57"/>
      <c r="AL310" s="57" t="s">
        <v>96</v>
      </c>
    </row>
    <row r="311" spans="1:38" ht="31.95" customHeight="1" x14ac:dyDescent="0.3">
      <c r="A311" s="37">
        <v>44075</v>
      </c>
      <c r="B311" s="194">
        <v>0.71576388888888898</v>
      </c>
      <c r="C311" s="39"/>
      <c r="D311" s="39">
        <f>IF(I311=Categories!$E$4,VLOOKUP(H311,Categories!$A$4:$C$15,3,FALSE),VLOOKUP(I311,Categories!$E$4:$G$27,3,FALSE))</f>
        <v>60</v>
      </c>
      <c r="E311" s="39"/>
      <c r="F311" s="39"/>
      <c r="G311" s="40">
        <v>32</v>
      </c>
      <c r="H311" s="41" t="s">
        <v>78</v>
      </c>
      <c r="I311" s="59" t="s">
        <v>58</v>
      </c>
      <c r="J311" s="42"/>
      <c r="K311" s="60">
        <v>2200</v>
      </c>
      <c r="L311" s="43" t="s">
        <v>58</v>
      </c>
      <c r="M311" s="44" t="str">
        <f>IFERROR(VLOOKUP(VLOOKUP(O311,O311,1,1),Categories!$K$4:$V$17,2+VLOOKUP(L311,L311,1,FALSE),FALSE),"-"  )</f>
        <v>-</v>
      </c>
      <c r="N311" s="44" t="str">
        <f>IFERROR(VLOOKUP(VLOOKUP(O311,O311,1,1),Categories!$K$3:$V$17,7+VLOOKUP(L311,L311,1,FALSE),FALSE),"-")</f>
        <v>-</v>
      </c>
      <c r="O311" s="45" t="s">
        <v>58</v>
      </c>
      <c r="P311" s="46" t="s">
        <v>58</v>
      </c>
      <c r="Q311" s="47" t="s">
        <v>58</v>
      </c>
      <c r="R311" s="61"/>
      <c r="S311" s="61"/>
      <c r="T311" s="62"/>
      <c r="U311" s="61"/>
      <c r="V311" s="63">
        <v>3.3</v>
      </c>
      <c r="W311" s="63">
        <v>2.1</v>
      </c>
      <c r="X311" s="51">
        <v>4.82</v>
      </c>
      <c r="Y311" s="64"/>
      <c r="Z311" s="64"/>
      <c r="AA311" s="64"/>
      <c r="AB311" s="64"/>
      <c r="AC311" s="64"/>
      <c r="AD311" s="64"/>
      <c r="AE311" s="64"/>
      <c r="AF311" s="64"/>
      <c r="AG311" s="51"/>
      <c r="AH311" s="65"/>
      <c r="AI311" s="55"/>
      <c r="AJ311" s="57"/>
      <c r="AK311" s="57"/>
      <c r="AL311" s="57" t="s">
        <v>96</v>
      </c>
    </row>
    <row r="312" spans="1:38" ht="31.95" customHeight="1" x14ac:dyDescent="0.3">
      <c r="A312" s="37">
        <v>44075</v>
      </c>
      <c r="B312" s="194">
        <v>0.71659722222222222</v>
      </c>
      <c r="C312" s="39"/>
      <c r="D312" s="39">
        <f>IF(I312=Categories!$E$4,VLOOKUP(H312,Categories!$A$4:$C$15,3,FALSE),VLOOKUP(I312,Categories!$E$4:$G$27,3,FALSE))</f>
        <v>30</v>
      </c>
      <c r="E312" s="39"/>
      <c r="F312" s="39"/>
      <c r="G312" s="40" t="s">
        <v>58</v>
      </c>
      <c r="H312" s="41" t="s">
        <v>66</v>
      </c>
      <c r="I312" s="59" t="s">
        <v>67</v>
      </c>
      <c r="J312" s="42"/>
      <c r="K312" s="60">
        <v>2100</v>
      </c>
      <c r="L312" s="43" t="s">
        <v>58</v>
      </c>
      <c r="M312" s="44" t="str">
        <f>IFERROR(VLOOKUP(VLOOKUP(O312,O312,1,1),Categories!$K$4:$V$17,2+VLOOKUP(L312,L312,1,FALSE),FALSE),"-"  )</f>
        <v>-</v>
      </c>
      <c r="N312" s="44" t="str">
        <f>IFERROR(VLOOKUP(VLOOKUP(O312,O312,1,1),Categories!$K$3:$V$17,7+VLOOKUP(L312,L312,1,FALSE),FALSE),"-")</f>
        <v>-</v>
      </c>
      <c r="O312" s="45" t="s">
        <v>58</v>
      </c>
      <c r="P312" s="46" t="s">
        <v>58</v>
      </c>
      <c r="Q312" s="47" t="s">
        <v>58</v>
      </c>
      <c r="R312" s="61"/>
      <c r="S312" s="61"/>
      <c r="T312" s="62"/>
      <c r="U312" s="61"/>
      <c r="V312" s="63"/>
      <c r="W312" s="63"/>
      <c r="X312" s="51"/>
      <c r="Y312" s="64"/>
      <c r="Z312" s="64"/>
      <c r="AA312" s="64"/>
      <c r="AB312" s="64"/>
      <c r="AC312" s="64"/>
      <c r="AD312" s="64"/>
      <c r="AE312" s="64"/>
      <c r="AF312" s="64"/>
      <c r="AG312" s="51"/>
      <c r="AH312" s="65"/>
      <c r="AI312" s="55"/>
      <c r="AJ312" s="57"/>
      <c r="AK312" s="57"/>
      <c r="AL312" s="57" t="s">
        <v>104</v>
      </c>
    </row>
    <row r="313" spans="1:38" ht="31.95" customHeight="1" x14ac:dyDescent="0.3">
      <c r="A313" s="37">
        <v>44075</v>
      </c>
      <c r="B313" s="194">
        <v>0.71702546296296299</v>
      </c>
      <c r="C313" s="39"/>
      <c r="D313" s="39">
        <v>60</v>
      </c>
      <c r="E313" s="39"/>
      <c r="F313" s="39"/>
      <c r="G313" s="40">
        <v>33</v>
      </c>
      <c r="H313" s="41" t="s">
        <v>62</v>
      </c>
      <c r="I313" s="59" t="s">
        <v>58</v>
      </c>
      <c r="J313" s="42"/>
      <c r="K313" s="60">
        <v>2100</v>
      </c>
      <c r="L313" s="43" t="s">
        <v>58</v>
      </c>
      <c r="M313" s="44" t="str">
        <f>IFERROR(VLOOKUP(VLOOKUP(O313,O313,1,1),Categories!$K$4:$V$17,2+VLOOKUP(L313,L313,1,FALSE),FALSE),"-"  )</f>
        <v>-</v>
      </c>
      <c r="N313" s="44" t="str">
        <f>IFERROR(VLOOKUP(VLOOKUP(O313,O313,1,1),Categories!$K$3:$V$17,7+VLOOKUP(L313,L313,1,FALSE),FALSE),"-")</f>
        <v>-</v>
      </c>
      <c r="O313" s="45" t="s">
        <v>58</v>
      </c>
      <c r="P313" s="46" t="s">
        <v>58</v>
      </c>
      <c r="Q313" s="47" t="s">
        <v>58</v>
      </c>
      <c r="R313" s="61"/>
      <c r="S313" s="61"/>
      <c r="T313" s="62"/>
      <c r="U313" s="61"/>
      <c r="V313" s="63">
        <v>3.2</v>
      </c>
      <c r="W313" s="63">
        <v>1.8</v>
      </c>
      <c r="X313" s="51">
        <v>4.58</v>
      </c>
      <c r="Y313" s="64"/>
      <c r="Z313" s="64"/>
      <c r="AA313" s="64"/>
      <c r="AB313" s="64"/>
      <c r="AC313" s="64"/>
      <c r="AD313" s="64"/>
      <c r="AE313" s="64"/>
      <c r="AF313" s="64"/>
      <c r="AG313" s="51"/>
      <c r="AH313" s="65"/>
      <c r="AI313" s="55"/>
      <c r="AJ313" s="57"/>
      <c r="AK313" s="57"/>
      <c r="AL313" s="57" t="s">
        <v>369</v>
      </c>
    </row>
    <row r="314" spans="1:38" ht="31.95" customHeight="1" x14ac:dyDescent="0.3">
      <c r="A314" s="37">
        <v>44075</v>
      </c>
      <c r="B314" s="194">
        <v>0.71769675925925924</v>
      </c>
      <c r="C314" s="39"/>
      <c r="D314" s="39">
        <f>IF(I314=Categories!$E$4,VLOOKUP(H314,Categories!$A$4:$C$15,3,FALSE),VLOOKUP(I314,Categories!$E$4:$G$27,3,FALSE))</f>
        <v>30</v>
      </c>
      <c r="E314" s="39"/>
      <c r="F314" s="39"/>
      <c r="G314" s="40">
        <v>33</v>
      </c>
      <c r="H314" s="41" t="s">
        <v>66</v>
      </c>
      <c r="I314" s="59" t="s">
        <v>67</v>
      </c>
      <c r="J314" s="42"/>
      <c r="K314" s="60">
        <v>2300</v>
      </c>
      <c r="L314" s="43" t="s">
        <v>58</v>
      </c>
      <c r="M314" s="44" t="str">
        <f>IFERROR(VLOOKUP(VLOOKUP(O314,O314,1,1),Categories!$K$4:$V$17,2+VLOOKUP(L314,L314,1,FALSE),FALSE),"-"  )</f>
        <v>-</v>
      </c>
      <c r="N314" s="44" t="str">
        <f>IFERROR(VLOOKUP(VLOOKUP(O314,O314,1,1),Categories!$K$3:$V$17,7+VLOOKUP(L314,L314,1,FALSE),FALSE),"-")</f>
        <v>-</v>
      </c>
      <c r="O314" s="45" t="s">
        <v>58</v>
      </c>
      <c r="P314" s="46" t="s">
        <v>58</v>
      </c>
      <c r="Q314" s="47" t="s">
        <v>58</v>
      </c>
      <c r="R314" s="61"/>
      <c r="S314" s="61"/>
      <c r="T314" s="62"/>
      <c r="U314" s="61"/>
      <c r="V314" s="63"/>
      <c r="W314" s="63"/>
      <c r="X314" s="51"/>
      <c r="Y314" s="64"/>
      <c r="Z314" s="64"/>
      <c r="AA314" s="64"/>
      <c r="AB314" s="64"/>
      <c r="AC314" s="64"/>
      <c r="AD314" s="64"/>
      <c r="AE314" s="64"/>
      <c r="AF314" s="64"/>
      <c r="AG314" s="51"/>
      <c r="AH314" s="65"/>
      <c r="AI314" s="55"/>
      <c r="AJ314" s="57"/>
      <c r="AK314" s="57"/>
      <c r="AL314" s="57" t="s">
        <v>369</v>
      </c>
    </row>
    <row r="315" spans="1:38" ht="31.95" customHeight="1" x14ac:dyDescent="0.3">
      <c r="A315" s="37">
        <v>44075</v>
      </c>
      <c r="B315" s="194">
        <v>0.71821759259259255</v>
      </c>
      <c r="C315" s="39"/>
      <c r="D315" s="39">
        <v>60</v>
      </c>
      <c r="E315" s="39"/>
      <c r="F315" s="39"/>
      <c r="G315" s="40">
        <v>33</v>
      </c>
      <c r="H315" s="41" t="s">
        <v>62</v>
      </c>
      <c r="I315" s="59" t="s">
        <v>58</v>
      </c>
      <c r="J315" s="42"/>
      <c r="K315" s="60">
        <v>2300</v>
      </c>
      <c r="L315" s="43" t="s">
        <v>58</v>
      </c>
      <c r="M315" s="44" t="str">
        <f>IFERROR(VLOOKUP(VLOOKUP(O315,O315,1,1),Categories!$K$4:$V$17,2+VLOOKUP(L315,L315,1,FALSE),FALSE),"-"  )</f>
        <v>-</v>
      </c>
      <c r="N315" s="44" t="str">
        <f>IFERROR(VLOOKUP(VLOOKUP(O315,O315,1,1),Categories!$K$3:$V$17,7+VLOOKUP(L315,L315,1,FALSE),FALSE),"-")</f>
        <v>-</v>
      </c>
      <c r="O315" s="45" t="s">
        <v>58</v>
      </c>
      <c r="P315" s="46" t="s">
        <v>58</v>
      </c>
      <c r="Q315" s="47" t="s">
        <v>58</v>
      </c>
      <c r="R315" s="61"/>
      <c r="S315" s="61"/>
      <c r="T315" s="62"/>
      <c r="U315" s="61"/>
      <c r="V315" s="63">
        <v>3.6</v>
      </c>
      <c r="W315" s="63">
        <v>2.2999999999999998</v>
      </c>
      <c r="X315" s="51">
        <v>5.0599999999999996</v>
      </c>
      <c r="Y315" s="64"/>
      <c r="Z315" s="64"/>
      <c r="AA315" s="64"/>
      <c r="AB315" s="64"/>
      <c r="AC315" s="64"/>
      <c r="AD315" s="64"/>
      <c r="AE315" s="64"/>
      <c r="AF315" s="64"/>
      <c r="AG315" s="51"/>
      <c r="AH315" s="65"/>
      <c r="AI315" s="55"/>
      <c r="AJ315" s="57"/>
      <c r="AK315" s="57"/>
      <c r="AL315" s="57" t="s">
        <v>369</v>
      </c>
    </row>
    <row r="316" spans="1:38" ht="31.95" customHeight="1" x14ac:dyDescent="0.3">
      <c r="A316" s="37">
        <v>44075</v>
      </c>
      <c r="B316" s="194">
        <v>0.7190509259259259</v>
      </c>
      <c r="C316" s="39"/>
      <c r="D316" s="39">
        <f>IF(I316=Categories!$E$4,VLOOKUP(H316,Categories!$A$4:$C$15,3,FALSE),VLOOKUP(I316,Categories!$E$4:$G$27,3,FALSE))</f>
        <v>30</v>
      </c>
      <c r="E316" s="39"/>
      <c r="F316" s="39"/>
      <c r="G316" s="40">
        <v>33</v>
      </c>
      <c r="H316" s="41" t="s">
        <v>66</v>
      </c>
      <c r="I316" s="59" t="s">
        <v>67</v>
      </c>
      <c r="J316" s="42"/>
      <c r="K316" s="60">
        <v>2400</v>
      </c>
      <c r="L316" s="43" t="s">
        <v>58</v>
      </c>
      <c r="M316" s="44" t="str">
        <f>IFERROR(VLOOKUP(VLOOKUP(O316,O316,1,1),Categories!$K$4:$V$17,2+VLOOKUP(L316,L316,1,FALSE),FALSE),"-"  )</f>
        <v>-</v>
      </c>
      <c r="N316" s="44" t="str">
        <f>IFERROR(VLOOKUP(VLOOKUP(O316,O316,1,1),Categories!$K$3:$V$17,7+VLOOKUP(L316,L316,1,FALSE),FALSE),"-")</f>
        <v>-</v>
      </c>
      <c r="O316" s="45" t="s">
        <v>58</v>
      </c>
      <c r="P316" s="46" t="s">
        <v>58</v>
      </c>
      <c r="Q316" s="47" t="s">
        <v>58</v>
      </c>
      <c r="R316" s="61"/>
      <c r="S316" s="61"/>
      <c r="T316" s="62"/>
      <c r="U316" s="61"/>
      <c r="V316" s="63"/>
      <c r="W316" s="63"/>
      <c r="X316" s="51"/>
      <c r="Y316" s="64"/>
      <c r="Z316" s="64"/>
      <c r="AA316" s="64"/>
      <c r="AB316" s="64"/>
      <c r="AC316" s="64"/>
      <c r="AD316" s="64"/>
      <c r="AE316" s="64"/>
      <c r="AF316" s="64"/>
      <c r="AG316" s="51"/>
      <c r="AH316" s="65"/>
      <c r="AI316" s="55"/>
      <c r="AJ316" s="57"/>
      <c r="AK316" s="57"/>
      <c r="AL316" s="57" t="s">
        <v>369</v>
      </c>
    </row>
    <row r="317" spans="1:38" ht="31.95" customHeight="1" x14ac:dyDescent="0.3">
      <c r="A317" s="37">
        <v>44075</v>
      </c>
      <c r="B317" s="194">
        <v>0.71947916666666656</v>
      </c>
      <c r="C317" s="39"/>
      <c r="D317" s="39">
        <v>60</v>
      </c>
      <c r="E317" s="39"/>
      <c r="F317" s="39"/>
      <c r="G317" s="40">
        <v>33</v>
      </c>
      <c r="H317" s="41" t="s">
        <v>62</v>
      </c>
      <c r="I317" s="59" t="s">
        <v>58</v>
      </c>
      <c r="J317" s="42"/>
      <c r="K317" s="60">
        <v>2400</v>
      </c>
      <c r="L317" s="43" t="s">
        <v>58</v>
      </c>
      <c r="M317" s="44" t="str">
        <f>IFERROR(VLOOKUP(VLOOKUP(O317,O317,1,1),Categories!$K$4:$V$17,2+VLOOKUP(L317,L317,1,FALSE),FALSE),"-"  )</f>
        <v>-</v>
      </c>
      <c r="N317" s="44" t="str">
        <f>IFERROR(VLOOKUP(VLOOKUP(O317,O317,1,1),Categories!$K$3:$V$17,7+VLOOKUP(L317,L317,1,FALSE),FALSE),"-")</f>
        <v>-</v>
      </c>
      <c r="O317" s="45" t="s">
        <v>58</v>
      </c>
      <c r="P317" s="46" t="s">
        <v>58</v>
      </c>
      <c r="Q317" s="47" t="s">
        <v>58</v>
      </c>
      <c r="R317" s="61"/>
      <c r="S317" s="61"/>
      <c r="T317" s="62"/>
      <c r="U317" s="61"/>
      <c r="V317" s="63">
        <v>3.7</v>
      </c>
      <c r="W317" s="63">
        <v>2.6</v>
      </c>
      <c r="X317" s="51">
        <v>5.31</v>
      </c>
      <c r="Y317" s="64"/>
      <c r="Z317" s="64"/>
      <c r="AA317" s="64"/>
      <c r="AB317" s="64"/>
      <c r="AC317" s="64"/>
      <c r="AD317" s="64"/>
      <c r="AE317" s="64"/>
      <c r="AF317" s="64"/>
      <c r="AG317" s="51"/>
      <c r="AH317" s="65"/>
      <c r="AI317" s="55"/>
      <c r="AJ317" s="57"/>
      <c r="AK317" s="57"/>
      <c r="AL317" s="57" t="s">
        <v>369</v>
      </c>
    </row>
    <row r="318" spans="1:38" ht="31.95" customHeight="1" x14ac:dyDescent="0.3">
      <c r="A318" s="37">
        <v>44075</v>
      </c>
      <c r="B318" s="194">
        <v>0.72016203703703707</v>
      </c>
      <c r="C318" s="39"/>
      <c r="D318" s="39">
        <f>IF(I318=Categories!$E$4,VLOOKUP(H318,Categories!$A$4:$C$15,3,FALSE),VLOOKUP(I318,Categories!$E$4:$G$27,3,FALSE))</f>
        <v>30</v>
      </c>
      <c r="E318" s="39"/>
      <c r="F318" s="39"/>
      <c r="G318" s="40">
        <v>33</v>
      </c>
      <c r="H318" s="41" t="s">
        <v>66</v>
      </c>
      <c r="I318" s="59" t="s">
        <v>67</v>
      </c>
      <c r="J318" s="42"/>
      <c r="K318" s="60">
        <v>2600</v>
      </c>
      <c r="L318" s="43" t="s">
        <v>58</v>
      </c>
      <c r="M318" s="44" t="str">
        <f>IFERROR(VLOOKUP(VLOOKUP(O318,O318,1,1),Categories!$K$4:$V$17,2+VLOOKUP(L318,L318,1,FALSE),FALSE),"-"  )</f>
        <v>-</v>
      </c>
      <c r="N318" s="44" t="str">
        <f>IFERROR(VLOOKUP(VLOOKUP(O318,O318,1,1),Categories!$K$3:$V$17,7+VLOOKUP(L318,L318,1,FALSE),FALSE),"-")</f>
        <v>-</v>
      </c>
      <c r="O318" s="45" t="s">
        <v>58</v>
      </c>
      <c r="P318" s="46" t="s">
        <v>58</v>
      </c>
      <c r="Q318" s="47" t="s">
        <v>58</v>
      </c>
      <c r="R318" s="61"/>
      <c r="S318" s="61"/>
      <c r="T318" s="62"/>
      <c r="U318" s="61"/>
      <c r="V318" s="63"/>
      <c r="W318" s="63"/>
      <c r="X318" s="51"/>
      <c r="Y318" s="64"/>
      <c r="Z318" s="64"/>
      <c r="AA318" s="64"/>
      <c r="AB318" s="64"/>
      <c r="AC318" s="64"/>
      <c r="AD318" s="64"/>
      <c r="AE318" s="64"/>
      <c r="AF318" s="64"/>
      <c r="AG318" s="51"/>
      <c r="AH318" s="65"/>
      <c r="AI318" s="55"/>
      <c r="AJ318" s="57"/>
      <c r="AK318" s="57"/>
      <c r="AL318" s="57" t="s">
        <v>369</v>
      </c>
    </row>
    <row r="319" spans="1:38" ht="31.95" customHeight="1" x14ac:dyDescent="0.3">
      <c r="A319" s="37">
        <v>44075</v>
      </c>
      <c r="B319" s="194">
        <v>0.72054398148148147</v>
      </c>
      <c r="C319" s="39"/>
      <c r="D319" s="39">
        <v>60</v>
      </c>
      <c r="E319" s="39"/>
      <c r="F319" s="39"/>
      <c r="G319" s="40">
        <v>33</v>
      </c>
      <c r="H319" s="41" t="s">
        <v>62</v>
      </c>
      <c r="I319" s="59" t="s">
        <v>58</v>
      </c>
      <c r="J319" s="42"/>
      <c r="K319" s="60">
        <v>2600</v>
      </c>
      <c r="L319" s="43" t="s">
        <v>58</v>
      </c>
      <c r="M319" s="44" t="str">
        <f>IFERROR(VLOOKUP(VLOOKUP(O319,O319,1,1),Categories!$K$4:$V$17,2+VLOOKUP(L319,L319,1,FALSE),FALSE),"-"  )</f>
        <v>-</v>
      </c>
      <c r="N319" s="44" t="str">
        <f>IFERROR(VLOOKUP(VLOOKUP(O319,O319,1,1),Categories!$K$3:$V$17,7+VLOOKUP(L319,L319,1,FALSE),FALSE),"-")</f>
        <v>-</v>
      </c>
      <c r="O319" s="45" t="s">
        <v>58</v>
      </c>
      <c r="P319" s="46" t="s">
        <v>58</v>
      </c>
      <c r="Q319" s="47" t="s">
        <v>58</v>
      </c>
      <c r="R319" s="61"/>
      <c r="S319" s="61"/>
      <c r="T319" s="62"/>
      <c r="U319" s="61"/>
      <c r="V319" s="63">
        <v>4.0999999999999996</v>
      </c>
      <c r="W319" s="63">
        <v>3.3</v>
      </c>
      <c r="X319" s="51">
        <v>5.79</v>
      </c>
      <c r="Y319" s="64"/>
      <c r="Z319" s="64"/>
      <c r="AA319" s="64"/>
      <c r="AB319" s="64"/>
      <c r="AC319" s="64"/>
      <c r="AD319" s="64"/>
      <c r="AE319" s="64"/>
      <c r="AF319" s="64"/>
      <c r="AG319" s="51"/>
      <c r="AH319" s="65"/>
      <c r="AI319" s="55"/>
      <c r="AJ319" s="57"/>
      <c r="AK319" s="57"/>
      <c r="AL319" s="57" t="s">
        <v>369</v>
      </c>
    </row>
    <row r="320" spans="1:38" ht="31.95" customHeight="1" x14ac:dyDescent="0.3">
      <c r="A320" s="37">
        <v>44075</v>
      </c>
      <c r="B320" s="194">
        <v>0.72134259259259259</v>
      </c>
      <c r="C320" s="39"/>
      <c r="D320" s="39">
        <f>IF(I320=Categories!$E$4,VLOOKUP(H320,Categories!$A$4:$C$15,3,FALSE),VLOOKUP(I320,Categories!$E$4:$G$27,3,FALSE))</f>
        <v>30</v>
      </c>
      <c r="E320" s="39"/>
      <c r="F320" s="39"/>
      <c r="G320" s="40">
        <v>33</v>
      </c>
      <c r="H320" s="41" t="s">
        <v>66</v>
      </c>
      <c r="I320" s="59" t="s">
        <v>67</v>
      </c>
      <c r="J320" s="42"/>
      <c r="K320" s="60">
        <v>2700</v>
      </c>
      <c r="L320" s="43" t="s">
        <v>58</v>
      </c>
      <c r="M320" s="44" t="str">
        <f>IFERROR(VLOOKUP(VLOOKUP(O320,O320,1,1),Categories!$K$4:$V$17,2+VLOOKUP(L320,L320,1,FALSE),FALSE),"-"  )</f>
        <v>-</v>
      </c>
      <c r="N320" s="44" t="str">
        <f>IFERROR(VLOOKUP(VLOOKUP(O320,O320,1,1),Categories!$K$3:$V$17,7+VLOOKUP(L320,L320,1,FALSE),FALSE),"-")</f>
        <v>-</v>
      </c>
      <c r="O320" s="45" t="s">
        <v>58</v>
      </c>
      <c r="P320" s="46" t="s">
        <v>58</v>
      </c>
      <c r="Q320" s="47" t="s">
        <v>58</v>
      </c>
      <c r="R320" s="61"/>
      <c r="S320" s="61"/>
      <c r="T320" s="62"/>
      <c r="U320" s="61"/>
      <c r="V320" s="63"/>
      <c r="W320" s="63"/>
      <c r="X320" s="51"/>
      <c r="Y320" s="64"/>
      <c r="Z320" s="64"/>
      <c r="AA320" s="64"/>
      <c r="AB320" s="64"/>
      <c r="AC320" s="64"/>
      <c r="AD320" s="64"/>
      <c r="AE320" s="64"/>
      <c r="AF320" s="64"/>
      <c r="AG320" s="51"/>
      <c r="AH320" s="65"/>
      <c r="AI320" s="55"/>
      <c r="AJ320" s="57"/>
      <c r="AK320" s="57"/>
      <c r="AL320" s="57" t="s">
        <v>369</v>
      </c>
    </row>
    <row r="321" spans="1:38" ht="31.95" customHeight="1" x14ac:dyDescent="0.3">
      <c r="A321" s="37">
        <v>44075</v>
      </c>
      <c r="B321" s="194">
        <v>0.72170138888888891</v>
      </c>
      <c r="C321" s="39"/>
      <c r="D321" s="39">
        <v>60</v>
      </c>
      <c r="E321" s="39"/>
      <c r="F321" s="39"/>
      <c r="G321" s="40">
        <v>33</v>
      </c>
      <c r="H321" s="41" t="s">
        <v>62</v>
      </c>
      <c r="I321" s="59" t="s">
        <v>58</v>
      </c>
      <c r="J321" s="42"/>
      <c r="K321" s="60">
        <v>2700</v>
      </c>
      <c r="L321" s="43" t="s">
        <v>58</v>
      </c>
      <c r="M321" s="44" t="str">
        <f>IFERROR(VLOOKUP(VLOOKUP(O321,O321,1,1),Categories!$K$4:$V$17,2+VLOOKUP(L321,L321,1,FALSE),FALSE),"-"  )</f>
        <v>-</v>
      </c>
      <c r="N321" s="44" t="str">
        <f>IFERROR(VLOOKUP(VLOOKUP(O321,O321,1,1),Categories!$K$3:$V$17,7+VLOOKUP(L321,L321,1,FALSE),FALSE),"-")</f>
        <v>-</v>
      </c>
      <c r="O321" s="45" t="s">
        <v>58</v>
      </c>
      <c r="P321" s="46" t="s">
        <v>58</v>
      </c>
      <c r="Q321" s="47" t="s">
        <v>58</v>
      </c>
      <c r="R321" s="61"/>
      <c r="S321" s="61"/>
      <c r="T321" s="62"/>
      <c r="U321" s="61"/>
      <c r="V321" s="63">
        <v>4.3</v>
      </c>
      <c r="W321" s="63">
        <v>3.7</v>
      </c>
      <c r="X321" s="51">
        <v>6.03</v>
      </c>
      <c r="Y321" s="64"/>
      <c r="Z321" s="64"/>
      <c r="AA321" s="64"/>
      <c r="AB321" s="64"/>
      <c r="AC321" s="64"/>
      <c r="AD321" s="64"/>
      <c r="AE321" s="64"/>
      <c r="AF321" s="64"/>
      <c r="AG321" s="51"/>
      <c r="AH321" s="65"/>
      <c r="AI321" s="55"/>
      <c r="AJ321" s="57"/>
      <c r="AK321" s="57"/>
      <c r="AL321" s="57" t="s">
        <v>369</v>
      </c>
    </row>
    <row r="322" spans="1:38" ht="31.95" customHeight="1" x14ac:dyDescent="0.3">
      <c r="A322" s="37">
        <v>44075</v>
      </c>
      <c r="B322" s="194">
        <v>0.72237268518518516</v>
      </c>
      <c r="C322" s="39"/>
      <c r="D322" s="39">
        <f>IF(I322=Categories!$E$4,VLOOKUP(H322,Categories!$A$4:$C$15,3,FALSE),VLOOKUP(I322,Categories!$E$4:$G$27,3,FALSE))</f>
        <v>30</v>
      </c>
      <c r="E322" s="39"/>
      <c r="F322" s="39"/>
      <c r="G322" s="40">
        <v>33</v>
      </c>
      <c r="H322" s="41" t="s">
        <v>66</v>
      </c>
      <c r="I322" s="59" t="s">
        <v>67</v>
      </c>
      <c r="J322" s="42"/>
      <c r="K322" s="60">
        <v>2900</v>
      </c>
      <c r="L322" s="43" t="s">
        <v>58</v>
      </c>
      <c r="M322" s="44" t="str">
        <f>IFERROR(VLOOKUP(VLOOKUP(O322,O322,1,1),Categories!$K$4:$V$17,2+VLOOKUP(L322,L322,1,FALSE),FALSE),"-"  )</f>
        <v>-</v>
      </c>
      <c r="N322" s="44" t="str">
        <f>IFERROR(VLOOKUP(VLOOKUP(O322,O322,1,1),Categories!$K$3:$V$17,7+VLOOKUP(L322,L322,1,FALSE),FALSE),"-")</f>
        <v>-</v>
      </c>
      <c r="O322" s="45" t="s">
        <v>58</v>
      </c>
      <c r="P322" s="46" t="s">
        <v>58</v>
      </c>
      <c r="Q322" s="47" t="s">
        <v>58</v>
      </c>
      <c r="R322" s="61"/>
      <c r="S322" s="61"/>
      <c r="T322" s="62"/>
      <c r="U322" s="61"/>
      <c r="V322" s="63"/>
      <c r="W322" s="63"/>
      <c r="X322" s="51"/>
      <c r="Y322" s="64"/>
      <c r="Z322" s="64"/>
      <c r="AA322" s="64"/>
      <c r="AB322" s="64"/>
      <c r="AC322" s="64"/>
      <c r="AD322" s="64"/>
      <c r="AE322" s="64"/>
      <c r="AF322" s="64"/>
      <c r="AG322" s="51"/>
      <c r="AH322" s="65"/>
      <c r="AI322" s="55"/>
      <c r="AJ322" s="57"/>
      <c r="AK322" s="57"/>
      <c r="AL322" s="57" t="s">
        <v>369</v>
      </c>
    </row>
    <row r="323" spans="1:38" ht="31.95" customHeight="1" x14ac:dyDescent="0.3">
      <c r="A323" s="37">
        <v>44075</v>
      </c>
      <c r="B323" s="194">
        <v>0.72281249999999997</v>
      </c>
      <c r="C323" s="39"/>
      <c r="D323" s="39">
        <v>60</v>
      </c>
      <c r="E323" s="39"/>
      <c r="F323" s="39"/>
      <c r="G323" s="40">
        <v>33</v>
      </c>
      <c r="H323" s="41" t="s">
        <v>62</v>
      </c>
      <c r="I323" s="59" t="s">
        <v>58</v>
      </c>
      <c r="J323" s="42"/>
      <c r="K323" s="60">
        <v>2900</v>
      </c>
      <c r="L323" s="43" t="s">
        <v>58</v>
      </c>
      <c r="M323" s="44" t="str">
        <f>IFERROR(VLOOKUP(VLOOKUP(O323,O323,1,1),Categories!$K$4:$V$17,2+VLOOKUP(L323,L323,1,FALSE),FALSE),"-"  )</f>
        <v>-</v>
      </c>
      <c r="N323" s="44" t="str">
        <f>IFERROR(VLOOKUP(VLOOKUP(O323,O323,1,1),Categories!$K$3:$V$17,7+VLOOKUP(L323,L323,1,FALSE),FALSE),"-")</f>
        <v>-</v>
      </c>
      <c r="O323" s="45" t="s">
        <v>58</v>
      </c>
      <c r="P323" s="46" t="s">
        <v>58</v>
      </c>
      <c r="Q323" s="47" t="s">
        <v>58</v>
      </c>
      <c r="R323" s="61"/>
      <c r="S323" s="61"/>
      <c r="T323" s="62"/>
      <c r="U323" s="61"/>
      <c r="V323" s="63">
        <v>4.8</v>
      </c>
      <c r="W323" s="63">
        <v>4.5999999999999996</v>
      </c>
      <c r="X323" s="51">
        <v>6.51</v>
      </c>
      <c r="Y323" s="64"/>
      <c r="Z323" s="64"/>
      <c r="AA323" s="64"/>
      <c r="AB323" s="64"/>
      <c r="AC323" s="64"/>
      <c r="AD323" s="64"/>
      <c r="AE323" s="64"/>
      <c r="AF323" s="64"/>
      <c r="AG323" s="51"/>
      <c r="AH323" s="65"/>
      <c r="AI323" s="55"/>
      <c r="AJ323" s="57"/>
      <c r="AK323" s="57"/>
      <c r="AL323" s="57" t="s">
        <v>369</v>
      </c>
    </row>
    <row r="324" spans="1:38" ht="31.95" customHeight="1" x14ac:dyDescent="0.3">
      <c r="A324" s="66">
        <v>44075</v>
      </c>
      <c r="B324" s="197">
        <v>0.72349537037037026</v>
      </c>
      <c r="C324" s="72"/>
      <c r="D324" s="39" t="str">
        <f>IF(I324=Categories!$E$4,VLOOKUP(H324,Categories!$A$4:$C$15,3,FALSE),VLOOKUP(I324,Categories!$E$4:$G$27,3,FALSE))</f>
        <v>-</v>
      </c>
      <c r="E324" s="39"/>
      <c r="F324" s="39"/>
      <c r="G324" s="40" t="s">
        <v>58</v>
      </c>
      <c r="H324" s="73" t="s">
        <v>105</v>
      </c>
      <c r="I324" s="68" t="s">
        <v>58</v>
      </c>
      <c r="J324" s="74"/>
      <c r="K324" s="60" t="s">
        <v>58</v>
      </c>
      <c r="L324" s="43" t="s">
        <v>58</v>
      </c>
      <c r="M324" s="44" t="str">
        <f>IFERROR(VLOOKUP(VLOOKUP(O324,O324,1,1),Categories!$K$4:$V$17,2+VLOOKUP(L324,L324,1,FALSE),FALSE),"-"  )</f>
        <v>-</v>
      </c>
      <c r="N324" s="44" t="str">
        <f>IFERROR(VLOOKUP(VLOOKUP(O324,O324,1,1),Categories!$K$3:$V$17,7+VLOOKUP(L324,L324,1,FALSE),FALSE),"-")</f>
        <v>-</v>
      </c>
      <c r="O324" s="45" t="s">
        <v>58</v>
      </c>
      <c r="P324" s="75" t="s">
        <v>58</v>
      </c>
      <c r="Q324" s="47" t="s">
        <v>58</v>
      </c>
      <c r="R324" s="48"/>
      <c r="S324" s="48"/>
      <c r="T324" s="49"/>
      <c r="U324" s="61"/>
      <c r="V324" s="76"/>
      <c r="W324" s="76"/>
      <c r="X324" s="77"/>
      <c r="Y324" s="78"/>
      <c r="Z324" s="78"/>
      <c r="AA324" s="78"/>
      <c r="AB324" s="78"/>
      <c r="AC324" s="78"/>
      <c r="AD324" s="78"/>
      <c r="AE324" s="78"/>
      <c r="AF324" s="78"/>
      <c r="AG324" s="77"/>
      <c r="AH324" s="79"/>
      <c r="AI324" s="80" t="s">
        <v>106</v>
      </c>
      <c r="AJ324" s="56" t="s">
        <v>370</v>
      </c>
      <c r="AK324" s="56"/>
      <c r="AL324" s="56"/>
    </row>
  </sheetData>
  <mergeCells count="7">
    <mergeCell ref="AI1:AL1"/>
    <mergeCell ref="J1:Q1"/>
    <mergeCell ref="R1:S1"/>
    <mergeCell ref="T1:U1"/>
    <mergeCell ref="V1:W1"/>
    <mergeCell ref="Y1:AF1"/>
    <mergeCell ref="AG1:AH1"/>
  </mergeCells>
  <conditionalFormatting sqref="G4">
    <cfRule type="expression" dxfId="772" priority="1263">
      <formula>MOD(G4,2)=0</formula>
    </cfRule>
    <cfRule type="expression" dxfId="771" priority="1264">
      <formula>MOD(G4,2)=1</formula>
    </cfRule>
    <cfRule type="containsBlanks" dxfId="770" priority="1265">
      <formula>LEN(TRIM(G4))=0</formula>
    </cfRule>
  </conditionalFormatting>
  <conditionalFormatting sqref="G96 G61:G94 G190:G209 G218:G253 G273 G287:G293 G304 G312:G324">
    <cfRule type="containsBlanks" dxfId="769" priority="1258">
      <formula>LEN(TRIM(G61))=0</formula>
    </cfRule>
    <cfRule type="expression" dxfId="768" priority="1260">
      <formula>MOD(G61,2)=0</formula>
    </cfRule>
    <cfRule type="expression" dxfId="767" priority="1261">
      <formula>MOD(G61,2)=1</formula>
    </cfRule>
  </conditionalFormatting>
  <conditionalFormatting sqref="G64">
    <cfRule type="containsBlanks" dxfId="766" priority="1254">
      <formula>LEN(TRIM(G64))=0</formula>
    </cfRule>
    <cfRule type="expression" dxfId="765" priority="1256">
      <formula>MOD(G64,2)=0</formula>
    </cfRule>
    <cfRule type="expression" dxfId="764" priority="1257">
      <formula>MOD(G64,2)=1</formula>
    </cfRule>
  </conditionalFormatting>
  <conditionalFormatting sqref="G71">
    <cfRule type="containsBlanks" dxfId="763" priority="1248">
      <formula>LEN(TRIM(G71))=0</formula>
    </cfRule>
    <cfRule type="expression" dxfId="762" priority="1250">
      <formula>MOD(G71,2)=0</formula>
    </cfRule>
    <cfRule type="expression" dxfId="761" priority="1251">
      <formula>MOD(G71,2)=1</formula>
    </cfRule>
  </conditionalFormatting>
  <conditionalFormatting sqref="G72:G78">
    <cfRule type="containsBlanks" dxfId="760" priority="1244">
      <formula>LEN(TRIM(G72))=0</formula>
    </cfRule>
    <cfRule type="expression" dxfId="759" priority="1246">
      <formula>MOD(G72,2)=0</formula>
    </cfRule>
    <cfRule type="expression" dxfId="758" priority="1247">
      <formula>MOD(G72,2)=1</formula>
    </cfRule>
  </conditionalFormatting>
  <conditionalFormatting sqref="G79">
    <cfRule type="containsBlanks" dxfId="757" priority="1236">
      <formula>LEN(TRIM(G79))=0</formula>
    </cfRule>
    <cfRule type="expression" dxfId="756" priority="1238">
      <formula>MOD(G79,2)=0</formula>
    </cfRule>
    <cfRule type="expression" dxfId="755" priority="1239">
      <formula>MOD(G79,2)=1</formula>
    </cfRule>
  </conditionalFormatting>
  <conditionalFormatting sqref="G80">
    <cfRule type="containsBlanks" dxfId="754" priority="1232">
      <formula>LEN(TRIM(G80))=0</formula>
    </cfRule>
    <cfRule type="expression" dxfId="753" priority="1234">
      <formula>MOD(G80,2)=0</formula>
    </cfRule>
    <cfRule type="expression" dxfId="752" priority="1235">
      <formula>MOD(G80,2)=1</formula>
    </cfRule>
  </conditionalFormatting>
  <conditionalFormatting sqref="G5">
    <cfRule type="containsBlanks" dxfId="751" priority="1223">
      <formula>LEN(TRIM(G5))=0</formula>
    </cfRule>
    <cfRule type="expression" dxfId="750" priority="1225">
      <formula>MOD(G5,2)=0</formula>
    </cfRule>
    <cfRule type="expression" dxfId="749" priority="1226">
      <formula>MOD(G5,2)=1</formula>
    </cfRule>
  </conditionalFormatting>
  <conditionalFormatting sqref="G87">
    <cfRule type="containsBlanks" dxfId="748" priority="1214">
      <formula>LEN(TRIM(G87))=0</formula>
    </cfRule>
    <cfRule type="expression" dxfId="747" priority="1216">
      <formula>MOD(G87,2)=0</formula>
    </cfRule>
    <cfRule type="expression" dxfId="746" priority="1217">
      <formula>MOD(G87,2)=1</formula>
    </cfRule>
  </conditionalFormatting>
  <conditionalFormatting sqref="G88">
    <cfRule type="containsBlanks" dxfId="745" priority="1210">
      <formula>LEN(TRIM(G88))=0</formula>
    </cfRule>
    <cfRule type="expression" dxfId="744" priority="1212">
      <formula>MOD(G88,2)=0</formula>
    </cfRule>
    <cfRule type="expression" dxfId="743" priority="1213">
      <formula>MOD(G88,2)=1</formula>
    </cfRule>
  </conditionalFormatting>
  <conditionalFormatting sqref="G211">
    <cfRule type="containsBlanks" dxfId="742" priority="1151">
      <formula>LEN(TRIM(G211))=0</formula>
    </cfRule>
    <cfRule type="expression" dxfId="741" priority="1153">
      <formula>MOD(G211,2)=0</formula>
    </cfRule>
    <cfRule type="expression" dxfId="740" priority="1154">
      <formula>MOD(G211,2)=1</formula>
    </cfRule>
  </conditionalFormatting>
  <conditionalFormatting sqref="G98">
    <cfRule type="containsBlanks" dxfId="739" priority="1120">
      <formula>LEN(TRIM(G98))=0</formula>
    </cfRule>
    <cfRule type="expression" dxfId="738" priority="1122">
      <formula>MOD(G98,2)=0</formula>
    </cfRule>
    <cfRule type="expression" dxfId="737" priority="1123">
      <formula>MOD(G98,2)=1</formula>
    </cfRule>
  </conditionalFormatting>
  <conditionalFormatting sqref="G111">
    <cfRule type="containsBlanks" dxfId="736" priority="1110">
      <formula>LEN(TRIM(G111))=0</formula>
    </cfRule>
    <cfRule type="expression" dxfId="735" priority="1112">
      <formula>MOD(G111,2)=0</formula>
    </cfRule>
    <cfRule type="expression" dxfId="734" priority="1113">
      <formula>MOD(G111,2)=1</formula>
    </cfRule>
  </conditionalFormatting>
  <conditionalFormatting sqref="G97">
    <cfRule type="containsBlanks" dxfId="733" priority="1124">
      <formula>LEN(TRIM(G97))=0</formula>
    </cfRule>
    <cfRule type="expression" dxfId="732" priority="1126">
      <formula>MOD(G97,2)=0</formula>
    </cfRule>
    <cfRule type="expression" dxfId="731" priority="1127">
      <formula>MOD(G97,2)=1</formula>
    </cfRule>
  </conditionalFormatting>
  <conditionalFormatting sqref="G110">
    <cfRule type="containsBlanks" dxfId="730" priority="1114">
      <formula>LEN(TRIM(G110))=0</formula>
    </cfRule>
    <cfRule type="expression" dxfId="729" priority="1116">
      <formula>MOD(G110,2)=0</formula>
    </cfRule>
    <cfRule type="expression" dxfId="728" priority="1117">
      <formula>MOD(G110,2)=1</formula>
    </cfRule>
  </conditionalFormatting>
  <conditionalFormatting sqref="G122">
    <cfRule type="containsBlanks" dxfId="727" priority="1102">
      <formula>LEN(TRIM(G122))=0</formula>
    </cfRule>
    <cfRule type="expression" dxfId="726" priority="1104">
      <formula>MOD(G122,2)=0</formula>
    </cfRule>
    <cfRule type="expression" dxfId="725" priority="1105">
      <formula>MOD(G122,2)=1</formula>
    </cfRule>
  </conditionalFormatting>
  <conditionalFormatting sqref="G167">
    <cfRule type="containsBlanks" dxfId="724" priority="1098">
      <formula>LEN(TRIM(G167))=0</formula>
    </cfRule>
    <cfRule type="expression" dxfId="723" priority="1100">
      <formula>MOD(G167,2)=0</formula>
    </cfRule>
    <cfRule type="expression" dxfId="722" priority="1101">
      <formula>MOD(G167,2)=1</formula>
    </cfRule>
  </conditionalFormatting>
  <conditionalFormatting sqref="G178">
    <cfRule type="containsBlanks" dxfId="721" priority="1090">
      <formula>LEN(TRIM(G178))=0</formula>
    </cfRule>
    <cfRule type="expression" dxfId="720" priority="1092">
      <formula>MOD(G178,2)=0</formula>
    </cfRule>
    <cfRule type="expression" dxfId="719" priority="1093">
      <formula>MOD(G178,2)=1</formula>
    </cfRule>
  </conditionalFormatting>
  <conditionalFormatting sqref="G179">
    <cfRule type="containsBlanks" dxfId="718" priority="1086">
      <formula>LEN(TRIM(G179))=0</formula>
    </cfRule>
    <cfRule type="expression" dxfId="717" priority="1088">
      <formula>MOD(G179,2)=0</formula>
    </cfRule>
    <cfRule type="expression" dxfId="716" priority="1089">
      <formula>MOD(G179,2)=1</formula>
    </cfRule>
  </conditionalFormatting>
  <conditionalFormatting sqref="G63">
    <cfRule type="containsBlanks" dxfId="715" priority="1054">
      <formula>LEN(TRIM(G63))=0</formula>
    </cfRule>
    <cfRule type="expression" dxfId="714" priority="1056">
      <formula>MOD(G63,2)=0</formula>
    </cfRule>
    <cfRule type="expression" dxfId="713" priority="1057">
      <formula>MOD(G63,2)=1</formula>
    </cfRule>
  </conditionalFormatting>
  <conditionalFormatting sqref="G96">
    <cfRule type="containsBlanks" dxfId="712" priority="1049">
      <formula>LEN(TRIM(G96))=0</formula>
    </cfRule>
    <cfRule type="expression" dxfId="711" priority="1051">
      <formula>MOD(G96,2)=0</formula>
    </cfRule>
    <cfRule type="expression" dxfId="710" priority="1052">
      <formula>MOD(G96,2)=1</formula>
    </cfRule>
  </conditionalFormatting>
  <conditionalFormatting sqref="G65:G70">
    <cfRule type="containsBlanks" dxfId="709" priority="1042">
      <formula>LEN(TRIM(G65))=0</formula>
    </cfRule>
    <cfRule type="expression" dxfId="708" priority="1044">
      <formula>MOD(G65,2)=0</formula>
    </cfRule>
    <cfRule type="expression" dxfId="707" priority="1045">
      <formula>MOD(G65,2)=1</formula>
    </cfRule>
  </conditionalFormatting>
  <conditionalFormatting sqref="G73:G78">
    <cfRule type="containsBlanks" dxfId="706" priority="1037">
      <formula>LEN(TRIM(G73))=0</formula>
    </cfRule>
    <cfRule type="expression" dxfId="705" priority="1039">
      <formula>MOD(G73,2)=0</formula>
    </cfRule>
    <cfRule type="expression" dxfId="704" priority="1040">
      <formula>MOD(G73,2)=1</formula>
    </cfRule>
  </conditionalFormatting>
  <conditionalFormatting sqref="G81:G86">
    <cfRule type="containsBlanks" dxfId="703" priority="1033">
      <formula>LEN(TRIM(G81))=0</formula>
    </cfRule>
    <cfRule type="expression" dxfId="702" priority="1035">
      <formula>MOD(G81,2)=0</formula>
    </cfRule>
    <cfRule type="expression" dxfId="701" priority="1036">
      <formula>MOD(G81,2)=1</formula>
    </cfRule>
  </conditionalFormatting>
  <conditionalFormatting sqref="G96 G89:G94">
    <cfRule type="containsBlanks" dxfId="700" priority="1029">
      <formula>LEN(TRIM(G89))=0</formula>
    </cfRule>
    <cfRule type="expression" dxfId="699" priority="1031">
      <formula>MOD(G89,2)=0</formula>
    </cfRule>
    <cfRule type="expression" dxfId="698" priority="1032">
      <formula>MOD(G89,2)=1</formula>
    </cfRule>
  </conditionalFormatting>
  <conditionalFormatting sqref="G312">
    <cfRule type="containsBlanks" dxfId="697" priority="1009">
      <formula>LEN(TRIM(G312))=0</formula>
    </cfRule>
    <cfRule type="expression" dxfId="696" priority="1011">
      <formula>MOD(G312,2)=0</formula>
    </cfRule>
    <cfRule type="expression" dxfId="695" priority="1012">
      <formula>MOD(G312,2)=1</formula>
    </cfRule>
  </conditionalFormatting>
  <conditionalFormatting sqref="G6:G11">
    <cfRule type="containsBlanks" dxfId="694" priority="974">
      <formula>LEN(TRIM(G6))=0</formula>
    </cfRule>
    <cfRule type="expression" dxfId="693" priority="976">
      <formula>MOD(G6,2)=0</formula>
    </cfRule>
    <cfRule type="expression" dxfId="692" priority="977">
      <formula>MOD(G6,2)=1</formula>
    </cfRule>
  </conditionalFormatting>
  <conditionalFormatting sqref="G65:G70">
    <cfRule type="containsBlanks" dxfId="691" priority="958">
      <formula>LEN(TRIM(G65))=0</formula>
    </cfRule>
    <cfRule type="expression" dxfId="690" priority="960">
      <formula>MOD(G65,2)=0</formula>
    </cfRule>
    <cfRule type="expression" dxfId="689" priority="961">
      <formula>MOD(G65,2)=1</formula>
    </cfRule>
  </conditionalFormatting>
  <conditionalFormatting sqref="G81:G86">
    <cfRule type="containsBlanks" dxfId="688" priority="954">
      <formula>LEN(TRIM(G81))=0</formula>
    </cfRule>
    <cfRule type="expression" dxfId="687" priority="956">
      <formula>MOD(G81,2)=0</formula>
    </cfRule>
    <cfRule type="expression" dxfId="686" priority="957">
      <formula>MOD(G81,2)=1</formula>
    </cfRule>
  </conditionalFormatting>
  <conditionalFormatting sqref="G96 G89:G94">
    <cfRule type="containsBlanks" dxfId="685" priority="950">
      <formula>LEN(TRIM(G89))=0</formula>
    </cfRule>
    <cfRule type="expression" dxfId="684" priority="952">
      <formula>MOD(G89,2)=0</formula>
    </cfRule>
    <cfRule type="expression" dxfId="683" priority="953">
      <formula>MOD(G89,2)=1</formula>
    </cfRule>
  </conditionalFormatting>
  <conditionalFormatting sqref="G313:G323">
    <cfRule type="containsBlanks" dxfId="682" priority="946">
      <formula>LEN(TRIM(G313))=0</formula>
    </cfRule>
    <cfRule type="expression" dxfId="681" priority="948">
      <formula>MOD(G313,2)=0</formula>
    </cfRule>
    <cfRule type="expression" dxfId="680" priority="949">
      <formula>MOD(G313,2)=1</formula>
    </cfRule>
  </conditionalFormatting>
  <conditionalFormatting sqref="G313:G323">
    <cfRule type="containsBlanks" dxfId="679" priority="942">
      <formula>LEN(TRIM(G313))=0</formula>
    </cfRule>
    <cfRule type="expression" dxfId="678" priority="944">
      <formula>MOD(G313,2)=0</formula>
    </cfRule>
    <cfRule type="expression" dxfId="677" priority="945">
      <formula>MOD(G313,2)=1</formula>
    </cfRule>
  </conditionalFormatting>
  <conditionalFormatting sqref="G254">
    <cfRule type="containsBlanks" dxfId="676" priority="846">
      <formula>LEN(TRIM(G254))=0</formula>
    </cfRule>
    <cfRule type="expression" dxfId="675" priority="848">
      <formula>MOD(G254,2)=0</formula>
    </cfRule>
    <cfRule type="expression" dxfId="674" priority="849">
      <formula>MOD(G254,2)=1</formula>
    </cfRule>
  </conditionalFormatting>
  <conditionalFormatting sqref="G271:G272 G282">
    <cfRule type="containsBlanks" dxfId="673" priority="831">
      <formula>LEN(TRIM(G271))=0</formula>
    </cfRule>
    <cfRule type="expression" dxfId="672" priority="832">
      <formula>MOD(G271,2)=0</formula>
    </cfRule>
    <cfRule type="expression" dxfId="671" priority="833">
      <formula>MOD(G271,2)=1</formula>
    </cfRule>
  </conditionalFormatting>
  <conditionalFormatting sqref="G305">
    <cfRule type="containsBlanks" dxfId="670" priority="812">
      <formula>LEN(TRIM(G305))=0</formula>
    </cfRule>
    <cfRule type="expression" dxfId="669" priority="814">
      <formula>MOD(G305,2)=0</formula>
    </cfRule>
    <cfRule type="expression" dxfId="668" priority="815">
      <formula>MOD(G305,2)=1</formula>
    </cfRule>
  </conditionalFormatting>
  <conditionalFormatting sqref="G313:G323">
    <cfRule type="containsBlanks" dxfId="667" priority="797">
      <formula>LEN(TRIM(G313))=0</formula>
    </cfRule>
    <cfRule type="expression" dxfId="666" priority="799">
      <formula>MOD(G313,2)=0</formula>
    </cfRule>
    <cfRule type="expression" dxfId="665" priority="800">
      <formula>MOD(G313,2)=1</formula>
    </cfRule>
  </conditionalFormatting>
  <conditionalFormatting sqref="G45 G12:G43">
    <cfRule type="containsBlanks" dxfId="664" priority="783">
      <formula>LEN(TRIM(G12))=0</formula>
    </cfRule>
    <cfRule type="expression" dxfId="663" priority="784">
      <formula>MOD(G12,2)=0</formula>
    </cfRule>
    <cfRule type="expression" dxfId="662" priority="785">
      <formula>MOD(G12,2)=1</formula>
    </cfRule>
  </conditionalFormatting>
  <conditionalFormatting sqref="G13">
    <cfRule type="containsBlanks" dxfId="661" priority="779">
      <formula>LEN(TRIM(G13))=0</formula>
    </cfRule>
    <cfRule type="expression" dxfId="660" priority="781">
      <formula>MOD(G13,2)=0</formula>
    </cfRule>
    <cfRule type="expression" dxfId="659" priority="782">
      <formula>MOD(G13,2)=1</formula>
    </cfRule>
  </conditionalFormatting>
  <conditionalFormatting sqref="G20">
    <cfRule type="containsBlanks" dxfId="658" priority="773">
      <formula>LEN(TRIM(G20))=0</formula>
    </cfRule>
    <cfRule type="expression" dxfId="657" priority="775">
      <formula>MOD(G20,2)=0</formula>
    </cfRule>
    <cfRule type="expression" dxfId="656" priority="776">
      <formula>MOD(G20,2)=1</formula>
    </cfRule>
  </conditionalFormatting>
  <conditionalFormatting sqref="G21:G27">
    <cfRule type="containsBlanks" dxfId="655" priority="769">
      <formula>LEN(TRIM(G21))=0</formula>
    </cfRule>
    <cfRule type="expression" dxfId="654" priority="771">
      <formula>MOD(G21,2)=0</formula>
    </cfRule>
    <cfRule type="expression" dxfId="653" priority="772">
      <formula>MOD(G21,2)=1</formula>
    </cfRule>
  </conditionalFormatting>
  <conditionalFormatting sqref="G28">
    <cfRule type="containsBlanks" dxfId="652" priority="761">
      <formula>LEN(TRIM(G28))=0</formula>
    </cfRule>
    <cfRule type="expression" dxfId="651" priority="763">
      <formula>MOD(G28,2)=0</formula>
    </cfRule>
    <cfRule type="expression" dxfId="650" priority="764">
      <formula>MOD(G28,2)=1</formula>
    </cfRule>
  </conditionalFormatting>
  <conditionalFormatting sqref="G29:G35">
    <cfRule type="containsBlanks" dxfId="649" priority="757">
      <formula>LEN(TRIM(G29))=0</formula>
    </cfRule>
    <cfRule type="expression" dxfId="648" priority="759">
      <formula>MOD(G29,2)=0</formula>
    </cfRule>
    <cfRule type="expression" dxfId="647" priority="760">
      <formula>MOD(G29,2)=1</formula>
    </cfRule>
  </conditionalFormatting>
  <conditionalFormatting sqref="G36">
    <cfRule type="containsBlanks" dxfId="646" priority="749">
      <formula>LEN(TRIM(G36))=0</formula>
    </cfRule>
    <cfRule type="expression" dxfId="645" priority="751">
      <formula>MOD(G36,2)=0</formula>
    </cfRule>
    <cfRule type="expression" dxfId="644" priority="752">
      <formula>MOD(G36,2)=1</formula>
    </cfRule>
  </conditionalFormatting>
  <conditionalFormatting sqref="G37">
    <cfRule type="containsBlanks" dxfId="643" priority="745">
      <formula>LEN(TRIM(G37))=0</formula>
    </cfRule>
    <cfRule type="expression" dxfId="642" priority="747">
      <formula>MOD(G37,2)=0</formula>
    </cfRule>
    <cfRule type="expression" dxfId="641" priority="748">
      <formula>MOD(G37,2)=1</formula>
    </cfRule>
  </conditionalFormatting>
  <conditionalFormatting sqref="G12">
    <cfRule type="containsBlanks" dxfId="640" priority="738">
      <formula>LEN(TRIM(G12))=0</formula>
    </cfRule>
    <cfRule type="expression" dxfId="639" priority="740">
      <formula>MOD(G12,2)=0</formula>
    </cfRule>
    <cfRule type="expression" dxfId="638" priority="741">
      <formula>MOD(G12,2)=1</formula>
    </cfRule>
  </conditionalFormatting>
  <conditionalFormatting sqref="G45">
    <cfRule type="containsBlanks" dxfId="637" priority="733">
      <formula>LEN(TRIM(G45))=0</formula>
    </cfRule>
    <cfRule type="expression" dxfId="636" priority="735">
      <formula>MOD(G45,2)=0</formula>
    </cfRule>
    <cfRule type="expression" dxfId="635" priority="736">
      <formula>MOD(G45,2)=1</formula>
    </cfRule>
  </conditionalFormatting>
  <conditionalFormatting sqref="G14:G19">
    <cfRule type="containsBlanks" dxfId="634" priority="726">
      <formula>LEN(TRIM(G14))=0</formula>
    </cfRule>
    <cfRule type="expression" dxfId="633" priority="728">
      <formula>MOD(G14,2)=0</formula>
    </cfRule>
    <cfRule type="expression" dxfId="632" priority="729">
      <formula>MOD(G14,2)=1</formula>
    </cfRule>
  </conditionalFormatting>
  <conditionalFormatting sqref="G22:G27">
    <cfRule type="containsBlanks" dxfId="631" priority="721">
      <formula>LEN(TRIM(G22))=0</formula>
    </cfRule>
    <cfRule type="expression" dxfId="630" priority="723">
      <formula>MOD(G22,2)=0</formula>
    </cfRule>
    <cfRule type="expression" dxfId="629" priority="724">
      <formula>MOD(G22,2)=1</formula>
    </cfRule>
  </conditionalFormatting>
  <conditionalFormatting sqref="G30:G35">
    <cfRule type="containsBlanks" dxfId="628" priority="717">
      <formula>LEN(TRIM(G30))=0</formula>
    </cfRule>
    <cfRule type="expression" dxfId="627" priority="719">
      <formula>MOD(G30,2)=0</formula>
    </cfRule>
    <cfRule type="expression" dxfId="626" priority="720">
      <formula>MOD(G30,2)=1</formula>
    </cfRule>
  </conditionalFormatting>
  <conditionalFormatting sqref="G38:G43 G45">
    <cfRule type="containsBlanks" dxfId="625" priority="713">
      <formula>LEN(TRIM(G38))=0</formula>
    </cfRule>
    <cfRule type="expression" dxfId="624" priority="715">
      <formula>MOD(G38,2)=0</formula>
    </cfRule>
    <cfRule type="expression" dxfId="623" priority="716">
      <formula>MOD(G38,2)=1</formula>
    </cfRule>
  </conditionalFormatting>
  <conditionalFormatting sqref="G14:G19">
    <cfRule type="containsBlanks" dxfId="622" priority="706">
      <formula>LEN(TRIM(G14))=0</formula>
    </cfRule>
    <cfRule type="expression" dxfId="621" priority="708">
      <formula>MOD(G14,2)=0</formula>
    </cfRule>
    <cfRule type="expression" dxfId="620" priority="709">
      <formula>MOD(G14,2)=1</formula>
    </cfRule>
  </conditionalFormatting>
  <conditionalFormatting sqref="G30:G35">
    <cfRule type="containsBlanks" dxfId="619" priority="702">
      <formula>LEN(TRIM(G30))=0</formula>
    </cfRule>
    <cfRule type="expression" dxfId="618" priority="704">
      <formula>MOD(G30,2)=0</formula>
    </cfRule>
    <cfRule type="expression" dxfId="617" priority="705">
      <formula>MOD(G30,2)=1</formula>
    </cfRule>
  </conditionalFormatting>
  <conditionalFormatting sqref="G38:G43 G45">
    <cfRule type="containsBlanks" dxfId="616" priority="698">
      <formula>LEN(TRIM(G38))=0</formula>
    </cfRule>
    <cfRule type="expression" dxfId="615" priority="700">
      <formula>MOD(G38,2)=0</formula>
    </cfRule>
    <cfRule type="expression" dxfId="614" priority="701">
      <formula>MOD(G38,2)=1</formula>
    </cfRule>
  </conditionalFormatting>
  <conditionalFormatting sqref="G44">
    <cfRule type="containsBlanks" dxfId="613" priority="690">
      <formula>LEN(TRIM(G44))=0</formula>
    </cfRule>
    <cfRule type="expression" dxfId="612" priority="691">
      <formula>MOD(G44,2)=0</formula>
    </cfRule>
    <cfRule type="expression" dxfId="611" priority="692">
      <formula>MOD(G44,2)=1</formula>
    </cfRule>
  </conditionalFormatting>
  <conditionalFormatting sqref="G44">
    <cfRule type="containsBlanks" dxfId="610" priority="685">
      <formula>LEN(TRIM(G44))=0</formula>
    </cfRule>
    <cfRule type="expression" dxfId="609" priority="687">
      <formula>MOD(G44,2)=0</formula>
    </cfRule>
    <cfRule type="expression" dxfId="608" priority="688">
      <formula>MOD(G44,2)=1</formula>
    </cfRule>
  </conditionalFormatting>
  <conditionalFormatting sqref="G46:G60">
    <cfRule type="containsBlanks" dxfId="607" priority="677">
      <formula>LEN(TRIM(G46))=0</formula>
    </cfRule>
    <cfRule type="expression" dxfId="606" priority="678">
      <formula>MOD(G46,2)=0</formula>
    </cfRule>
    <cfRule type="expression" dxfId="605" priority="679">
      <formula>MOD(G46,2)=1</formula>
    </cfRule>
  </conditionalFormatting>
  <conditionalFormatting sqref="G47">
    <cfRule type="containsBlanks" dxfId="604" priority="673">
      <formula>LEN(TRIM(G47))=0</formula>
    </cfRule>
    <cfRule type="expression" dxfId="603" priority="675">
      <formula>MOD(G47,2)=0</formula>
    </cfRule>
    <cfRule type="expression" dxfId="602" priority="676">
      <formula>MOD(G47,2)=1</formula>
    </cfRule>
  </conditionalFormatting>
  <conditionalFormatting sqref="G54">
    <cfRule type="containsBlanks" dxfId="601" priority="667">
      <formula>LEN(TRIM(G54))=0</formula>
    </cfRule>
    <cfRule type="expression" dxfId="600" priority="669">
      <formula>MOD(G54,2)=0</formula>
    </cfRule>
    <cfRule type="expression" dxfId="599" priority="670">
      <formula>MOD(G54,2)=1</formula>
    </cfRule>
  </conditionalFormatting>
  <conditionalFormatting sqref="G55:G60">
    <cfRule type="containsBlanks" dxfId="598" priority="663">
      <formula>LEN(TRIM(G55))=0</formula>
    </cfRule>
    <cfRule type="expression" dxfId="597" priority="665">
      <formula>MOD(G55,2)=0</formula>
    </cfRule>
    <cfRule type="expression" dxfId="596" priority="666">
      <formula>MOD(G55,2)=1</formula>
    </cfRule>
  </conditionalFormatting>
  <conditionalFormatting sqref="G46">
    <cfRule type="containsBlanks" dxfId="595" priority="632">
      <formula>LEN(TRIM(G46))=0</formula>
    </cfRule>
    <cfRule type="expression" dxfId="594" priority="634">
      <formula>MOD(G46,2)=0</formula>
    </cfRule>
    <cfRule type="expression" dxfId="593" priority="635">
      <formula>MOD(G46,2)=1</formula>
    </cfRule>
  </conditionalFormatting>
  <conditionalFormatting sqref="G48:G53">
    <cfRule type="containsBlanks" dxfId="592" priority="620">
      <formula>LEN(TRIM(G48))=0</formula>
    </cfRule>
    <cfRule type="expression" dxfId="591" priority="622">
      <formula>MOD(G48,2)=0</formula>
    </cfRule>
    <cfRule type="expression" dxfId="590" priority="623">
      <formula>MOD(G48,2)=1</formula>
    </cfRule>
  </conditionalFormatting>
  <conditionalFormatting sqref="G56:G60">
    <cfRule type="containsBlanks" dxfId="589" priority="615">
      <formula>LEN(TRIM(G56))=0</formula>
    </cfRule>
    <cfRule type="expression" dxfId="588" priority="617">
      <formula>MOD(G56,2)=0</formula>
    </cfRule>
    <cfRule type="expression" dxfId="587" priority="618">
      <formula>MOD(G56,2)=1</formula>
    </cfRule>
  </conditionalFormatting>
  <conditionalFormatting sqref="G48:G53">
    <cfRule type="containsBlanks" dxfId="586" priority="600">
      <formula>LEN(TRIM(G48))=0</formula>
    </cfRule>
    <cfRule type="expression" dxfId="585" priority="602">
      <formula>MOD(G48,2)=0</formula>
    </cfRule>
    <cfRule type="expression" dxfId="584" priority="603">
      <formula>MOD(G48,2)=1</formula>
    </cfRule>
  </conditionalFormatting>
  <conditionalFormatting sqref="G95">
    <cfRule type="containsBlanks" dxfId="583" priority="566">
      <formula>LEN(TRIM(G95))=0</formula>
    </cfRule>
    <cfRule type="expression" dxfId="582" priority="567">
      <formula>MOD(G95,2)=0</formula>
    </cfRule>
    <cfRule type="expression" dxfId="581" priority="568">
      <formula>MOD(G95,2)=1</formula>
    </cfRule>
  </conditionalFormatting>
  <conditionalFormatting sqref="G14:G19">
    <cfRule type="containsBlanks" dxfId="580" priority="532">
      <formula>LEN(TRIM(G14))=0</formula>
    </cfRule>
    <cfRule type="expression" dxfId="579" priority="534">
      <formula>MOD(G14,2)=0</formula>
    </cfRule>
    <cfRule type="expression" dxfId="578" priority="535">
      <formula>MOD(G14,2)=1</formula>
    </cfRule>
  </conditionalFormatting>
  <conditionalFormatting sqref="G191">
    <cfRule type="containsBlanks" dxfId="577" priority="523">
      <formula>LEN(TRIM(G191))=0</formula>
    </cfRule>
    <cfRule type="expression" dxfId="576" priority="525">
      <formula>MOD(G191,2)=0</formula>
    </cfRule>
    <cfRule type="expression" dxfId="575" priority="526">
      <formula>MOD(G191,2)=1</formula>
    </cfRule>
  </conditionalFormatting>
  <conditionalFormatting sqref="G192">
    <cfRule type="containsBlanks" dxfId="574" priority="514">
      <formula>LEN(TRIM(G192))=0</formula>
    </cfRule>
    <cfRule type="expression" dxfId="573" priority="514">
      <formula>MOD(G192,2)=0</formula>
    </cfRule>
    <cfRule type="expression" dxfId="572" priority="514">
      <formula>MOD(G192,2)=1</formula>
    </cfRule>
  </conditionalFormatting>
  <conditionalFormatting sqref="G193">
    <cfRule type="containsBlanks" dxfId="571" priority="511">
      <formula>LEN(TRIM(G193))=0</formula>
    </cfRule>
    <cfRule type="expression" dxfId="570" priority="511">
      <formula>MOD(G193,2)=0</formula>
    </cfRule>
    <cfRule type="expression" dxfId="569" priority="511">
      <formula>MOD(G193,2)=1</formula>
    </cfRule>
  </conditionalFormatting>
  <conditionalFormatting sqref="G200">
    <cfRule type="containsBlanks" dxfId="568" priority="508">
      <formula>LEN(TRIM(G200))=0</formula>
    </cfRule>
    <cfRule type="expression" dxfId="567" priority="508">
      <formula>MOD(G200,2)=0</formula>
    </cfRule>
    <cfRule type="expression" dxfId="566" priority="508">
      <formula>MOD(G200,2)=1</formula>
    </cfRule>
  </conditionalFormatting>
  <conditionalFormatting sqref="G201">
    <cfRule type="containsBlanks" dxfId="565" priority="505">
      <formula>LEN(TRIM(G201))=0</formula>
    </cfRule>
    <cfRule type="expression" dxfId="564" priority="505">
      <formula>MOD(G201,2)=0</formula>
    </cfRule>
    <cfRule type="expression" dxfId="563" priority="505">
      <formula>MOD(G201,2)=1</formula>
    </cfRule>
  </conditionalFormatting>
  <conditionalFormatting sqref="G194:G199">
    <cfRule type="containsBlanks" dxfId="562" priority="496">
      <formula>LEN(TRIM(G194))=0</formula>
    </cfRule>
    <cfRule type="expression" dxfId="561" priority="496">
      <formula>MOD(G194,2)=0</formula>
    </cfRule>
    <cfRule type="expression" dxfId="560" priority="496">
      <formula>MOD(G194,2)=1</formula>
    </cfRule>
  </conditionalFormatting>
  <conditionalFormatting sqref="G202:G207">
    <cfRule type="containsBlanks" dxfId="559" priority="493">
      <formula>LEN(TRIM(G202))=0</formula>
    </cfRule>
    <cfRule type="expression" dxfId="558" priority="493">
      <formula>MOD(G202,2)=0</formula>
    </cfRule>
    <cfRule type="expression" dxfId="557" priority="493">
      <formula>MOD(G202,2)=1</formula>
    </cfRule>
  </conditionalFormatting>
  <conditionalFormatting sqref="G194:G199">
    <cfRule type="containsBlanks" dxfId="556" priority="487">
      <formula>LEN(TRIM(G194))=0</formula>
    </cfRule>
    <cfRule type="expression" dxfId="555" priority="487">
      <formula>MOD(G194,2)=0</formula>
    </cfRule>
    <cfRule type="expression" dxfId="554" priority="487">
      <formula>MOD(G194,2)=1</formula>
    </cfRule>
  </conditionalFormatting>
  <conditionalFormatting sqref="G202:G207">
    <cfRule type="containsBlanks" dxfId="553" priority="484">
      <formula>LEN(TRIM(G202))=0</formula>
    </cfRule>
    <cfRule type="expression" dxfId="552" priority="484">
      <formula>MOD(G202,2)=0</formula>
    </cfRule>
    <cfRule type="expression" dxfId="551" priority="484">
      <formula>MOD(G202,2)=1</formula>
    </cfRule>
  </conditionalFormatting>
  <conditionalFormatting sqref="G38:G43">
    <cfRule type="containsBlanks" dxfId="550" priority="433">
      <formula>LEN(TRIM(G38))=0</formula>
    </cfRule>
    <cfRule type="expression" dxfId="549" priority="435">
      <formula>MOD(G38,2)=0</formula>
    </cfRule>
    <cfRule type="expression" dxfId="548" priority="436">
      <formula>MOD(G38,2)=1</formula>
    </cfRule>
  </conditionalFormatting>
  <conditionalFormatting sqref="G48:G53">
    <cfRule type="containsBlanks" dxfId="547" priority="429">
      <formula>LEN(TRIM(G48))=0</formula>
    </cfRule>
    <cfRule type="expression" dxfId="546" priority="431">
      <formula>MOD(G48,2)=0</formula>
    </cfRule>
    <cfRule type="expression" dxfId="545" priority="432">
      <formula>MOD(G48,2)=1</formula>
    </cfRule>
  </conditionalFormatting>
  <conditionalFormatting sqref="G109">
    <cfRule type="containsBlanks" dxfId="544" priority="422">
      <formula>LEN(TRIM(G109))=0</formula>
    </cfRule>
    <cfRule type="expression" dxfId="543" priority="424">
      <formula>MOD(G109,2)=0</formula>
    </cfRule>
    <cfRule type="expression" dxfId="542" priority="425">
      <formula>MOD(G109,2)=1</formula>
    </cfRule>
  </conditionalFormatting>
  <conditionalFormatting sqref="G81:G86">
    <cfRule type="containsBlanks" dxfId="541" priority="411">
      <formula>LEN(TRIM(G81))=0</formula>
    </cfRule>
    <cfRule type="expression" dxfId="540" priority="413">
      <formula>MOD(G81,2)=0</formula>
    </cfRule>
    <cfRule type="expression" dxfId="539" priority="414">
      <formula>MOD(G81,2)=1</formula>
    </cfRule>
  </conditionalFormatting>
  <conditionalFormatting sqref="G99:G108">
    <cfRule type="containsBlanks" dxfId="538" priority="407">
      <formula>LEN(TRIM(G99))=0</formula>
    </cfRule>
    <cfRule type="expression" dxfId="537" priority="409">
      <formula>MOD(G99,2)=0</formula>
    </cfRule>
    <cfRule type="expression" dxfId="536" priority="410">
      <formula>MOD(G99,2)=1</formula>
    </cfRule>
  </conditionalFormatting>
  <conditionalFormatting sqref="G112:G122">
    <cfRule type="containsBlanks" dxfId="535" priority="403">
      <formula>LEN(TRIM(G112))=0</formula>
    </cfRule>
    <cfRule type="expression" dxfId="534" priority="405">
      <formula>MOD(G112,2)=0</formula>
    </cfRule>
    <cfRule type="expression" dxfId="533" priority="406">
      <formula>MOD(G112,2)=1</formula>
    </cfRule>
  </conditionalFormatting>
  <conditionalFormatting sqref="G194:G199">
    <cfRule type="containsBlanks" dxfId="532" priority="388">
      <formula>LEN(TRIM(G194))=0</formula>
    </cfRule>
  </conditionalFormatting>
  <conditionalFormatting sqref="G202:G207">
    <cfRule type="containsBlanks" dxfId="531" priority="384">
      <formula>LEN(TRIM(G202))=0</formula>
    </cfRule>
  </conditionalFormatting>
  <conditionalFormatting sqref="G123">
    <cfRule type="containsBlanks" dxfId="530" priority="368">
      <formula>LEN(TRIM(G123))=0</formula>
    </cfRule>
    <cfRule type="expression" dxfId="529" priority="370">
      <formula>MOD(G123,2)=0</formula>
    </cfRule>
    <cfRule type="expression" dxfId="528" priority="371">
      <formula>MOD(G123,2)=1</formula>
    </cfRule>
  </conditionalFormatting>
  <conditionalFormatting sqref="G124">
    <cfRule type="containsBlanks" dxfId="527" priority="354">
      <formula>LEN(TRIM(G124))=0</formula>
    </cfRule>
    <cfRule type="expression" dxfId="526" priority="356">
      <formula>MOD(G124,2)=0</formula>
    </cfRule>
    <cfRule type="expression" dxfId="525" priority="357">
      <formula>MOD(G124,2)=1</formula>
    </cfRule>
  </conditionalFormatting>
  <conditionalFormatting sqref="G166">
    <cfRule type="containsBlanks" dxfId="524" priority="253">
      <formula>LEN(TRIM(G166))=0</formula>
    </cfRule>
    <cfRule type="expression" dxfId="523" priority="255">
      <formula>MOD(G166,2)=0</formula>
    </cfRule>
    <cfRule type="expression" dxfId="522" priority="256">
      <formula>MOD(G166,2)=1</formula>
    </cfRule>
  </conditionalFormatting>
  <conditionalFormatting sqref="G131">
    <cfRule type="containsBlanks" dxfId="521" priority="331">
      <formula>LEN(TRIM(G131))=0</formula>
    </cfRule>
    <cfRule type="expression" dxfId="520" priority="333">
      <formula>MOD(G131,2)=0</formula>
    </cfRule>
    <cfRule type="expression" dxfId="519" priority="334">
      <formula>MOD(G131,2)=1</formula>
    </cfRule>
  </conditionalFormatting>
  <conditionalFormatting sqref="G133">
    <cfRule type="containsBlanks" dxfId="518" priority="311">
      <formula>LEN(TRIM(G133))=0</formula>
    </cfRule>
    <cfRule type="expression" dxfId="517" priority="313">
      <formula>MOD(G133,2)=0</formula>
    </cfRule>
    <cfRule type="expression" dxfId="516" priority="314">
      <formula>MOD(G133,2)=1</formula>
    </cfRule>
  </conditionalFormatting>
  <conditionalFormatting sqref="G155">
    <cfRule type="containsBlanks" dxfId="515" priority="301">
      <formula>LEN(TRIM(G155))=0</formula>
    </cfRule>
    <cfRule type="expression" dxfId="514" priority="303">
      <formula>MOD(G155,2)=0</formula>
    </cfRule>
    <cfRule type="expression" dxfId="513" priority="304">
      <formula>MOD(G155,2)=1</formula>
    </cfRule>
  </conditionalFormatting>
  <conditionalFormatting sqref="G132">
    <cfRule type="containsBlanks" dxfId="512" priority="315">
      <formula>LEN(TRIM(G132))=0</formula>
    </cfRule>
    <cfRule type="expression" dxfId="511" priority="317">
      <formula>MOD(G132,2)=0</formula>
    </cfRule>
    <cfRule type="expression" dxfId="510" priority="318">
      <formula>MOD(G132,2)=1</formula>
    </cfRule>
  </conditionalFormatting>
  <conditionalFormatting sqref="G154">
    <cfRule type="containsBlanks" dxfId="509" priority="305">
      <formula>LEN(TRIM(G154))=0</formula>
    </cfRule>
    <cfRule type="expression" dxfId="508" priority="307">
      <formula>MOD(G154,2)=0</formula>
    </cfRule>
    <cfRule type="expression" dxfId="507" priority="308">
      <formula>MOD(G154,2)=1</formula>
    </cfRule>
  </conditionalFormatting>
  <conditionalFormatting sqref="G153">
    <cfRule type="containsBlanks" dxfId="506" priority="276">
      <formula>LEN(TRIM(G153))=0</formula>
    </cfRule>
    <cfRule type="expression" dxfId="505" priority="278">
      <formula>MOD(G153,2)=0</formula>
    </cfRule>
    <cfRule type="expression" dxfId="504" priority="279">
      <formula>MOD(G153,2)=1</formula>
    </cfRule>
  </conditionalFormatting>
  <conditionalFormatting sqref="G142">
    <cfRule type="containsBlanks" dxfId="503" priority="236">
      <formula>LEN(TRIM(G142))=0</formula>
    </cfRule>
    <cfRule type="expression" dxfId="502" priority="238">
      <formula>MOD(G142,2)=0</formula>
    </cfRule>
    <cfRule type="expression" dxfId="501" priority="239">
      <formula>MOD(G142,2)=1</formula>
    </cfRule>
  </conditionalFormatting>
  <conditionalFormatting sqref="G141">
    <cfRule type="containsBlanks" dxfId="500" priority="240">
      <formula>LEN(TRIM(G141))=0</formula>
    </cfRule>
    <cfRule type="expression" dxfId="499" priority="242">
      <formula>MOD(G141,2)=0</formula>
    </cfRule>
    <cfRule type="expression" dxfId="498" priority="243">
      <formula>MOD(G141,2)=1</formula>
    </cfRule>
  </conditionalFormatting>
  <conditionalFormatting sqref="G212:G217">
    <cfRule type="containsBlanks" dxfId="497" priority="173">
      <formula>LEN(TRIM(G212))=0</formula>
    </cfRule>
    <cfRule type="expression" dxfId="496" priority="175">
      <formula>MOD(G212,2)=0</formula>
    </cfRule>
    <cfRule type="expression" dxfId="495" priority="176">
      <formula>MOD(G212,2)=1</formula>
    </cfRule>
  </conditionalFormatting>
  <conditionalFormatting sqref="G125:G130">
    <cfRule type="containsBlanks" dxfId="494" priority="205">
      <formula>LEN(TRIM(G125))=0</formula>
    </cfRule>
    <cfRule type="expression" dxfId="493" priority="207">
      <formula>MOD(G125,2)=0</formula>
    </cfRule>
    <cfRule type="expression" dxfId="492" priority="208">
      <formula>MOD(G125,2)=1</formula>
    </cfRule>
  </conditionalFormatting>
  <conditionalFormatting sqref="G134:G140">
    <cfRule type="containsBlanks" dxfId="491" priority="201">
      <formula>LEN(TRIM(G134))=0</formula>
    </cfRule>
    <cfRule type="expression" dxfId="490" priority="203">
      <formula>MOD(G134,2)=0</formula>
    </cfRule>
    <cfRule type="expression" dxfId="489" priority="204">
      <formula>MOD(G134,2)=1</formula>
    </cfRule>
  </conditionalFormatting>
  <conditionalFormatting sqref="G143:G152">
    <cfRule type="containsBlanks" dxfId="488" priority="197">
      <formula>LEN(TRIM(G143))=0</formula>
    </cfRule>
    <cfRule type="expression" dxfId="487" priority="199">
      <formula>MOD(G143,2)=0</formula>
    </cfRule>
    <cfRule type="expression" dxfId="486" priority="200">
      <formula>MOD(G143,2)=1</formula>
    </cfRule>
  </conditionalFormatting>
  <conditionalFormatting sqref="G156:G165">
    <cfRule type="containsBlanks" dxfId="485" priority="193">
      <formula>LEN(TRIM(G156))=0</formula>
    </cfRule>
    <cfRule type="expression" dxfId="484" priority="195">
      <formula>MOD(G156,2)=0</formula>
    </cfRule>
    <cfRule type="expression" dxfId="483" priority="196">
      <formula>MOD(G156,2)=1</formula>
    </cfRule>
  </conditionalFormatting>
  <conditionalFormatting sqref="G168:G177">
    <cfRule type="containsBlanks" dxfId="482" priority="189">
      <formula>LEN(TRIM(G168))=0</formula>
    </cfRule>
    <cfRule type="expression" dxfId="481" priority="191">
      <formula>MOD(G168,2)=0</formula>
    </cfRule>
    <cfRule type="expression" dxfId="480" priority="192">
      <formula>MOD(G168,2)=1</formula>
    </cfRule>
  </conditionalFormatting>
  <conditionalFormatting sqref="G180:G189">
    <cfRule type="containsBlanks" dxfId="479" priority="185">
      <formula>LEN(TRIM(G180))=0</formula>
    </cfRule>
    <cfRule type="expression" dxfId="478" priority="187">
      <formula>MOD(G180,2)=0</formula>
    </cfRule>
    <cfRule type="expression" dxfId="477" priority="188">
      <formula>MOD(G180,2)=1</formula>
    </cfRule>
  </conditionalFormatting>
  <conditionalFormatting sqref="G194:G199">
    <cfRule type="containsBlanks" dxfId="476" priority="182">
      <formula>LEN(TRIM(G194))=0</formula>
    </cfRule>
  </conditionalFormatting>
  <conditionalFormatting sqref="G202:G207">
    <cfRule type="containsBlanks" dxfId="475" priority="178">
      <formula>LEN(TRIM(G202))=0</formula>
    </cfRule>
  </conditionalFormatting>
  <conditionalFormatting sqref="G255:G260">
    <cfRule type="containsBlanks" dxfId="474" priority="169">
      <formula>LEN(TRIM(G255))=0</formula>
    </cfRule>
    <cfRule type="expression" dxfId="473" priority="171">
      <formula>MOD(G255,2)=0</formula>
    </cfRule>
    <cfRule type="expression" dxfId="472" priority="172">
      <formula>MOD(G255,2)=1</formula>
    </cfRule>
  </conditionalFormatting>
  <conditionalFormatting sqref="G210">
    <cfRule type="containsBlanks" dxfId="471" priority="165">
      <formula>LEN(TRIM(G210))=0</formula>
    </cfRule>
    <cfRule type="expression" dxfId="470" priority="166">
      <formula>MOD(G210,2)=0</formula>
    </cfRule>
    <cfRule type="expression" dxfId="469" priority="167">
      <formula>MOD(G210,2)=1</formula>
    </cfRule>
  </conditionalFormatting>
  <conditionalFormatting sqref="G261:G262">
    <cfRule type="containsBlanks" dxfId="468" priority="148">
      <formula>LEN(TRIM(G261))=0</formula>
    </cfRule>
    <cfRule type="expression" dxfId="467" priority="150">
      <formula>MOD(G261,2)=0</formula>
    </cfRule>
    <cfRule type="expression" dxfId="466" priority="151">
      <formula>MOD(G261,2)=1</formula>
    </cfRule>
  </conditionalFormatting>
  <conditionalFormatting sqref="G284:G292">
    <cfRule type="containsBlanks" dxfId="465" priority="84">
      <formula>LEN(TRIM(G284))=0</formula>
    </cfRule>
    <cfRule type="expression" dxfId="464" priority="85">
      <formula>MOD(G284,2)=0</formula>
    </cfRule>
    <cfRule type="expression" dxfId="463" priority="86">
      <formula>MOD(G284,2)=1</formula>
    </cfRule>
  </conditionalFormatting>
  <conditionalFormatting sqref="G283 G286">
    <cfRule type="containsBlanks" dxfId="462" priority="75">
      <formula>LEN(TRIM(G283))=0</formula>
    </cfRule>
    <cfRule type="expression" dxfId="461" priority="76">
      <formula>MOD(G283,2)=0</formula>
    </cfRule>
    <cfRule type="expression" dxfId="460" priority="77">
      <formula>MOD(G283,2)=1</formula>
    </cfRule>
  </conditionalFormatting>
  <conditionalFormatting sqref="G285">
    <cfRule type="containsBlanks" dxfId="459" priority="53">
      <formula>LEN(TRIM(G285))=0</formula>
    </cfRule>
    <cfRule type="expression" dxfId="458" priority="54">
      <formula>MOD(G285,2)=0</formula>
    </cfRule>
    <cfRule type="expression" dxfId="457" priority="55">
      <formula>MOD(G285,2)=1</formula>
    </cfRule>
  </conditionalFormatting>
  <conditionalFormatting sqref="G295">
    <cfRule type="containsBlanks" dxfId="456" priority="49">
      <formula>LEN(TRIM(G295))=0</formula>
    </cfRule>
    <cfRule type="expression" dxfId="455" priority="50">
      <formula>MOD(G295,2)=0</formula>
    </cfRule>
    <cfRule type="expression" dxfId="454" priority="51">
      <formula>MOD(G295,2)=1</formula>
    </cfRule>
  </conditionalFormatting>
  <conditionalFormatting sqref="G294">
    <cfRule type="containsBlanks" dxfId="453" priority="40">
      <formula>LEN(TRIM(G294))=0</formula>
    </cfRule>
    <cfRule type="expression" dxfId="452" priority="41">
      <formula>MOD(G294,2)=0</formula>
    </cfRule>
    <cfRule type="expression" dxfId="451" priority="42">
      <formula>MOD(G294,2)=1</formula>
    </cfRule>
  </conditionalFormatting>
  <conditionalFormatting sqref="G263:G270">
    <cfRule type="containsBlanks" dxfId="450" priority="13">
      <formula>LEN(TRIM(G263))=0</formula>
    </cfRule>
    <cfRule type="expression" dxfId="449" priority="15">
      <formula>MOD(G263,2)=0</formula>
    </cfRule>
    <cfRule type="expression" dxfId="448" priority="16">
      <formula>MOD(G263,2)=1</formula>
    </cfRule>
  </conditionalFormatting>
  <conditionalFormatting sqref="G274:G281">
    <cfRule type="containsBlanks" dxfId="447" priority="9">
      <formula>LEN(TRIM(G274))=0</formula>
    </cfRule>
    <cfRule type="expression" dxfId="446" priority="10">
      <formula>MOD(G274,2)=0</formula>
    </cfRule>
    <cfRule type="expression" dxfId="445" priority="11">
      <formula>MOD(G274,2)=1</formula>
    </cfRule>
  </conditionalFormatting>
  <conditionalFormatting sqref="G296:G303">
    <cfRule type="containsBlanks" dxfId="444" priority="5">
      <formula>LEN(TRIM(G296))=0</formula>
    </cfRule>
    <cfRule type="expression" dxfId="443" priority="6">
      <formula>MOD(G296,2)=0</formula>
    </cfRule>
    <cfRule type="expression" dxfId="442" priority="7">
      <formula>MOD(G296,2)=1</formula>
    </cfRule>
  </conditionalFormatting>
  <conditionalFormatting sqref="G306:G311">
    <cfRule type="containsBlanks" dxfId="441" priority="1">
      <formula>LEN(TRIM(G306))=0</formula>
    </cfRule>
    <cfRule type="expression" dxfId="440" priority="3">
      <formula>MOD(G306,2)=0</formula>
    </cfRule>
    <cfRule type="expression" dxfId="439" priority="4">
      <formula>MOD(G306,2)=1</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262" operator="containsText" id="{D6BF1D4C-F605-4346-813B-07B50BD615A2}">
            <xm:f>NOT(ISERROR(SEARCH("-",G4)))</xm:f>
            <xm:f>"-"</xm:f>
            <x14:dxf>
              <fill>
                <patternFill>
                  <bgColor theme="0" tint="-4.9989318521683403E-2"/>
                </patternFill>
              </fill>
            </x14:dxf>
          </x14:cfRule>
          <xm:sqref>G4 G96 G61:G94 G190:G209 G218:G253 G273 G287:G293 G304 G312:G323</xm:sqref>
        </x14:conditionalFormatting>
        <x14:conditionalFormatting xmlns:xm="http://schemas.microsoft.com/office/excel/2006/main">
          <x14:cfRule type="containsText" priority="1259" operator="containsText" id="{D97D3440-4248-4E7B-9114-FB071A53A66B}">
            <xm:f>NOT(ISERROR(SEARCH("-",G324)))</xm:f>
            <xm:f>"-"</xm:f>
            <x14:dxf>
              <fill>
                <patternFill>
                  <bgColor theme="0" tint="-4.9989318521683403E-2"/>
                </patternFill>
              </fill>
            </x14:dxf>
          </x14:cfRule>
          <xm:sqref>G324</xm:sqref>
        </x14:conditionalFormatting>
        <x14:conditionalFormatting xmlns:xm="http://schemas.microsoft.com/office/excel/2006/main">
          <x14:cfRule type="containsText" priority="1255" operator="containsText" id="{C1ABA915-651A-4ACD-ACC2-5F6DD8EAB7D4}">
            <xm:f>NOT(ISERROR(SEARCH("-",G64)))</xm:f>
            <xm:f>"-"</xm:f>
            <x14:dxf>
              <fill>
                <patternFill>
                  <bgColor theme="0" tint="-4.9989318521683403E-2"/>
                </patternFill>
              </fill>
            </x14:dxf>
          </x14:cfRule>
          <xm:sqref>G64</xm:sqref>
        </x14:conditionalFormatting>
        <x14:conditionalFormatting xmlns:xm="http://schemas.microsoft.com/office/excel/2006/main">
          <x14:cfRule type="expression" priority="1253" id="{64415044-4E08-4168-A305-37DFDAD0FD47}">
            <xm:f>I4='[IV2_Seq9 - Notes ver4.6 - Rev0.xlsm]Categories'!#REF!</xm:f>
            <x14:dxf>
              <font>
                <b/>
                <i val="0"/>
              </font>
            </x14:dxf>
          </x14:cfRule>
          <xm:sqref>L96:L108 L4:L94 L167:L209 L110:L122 L132:L140 L211:L260 L275:L282 L263:L273 L287:L293 L298:L324</xm:sqref>
        </x14:conditionalFormatting>
        <x14:conditionalFormatting xmlns:xm="http://schemas.microsoft.com/office/excel/2006/main">
          <x14:cfRule type="expression" priority="1252" id="{82C01158-ACF6-4EC9-83B7-42CA030E0E19}">
            <xm:f>I66='[IV2_Seq9 - Notes ver4.6 - Rev0.xlsm]Categories'!#REF!</xm:f>
            <x14:dxf>
              <font>
                <b/>
                <i val="0"/>
              </font>
            </x14:dxf>
          </x14:cfRule>
          <xm:sqref>L66:L71</xm:sqref>
        </x14:conditionalFormatting>
        <x14:conditionalFormatting xmlns:xm="http://schemas.microsoft.com/office/excel/2006/main">
          <x14:cfRule type="containsText" priority="1249" operator="containsText" id="{F3BB0655-726F-49EF-A585-1FD8DEA1B1DA}">
            <xm:f>NOT(ISERROR(SEARCH("-",G71)))</xm:f>
            <xm:f>"-"</xm:f>
            <x14:dxf>
              <fill>
                <patternFill>
                  <bgColor theme="0" tint="-4.9989318521683403E-2"/>
                </patternFill>
              </fill>
            </x14:dxf>
          </x14:cfRule>
          <xm:sqref>G71</xm:sqref>
        </x14:conditionalFormatting>
        <x14:conditionalFormatting xmlns:xm="http://schemas.microsoft.com/office/excel/2006/main">
          <x14:cfRule type="containsText" priority="1245" operator="containsText" id="{596B7FB5-085A-4409-89E2-A1808A00116A}">
            <xm:f>NOT(ISERROR(SEARCH("-",G72)))</xm:f>
            <xm:f>"-"</xm:f>
            <x14:dxf>
              <fill>
                <patternFill>
                  <bgColor theme="0" tint="-4.9989318521683403E-2"/>
                </patternFill>
              </fill>
            </x14:dxf>
          </x14:cfRule>
          <xm:sqref>G72:G78</xm:sqref>
        </x14:conditionalFormatting>
        <x14:conditionalFormatting xmlns:xm="http://schemas.microsoft.com/office/excel/2006/main">
          <x14:cfRule type="expression" priority="1243" id="{F872979D-2627-4F0E-988F-85E0F533EFC7}">
            <xm:f>I73='[IV2_Seq9 - Notes ver4.6 - Rev0.xlsm]Categories'!#REF!</xm:f>
            <x14:dxf>
              <font>
                <b/>
                <i val="0"/>
              </font>
            </x14:dxf>
          </x14:cfRule>
          <xm:sqref>L73</xm:sqref>
        </x14:conditionalFormatting>
        <x14:conditionalFormatting xmlns:xm="http://schemas.microsoft.com/office/excel/2006/main">
          <x14:cfRule type="expression" priority="1242" id="{49519D75-8DDD-4EF4-B0AC-2815A8CE25D3}">
            <xm:f>I72='[IV2_Seq9 - Notes ver4.6 - Rev0.xlsm]Categories'!#REF!</xm:f>
            <x14:dxf>
              <font>
                <b/>
                <i val="0"/>
              </font>
            </x14:dxf>
          </x14:cfRule>
          <xm:sqref>L72</xm:sqref>
        </x14:conditionalFormatting>
        <x14:conditionalFormatting xmlns:xm="http://schemas.microsoft.com/office/excel/2006/main">
          <x14:cfRule type="expression" priority="1241" id="{817A1D62-E7DC-456F-9F11-DC6359E49D78}">
            <xm:f>I57='[IV2_Seq9 - Notes ver4.6 - Rev0.xlsm]Categories'!#REF!</xm:f>
            <x14:dxf>
              <font>
                <b/>
                <i val="0"/>
              </font>
            </x14:dxf>
          </x14:cfRule>
          <xm:sqref>L74:L78 L57:L60 L118:L121</xm:sqref>
        </x14:conditionalFormatting>
        <x14:conditionalFormatting xmlns:xm="http://schemas.microsoft.com/office/excel/2006/main">
          <x14:cfRule type="expression" priority="1240" id="{6144CED6-C072-41D7-997F-9E97655F66A8}">
            <xm:f>I79='[IV2_Seq9 - Notes ver4.6 - Rev0.xlsm]Categories'!#REF!</xm:f>
            <x14:dxf>
              <font>
                <b/>
                <i val="0"/>
              </font>
            </x14:dxf>
          </x14:cfRule>
          <xm:sqref>L79</xm:sqref>
        </x14:conditionalFormatting>
        <x14:conditionalFormatting xmlns:xm="http://schemas.microsoft.com/office/excel/2006/main">
          <x14:cfRule type="containsText" priority="1237" operator="containsText" id="{68D202FA-FAEA-406C-B6F3-952B2AB36D20}">
            <xm:f>NOT(ISERROR(SEARCH("-",G79)))</xm:f>
            <xm:f>"-"</xm:f>
            <x14:dxf>
              <fill>
                <patternFill>
                  <bgColor theme="0" tint="-4.9989318521683403E-2"/>
                </patternFill>
              </fill>
            </x14:dxf>
          </x14:cfRule>
          <xm:sqref>G79</xm:sqref>
        </x14:conditionalFormatting>
        <x14:conditionalFormatting xmlns:xm="http://schemas.microsoft.com/office/excel/2006/main">
          <x14:cfRule type="containsText" priority="1233" operator="containsText" id="{7297D4B4-ECEE-4650-8727-D124EDCF53CC}">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1231" id="{7F438496-0B5D-4009-9080-7C85D2C20324}">
            <xm:f>I81='[IV2_Seq9 - Notes ver4.6 - Rev0.xlsm]Categories'!#REF!</xm:f>
            <x14:dxf>
              <font>
                <b/>
                <i val="0"/>
              </font>
            </x14:dxf>
          </x14:cfRule>
          <xm:sqref>L81</xm:sqref>
        </x14:conditionalFormatting>
        <x14:conditionalFormatting xmlns:xm="http://schemas.microsoft.com/office/excel/2006/main">
          <x14:cfRule type="expression" priority="1230" id="{BCDF1A8B-39F9-48A1-B137-32B020CC9689}">
            <xm:f>I80='[IV2_Seq9 - Notes ver4.6 - Rev0.xlsm]Categories'!#REF!</xm:f>
            <x14:dxf>
              <font>
                <b/>
                <i val="0"/>
              </font>
            </x14:dxf>
          </x14:cfRule>
          <xm:sqref>L80</xm:sqref>
        </x14:conditionalFormatting>
        <x14:conditionalFormatting xmlns:xm="http://schemas.microsoft.com/office/excel/2006/main">
          <x14:cfRule type="expression" priority="1229" id="{AF273BAB-F53D-4063-A0F7-8470E41F0C68}">
            <xm:f>I82='[IV2_Seq9 - Notes ver4.6 - Rev0.xlsm]Categories'!#REF!</xm:f>
            <x14:dxf>
              <font>
                <b/>
                <i val="0"/>
              </font>
            </x14:dxf>
          </x14:cfRule>
          <xm:sqref>L82:L86</xm:sqref>
        </x14:conditionalFormatting>
        <x14:conditionalFormatting xmlns:xm="http://schemas.microsoft.com/office/excel/2006/main">
          <x14:cfRule type="expression" priority="1228" id="{0FF0A596-E303-4B8B-A057-76F3D9F63FEE}">
            <xm:f>I9='[IV2_Seq9 - Notes ver4.6 - Rev0.xlsm]Categories'!#REF!</xm:f>
            <x14:dxf>
              <font>
                <b/>
                <i val="0"/>
              </font>
            </x14:dxf>
          </x14:cfRule>
          <xm:sqref>L9</xm:sqref>
        </x14:conditionalFormatting>
        <x14:conditionalFormatting xmlns:xm="http://schemas.microsoft.com/office/excel/2006/main">
          <x14:cfRule type="expression" priority="1227" id="{6DCC448D-B536-4CA6-A4ED-ED63F2957A54}">
            <xm:f>I7='[IV2_Seq9 - Notes ver4.6 - Rev0.xlsm]Categories'!#REF!</xm:f>
            <x14:dxf>
              <font>
                <b/>
                <i val="0"/>
              </font>
            </x14:dxf>
          </x14:cfRule>
          <xm:sqref>L7</xm:sqref>
        </x14:conditionalFormatting>
        <x14:conditionalFormatting xmlns:xm="http://schemas.microsoft.com/office/excel/2006/main">
          <x14:cfRule type="containsText" priority="1224"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222" id="{6758C871-BE31-47C8-BFEE-41197D2DF7F3}">
            <xm:f>I5='[IV2_Seq9 - Notes ver4.6 - Rev0.xlsm]Categories'!#REF!</xm:f>
            <x14:dxf>
              <font>
                <b/>
                <i val="0"/>
              </font>
            </x14:dxf>
          </x14:cfRule>
          <xm:sqref>L5</xm:sqref>
        </x14:conditionalFormatting>
        <x14:conditionalFormatting xmlns:xm="http://schemas.microsoft.com/office/excel/2006/main">
          <x14:cfRule type="expression" priority="1221" id="{62BF3685-E601-47D8-9883-E81C739A204B}">
            <xm:f>I6='[IV2_Seq9 - Notes ver4.6 - Rev0.xlsm]Categories'!#REF!</xm:f>
            <x14:dxf>
              <font>
                <b/>
                <i val="0"/>
              </font>
            </x14:dxf>
          </x14:cfRule>
          <xm:sqref>L6</xm:sqref>
        </x14:conditionalFormatting>
        <x14:conditionalFormatting xmlns:xm="http://schemas.microsoft.com/office/excel/2006/main">
          <x14:cfRule type="expression" priority="1220" id="{70DAF4FC-20A0-4F66-AFC0-3F531BD2CF2C}">
            <xm:f>I8='[IV2_Seq9 - Notes ver4.6 - Rev0.xlsm]Categories'!#REF!</xm:f>
            <x14:dxf>
              <font>
                <b/>
                <i val="0"/>
              </font>
            </x14:dxf>
          </x14:cfRule>
          <xm:sqref>L8</xm:sqref>
        </x14:conditionalFormatting>
        <x14:conditionalFormatting xmlns:xm="http://schemas.microsoft.com/office/excel/2006/main">
          <x14:cfRule type="expression" priority="1219" id="{23C2BD7C-8E39-430F-BBB3-6423694E8D42}">
            <xm:f>I10='[IV2_Seq9 - Notes ver4.6 - Rev0.xlsm]Categories'!#REF!</xm:f>
            <x14:dxf>
              <font>
                <b/>
                <i val="0"/>
              </font>
            </x14:dxf>
          </x14:cfRule>
          <xm:sqref>L10</xm:sqref>
        </x14:conditionalFormatting>
        <x14:conditionalFormatting xmlns:xm="http://schemas.microsoft.com/office/excel/2006/main">
          <x14:cfRule type="expression" priority="1218" id="{0FBA72B5-C804-4A38-A232-521FC724FF86}">
            <xm:f>I87='[IV2_Seq9 - Notes ver4.6 - Rev0.xlsm]Categories'!#REF!</xm:f>
            <x14:dxf>
              <font>
                <b/>
                <i val="0"/>
              </font>
            </x14:dxf>
          </x14:cfRule>
          <xm:sqref>L87</xm:sqref>
        </x14:conditionalFormatting>
        <x14:conditionalFormatting xmlns:xm="http://schemas.microsoft.com/office/excel/2006/main">
          <x14:cfRule type="containsText" priority="1215" operator="containsText" id="{7108B7DF-2F83-424E-A52C-4974E8D11F10}">
            <xm:f>NOT(ISERROR(SEARCH("-",G87)))</xm:f>
            <xm:f>"-"</xm:f>
            <x14:dxf>
              <fill>
                <patternFill>
                  <bgColor theme="0" tint="-4.9989318521683403E-2"/>
                </patternFill>
              </fill>
            </x14:dxf>
          </x14:cfRule>
          <xm:sqref>G87</xm:sqref>
        </x14:conditionalFormatting>
        <x14:conditionalFormatting xmlns:xm="http://schemas.microsoft.com/office/excel/2006/main">
          <x14:cfRule type="containsText" priority="1211" operator="containsText" id="{17335892-A84F-4007-8F17-5B06AE01B9F9}">
            <xm:f>NOT(ISERROR(SEARCH("-",G88)))</xm:f>
            <xm:f>"-"</xm:f>
            <x14:dxf>
              <fill>
                <patternFill>
                  <bgColor theme="0" tint="-4.9989318521683403E-2"/>
                </patternFill>
              </fill>
            </x14:dxf>
          </x14:cfRule>
          <xm:sqref>G88</xm:sqref>
        </x14:conditionalFormatting>
        <x14:conditionalFormatting xmlns:xm="http://schemas.microsoft.com/office/excel/2006/main">
          <x14:cfRule type="expression" priority="1209" id="{22D9018A-09DB-4E37-B9B9-C4ADFC4BE822}">
            <xm:f>I89='[IV2_Seq9 - Notes ver4.6 - Rev0.xlsm]Categories'!#REF!</xm:f>
            <x14:dxf>
              <font>
                <b/>
                <i val="0"/>
              </font>
            </x14:dxf>
          </x14:cfRule>
          <xm:sqref>L89</xm:sqref>
        </x14:conditionalFormatting>
        <x14:conditionalFormatting xmlns:xm="http://schemas.microsoft.com/office/excel/2006/main">
          <x14:cfRule type="expression" priority="1208" id="{1B5A4B08-975B-4E5F-A390-41539E89DDD6}">
            <xm:f>I88='[IV2_Seq9 - Notes ver4.6 - Rev0.xlsm]Categories'!#REF!</xm:f>
            <x14:dxf>
              <font>
                <b/>
                <i val="0"/>
              </font>
            </x14:dxf>
          </x14:cfRule>
          <xm:sqref>L88</xm:sqref>
        </x14:conditionalFormatting>
        <x14:conditionalFormatting xmlns:xm="http://schemas.microsoft.com/office/excel/2006/main">
          <x14:cfRule type="expression" priority="1162" id="{F8811C4A-F12A-4BD0-8409-C1FEAB259F3B}">
            <xm:f>I4='[IV2_Seq9 - Notes ver4.6 - Rev0.xlsm]Categories'!#REF!</xm:f>
            <x14:dxf>
              <font>
                <b/>
                <i val="0"/>
              </font>
            </x14:dxf>
          </x14:cfRule>
          <xm:sqref>O4:O11 O62 O64:O94 O190 O322:O323 O107:O108 O211:O253</xm:sqref>
        </x14:conditionalFormatting>
        <x14:conditionalFormatting xmlns:xm="http://schemas.microsoft.com/office/excel/2006/main">
          <x14:cfRule type="expression" priority="1161" id="{97E70DC0-2B3B-484B-81CE-24D7843408FE}">
            <xm:f>I324='[IV2_Seq9 - Notes ver4.6 - Rev0.xlsm]Categories'!#REF!</xm:f>
            <x14:dxf>
              <font>
                <b/>
                <i val="0"/>
              </font>
            </x14:dxf>
          </x14:cfRule>
          <xm:sqref>O324</xm:sqref>
        </x14:conditionalFormatting>
        <x14:conditionalFormatting xmlns:xm="http://schemas.microsoft.com/office/excel/2006/main">
          <x14:cfRule type="notContainsText" priority="1160" operator="notContains" id="{B8B6DE19-5BDB-4E2E-974B-CC42C3FFF3AF}">
            <xm:f>ISERROR(SEARCH("-",M4))</xm:f>
            <xm:f>"-"</xm:f>
            <x14:dxf>
              <fill>
                <patternFill>
                  <bgColor theme="0" tint="-4.9989318521683403E-2"/>
                </patternFill>
              </fill>
            </x14:dxf>
          </x14:cfRule>
          <xm:sqref>M96:N108 M4:N94 M167:N209 M110:N122 M211:N260 M275:N282 M263:N273 M287:N293 M298:N324</xm:sqref>
        </x14:conditionalFormatting>
        <x14:conditionalFormatting xmlns:xm="http://schemas.microsoft.com/office/excel/2006/main">
          <x14:cfRule type="expression" priority="1157" id="{71ABE9F6-ED04-4DD8-B48B-8EB475A99998}">
            <xm:f>I217='[IV2_Seq9 - Notes ver4.6 - Rev0.xlsm]Categories'!#REF!</xm:f>
            <x14:dxf>
              <font>
                <b/>
                <i val="0"/>
              </font>
            </x14:dxf>
          </x14:cfRule>
          <xm:sqref>L217</xm:sqref>
        </x14:conditionalFormatting>
        <x14:conditionalFormatting xmlns:xm="http://schemas.microsoft.com/office/excel/2006/main">
          <x14:cfRule type="expression" priority="1156" id="{5E871019-9B07-4049-B261-D279C997FF14}">
            <xm:f>I215='[IV2_Seq9 - Notes ver4.6 - Rev0.xlsm]Categories'!#REF!</xm:f>
            <x14:dxf>
              <font>
                <b/>
                <i val="0"/>
              </font>
            </x14:dxf>
          </x14:cfRule>
          <xm:sqref>L215</xm:sqref>
        </x14:conditionalFormatting>
        <x14:conditionalFormatting xmlns:xm="http://schemas.microsoft.com/office/excel/2006/main">
          <x14:cfRule type="expression" priority="1155" id="{9012935A-382B-4945-802C-B56040CBBE36}">
            <xm:f>I213='[IV2_Seq9 - Notes ver4.6 - Rev0.xlsm]Categories'!#REF!</xm:f>
            <x14:dxf>
              <font>
                <b/>
                <i val="0"/>
              </font>
            </x14:dxf>
          </x14:cfRule>
          <xm:sqref>L213</xm:sqref>
        </x14:conditionalFormatting>
        <x14:conditionalFormatting xmlns:xm="http://schemas.microsoft.com/office/excel/2006/main">
          <x14:cfRule type="containsText" priority="1152" operator="containsText" id="{553E7B4C-145E-472C-B3BB-7FBC5F0F964D}">
            <xm:f>NOT(ISERROR(SEARCH("-",G211)))</xm:f>
            <xm:f>"-"</xm:f>
            <x14:dxf>
              <fill>
                <patternFill>
                  <bgColor theme="0" tint="-4.9989318521683403E-2"/>
                </patternFill>
              </fill>
            </x14:dxf>
          </x14:cfRule>
          <xm:sqref>G211</xm:sqref>
        </x14:conditionalFormatting>
        <x14:conditionalFormatting xmlns:xm="http://schemas.microsoft.com/office/excel/2006/main">
          <x14:cfRule type="expression" priority="1150" id="{B71D8442-E932-4CC1-A5CC-612167C52CFB}">
            <xm:f>I211='[IV2_Seq9 - Notes ver4.6 - Rev0.xlsm]Categories'!#REF!</xm:f>
            <x14:dxf>
              <font>
                <b/>
                <i val="0"/>
              </font>
            </x14:dxf>
          </x14:cfRule>
          <xm:sqref>L211</xm:sqref>
        </x14:conditionalFormatting>
        <x14:conditionalFormatting xmlns:xm="http://schemas.microsoft.com/office/excel/2006/main">
          <x14:cfRule type="expression" priority="1149" id="{0632C561-3F67-4C7F-8774-98A03E2390D9}">
            <xm:f>I212='[IV2_Seq9 - Notes ver4.6 - Rev0.xlsm]Categories'!#REF!</xm:f>
            <x14:dxf>
              <font>
                <b/>
                <i val="0"/>
              </font>
            </x14:dxf>
          </x14:cfRule>
          <xm:sqref>L212</xm:sqref>
        </x14:conditionalFormatting>
        <x14:conditionalFormatting xmlns:xm="http://schemas.microsoft.com/office/excel/2006/main">
          <x14:cfRule type="expression" priority="1148" id="{A1636015-B4E3-473E-97C8-D26BC372033E}">
            <xm:f>I214='[IV2_Seq9 - Notes ver4.6 - Rev0.xlsm]Categories'!#REF!</xm:f>
            <x14:dxf>
              <font>
                <b/>
                <i val="0"/>
              </font>
            </x14:dxf>
          </x14:cfRule>
          <xm:sqref>L214</xm:sqref>
        </x14:conditionalFormatting>
        <x14:conditionalFormatting xmlns:xm="http://schemas.microsoft.com/office/excel/2006/main">
          <x14:cfRule type="expression" priority="1147" id="{23DCA1CA-94A3-4BFA-9943-98C33368FAFD}">
            <xm:f>I216='[IV2_Seq9 - Notes ver4.6 - Rev0.xlsm]Categories'!#REF!</xm:f>
            <x14:dxf>
              <font>
                <b/>
                <i val="0"/>
              </font>
            </x14:dxf>
          </x14:cfRule>
          <xm:sqref>L216</xm:sqref>
        </x14:conditionalFormatting>
        <x14:conditionalFormatting xmlns:xm="http://schemas.microsoft.com/office/excel/2006/main">
          <x14:cfRule type="expression" priority="1146" id="{87B7BA82-FEC6-43DD-BD87-98B6E3DD3F83}">
            <xm:f>I317='[IV2_Seq9 - Notes ver4.6 - Rev0.xlsm]Categories'!#REF!</xm:f>
            <x14:dxf>
              <font>
                <b/>
                <i val="0"/>
              </font>
            </x14:dxf>
          </x14:cfRule>
          <xm:sqref>L317</xm:sqref>
        </x14:conditionalFormatting>
        <x14:conditionalFormatting xmlns:xm="http://schemas.microsoft.com/office/excel/2006/main">
          <x14:cfRule type="expression" priority="1145" id="{18F8694F-86F1-4925-8766-8C0229B2DFD6}">
            <xm:f>I315='[IV2_Seq9 - Notes ver4.6 - Rev0.xlsm]Categories'!#REF!</xm:f>
            <x14:dxf>
              <font>
                <b/>
                <i val="0"/>
              </font>
            </x14:dxf>
          </x14:cfRule>
          <xm:sqref>L315</xm:sqref>
        </x14:conditionalFormatting>
        <x14:conditionalFormatting xmlns:xm="http://schemas.microsoft.com/office/excel/2006/main">
          <x14:cfRule type="expression" priority="1144" id="{81916140-41CB-4A7C-B243-90EF5498B3D6}">
            <xm:f>I140='[IV2_Seq9 - Notes ver4.6 - Rev0.xlsm]Categories'!#REF!</xm:f>
            <x14:dxf>
              <font>
                <b/>
                <i val="0"/>
              </font>
            </x14:dxf>
          </x14:cfRule>
          <xm:sqref>L313 L140</xm:sqref>
        </x14:conditionalFormatting>
        <x14:conditionalFormatting xmlns:xm="http://schemas.microsoft.com/office/excel/2006/main">
          <x14:cfRule type="expression" priority="1143" id="{F9973CD8-871A-4D0B-BE2D-CE33CF7025D9}">
            <xm:f>I314='[IV2_Seq9 - Notes ver4.6 - Rev0.xlsm]Categories'!#REF!</xm:f>
            <x14:dxf>
              <font>
                <b/>
                <i val="0"/>
              </font>
            </x14:dxf>
          </x14:cfRule>
          <xm:sqref>L314</xm:sqref>
        </x14:conditionalFormatting>
        <x14:conditionalFormatting xmlns:xm="http://schemas.microsoft.com/office/excel/2006/main">
          <x14:cfRule type="expression" priority="1142" id="{3AC70C6B-26D2-4F68-AA05-D8B0CB66DCF9}">
            <xm:f>I316='[IV2_Seq9 - Notes ver4.6 - Rev0.xlsm]Categories'!#REF!</xm:f>
            <x14:dxf>
              <font>
                <b/>
                <i val="0"/>
              </font>
            </x14:dxf>
          </x14:cfRule>
          <xm:sqref>L316</xm:sqref>
        </x14:conditionalFormatting>
        <x14:conditionalFormatting xmlns:xm="http://schemas.microsoft.com/office/excel/2006/main">
          <x14:cfRule type="expression" priority="1141" id="{7C0DD9BD-DD1B-4A2F-999D-E3B8DB766FFD}">
            <xm:f>I322='[IV2_Seq9 - Notes ver4.6 - Rev0.xlsm]Categories'!#REF!</xm:f>
            <x14:dxf>
              <font>
                <b/>
                <i val="0"/>
              </font>
            </x14:dxf>
          </x14:cfRule>
          <xm:sqref>L322</xm:sqref>
        </x14:conditionalFormatting>
        <x14:conditionalFormatting xmlns:xm="http://schemas.microsoft.com/office/excel/2006/main">
          <x14:cfRule type="expression" priority="1140" id="{F97B8F4C-9182-446B-9CCE-7A99A0EC2BDE}">
            <xm:f>I110='[IV2_Seq9 - Notes ver4.6 - Rev0.xlsm]Categories'!#REF!</xm:f>
            <x14:dxf>
              <font>
                <b/>
                <i val="0"/>
              </font>
            </x14:dxf>
          </x14:cfRule>
          <xm:sqref>O313:O317 O167:O189 O110:O122 O140</xm:sqref>
        </x14:conditionalFormatting>
        <x14:conditionalFormatting xmlns:xm="http://schemas.microsoft.com/office/excel/2006/main">
          <x14:cfRule type="expression" priority="1138" id="{DAD893D7-4690-4AB8-A054-443342244B65}">
            <xm:f>I312='[IV2_Seq9 - Notes ver4.6 - Rev0.xlsm]Categories'!#REF!</xm:f>
            <x14:dxf>
              <font>
                <b/>
                <i val="0"/>
              </font>
            </x14:dxf>
          </x14:cfRule>
          <xm:sqref>L312</xm:sqref>
        </x14:conditionalFormatting>
        <x14:conditionalFormatting xmlns:xm="http://schemas.microsoft.com/office/excel/2006/main">
          <x14:cfRule type="expression" priority="1137" id="{FE728E06-2CB2-4464-987A-B1C3A14CE5BA}">
            <xm:f>I312='[IV2_Seq9 - Notes ver4.6 - Rev0.xlsm]Categories'!#REF!</xm:f>
            <x14:dxf>
              <font>
                <b/>
                <i val="0"/>
              </font>
            </x14:dxf>
          </x14:cfRule>
          <xm:sqref>O312</xm:sqref>
        </x14:conditionalFormatting>
        <x14:conditionalFormatting xmlns:xm="http://schemas.microsoft.com/office/excel/2006/main">
          <x14:cfRule type="expression" priority="1135" id="{3D923707-A36D-4C7E-B05E-B31E2CF0CB62}">
            <xm:f>I319='[IV2_Seq9 - Notes ver4.6 - Rev0.xlsm]Categories'!#REF!</xm:f>
            <x14:dxf>
              <font>
                <b/>
                <i val="0"/>
              </font>
            </x14:dxf>
          </x14:cfRule>
          <xm:sqref>L319</xm:sqref>
        </x14:conditionalFormatting>
        <x14:conditionalFormatting xmlns:xm="http://schemas.microsoft.com/office/excel/2006/main">
          <x14:cfRule type="expression" priority="1134" id="{DDB48EC5-2795-4FD8-A34F-5CABD1058BCC}">
            <xm:f>I318='[IV2_Seq9 - Notes ver4.6 - Rev0.xlsm]Categories'!#REF!</xm:f>
            <x14:dxf>
              <font>
                <b/>
                <i val="0"/>
              </font>
            </x14:dxf>
          </x14:cfRule>
          <xm:sqref>L318</xm:sqref>
        </x14:conditionalFormatting>
        <x14:conditionalFormatting xmlns:xm="http://schemas.microsoft.com/office/excel/2006/main">
          <x14:cfRule type="expression" priority="1133" id="{CA883C2D-DA78-437C-A454-3B470B89513D}">
            <xm:f>I318='[IV2_Seq9 - Notes ver4.6 - Rev0.xlsm]Categories'!#REF!</xm:f>
            <x14:dxf>
              <font>
                <b/>
                <i val="0"/>
              </font>
            </x14:dxf>
          </x14:cfRule>
          <xm:sqref>O318:O319</xm:sqref>
        </x14:conditionalFormatting>
        <x14:conditionalFormatting xmlns:xm="http://schemas.microsoft.com/office/excel/2006/main">
          <x14:cfRule type="expression" priority="1131" id="{78D67AC9-EFE9-4C31-9937-8E10F1B83995}">
            <xm:f>I321='[IV2_Seq9 - Notes ver4.6 - Rev0.xlsm]Categories'!#REF!</xm:f>
            <x14:dxf>
              <font>
                <b/>
                <i val="0"/>
              </font>
            </x14:dxf>
          </x14:cfRule>
          <xm:sqref>L321</xm:sqref>
        </x14:conditionalFormatting>
        <x14:conditionalFormatting xmlns:xm="http://schemas.microsoft.com/office/excel/2006/main">
          <x14:cfRule type="expression" priority="1130" id="{09EFA16B-57CE-495F-AA79-D58997817B2C}">
            <xm:f>I320='[IV2_Seq9 - Notes ver4.6 - Rev0.xlsm]Categories'!#REF!</xm:f>
            <x14:dxf>
              <font>
                <b/>
                <i val="0"/>
              </font>
            </x14:dxf>
          </x14:cfRule>
          <xm:sqref>L320</xm:sqref>
        </x14:conditionalFormatting>
        <x14:conditionalFormatting xmlns:xm="http://schemas.microsoft.com/office/excel/2006/main">
          <x14:cfRule type="expression" priority="1129" id="{043EB5B2-78D9-43B3-A5DE-93B870091FB2}">
            <xm:f>I320='[IV2_Seq9 - Notes ver4.6 - Rev0.xlsm]Categories'!#REF!</xm:f>
            <x14:dxf>
              <font>
                <b/>
                <i val="0"/>
              </font>
            </x14:dxf>
          </x14:cfRule>
          <xm:sqref>O320:O321</xm:sqref>
        </x14:conditionalFormatting>
        <x14:conditionalFormatting xmlns:xm="http://schemas.microsoft.com/office/excel/2006/main">
          <x14:cfRule type="containsText" priority="1121" operator="containsText" id="{B6A27126-04B2-438D-88EA-42699FD371B3}">
            <xm:f>NOT(ISERROR(SEARCH("-",G98)))</xm:f>
            <xm:f>"-"</xm:f>
            <x14:dxf>
              <fill>
                <patternFill>
                  <bgColor theme="0" tint="-4.9989318521683403E-2"/>
                </patternFill>
              </fill>
            </x14:dxf>
          </x14:cfRule>
          <xm:sqref>G98</xm:sqref>
        </x14:conditionalFormatting>
        <x14:conditionalFormatting xmlns:xm="http://schemas.microsoft.com/office/excel/2006/main">
          <x14:cfRule type="containsText" priority="1111" operator="containsText" id="{73D10A82-3736-4369-9A24-32379300C3EE}">
            <xm:f>NOT(ISERROR(SEARCH("-",G111)))</xm:f>
            <xm:f>"-"</xm:f>
            <x14:dxf>
              <fill>
                <patternFill>
                  <bgColor theme="0" tint="-4.9989318521683403E-2"/>
                </patternFill>
              </fill>
            </x14:dxf>
          </x14:cfRule>
          <xm:sqref>G111</xm:sqref>
        </x14:conditionalFormatting>
        <x14:conditionalFormatting xmlns:xm="http://schemas.microsoft.com/office/excel/2006/main">
          <x14:cfRule type="containsText" priority="1125" operator="containsText" id="{33466697-C098-41EE-ACB6-05C1554B27EF}">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119" id="{240A6EE0-7650-404B-AE59-2535B51466D8}">
            <xm:f>I97='[IV2_Seq9 - Notes ver4.6 - Rev0.xlsm]Categories'!#REF!</xm:f>
            <x14:dxf>
              <font>
                <b/>
                <i val="0"/>
              </font>
            </x14:dxf>
          </x14:cfRule>
          <xm:sqref>L97:L99</xm:sqref>
        </x14:conditionalFormatting>
        <x14:conditionalFormatting xmlns:xm="http://schemas.microsoft.com/office/excel/2006/main">
          <x14:cfRule type="expression" priority="1118" id="{D0FAEA58-85A7-474B-844B-5D0F17542F5F}">
            <xm:f>I100='[IV2_Seq9 - Notes ver4.6 - Rev0.xlsm]Categories'!#REF!</xm:f>
            <x14:dxf>
              <font>
                <b/>
                <i val="0"/>
              </font>
            </x14:dxf>
          </x14:cfRule>
          <xm:sqref>L100:L102 L107:L108 L110</xm:sqref>
        </x14:conditionalFormatting>
        <x14:conditionalFormatting xmlns:xm="http://schemas.microsoft.com/office/excel/2006/main">
          <x14:cfRule type="containsText" priority="1115" operator="containsText" id="{20120B2E-EC0D-452B-A363-92954207D840}">
            <xm:f>NOT(ISERROR(SEARCH("-",G110)))</xm:f>
            <xm:f>"-"</xm:f>
            <x14:dxf>
              <fill>
                <patternFill>
                  <bgColor theme="0" tint="-4.9989318521683403E-2"/>
                </patternFill>
              </fill>
            </x14:dxf>
          </x14:cfRule>
          <xm:sqref>G110</xm:sqref>
        </x14:conditionalFormatting>
        <x14:conditionalFormatting xmlns:xm="http://schemas.microsoft.com/office/excel/2006/main">
          <x14:cfRule type="expression" priority="1109" id="{564882F0-C79E-4D34-8CED-C03639285D1A}">
            <xm:f>I112='[IV2_Seq9 - Notes ver4.6 - Rev0.xlsm]Categories'!#REF!</xm:f>
            <x14:dxf>
              <font>
                <b/>
                <i val="0"/>
              </font>
            </x14:dxf>
          </x14:cfRule>
          <xm:sqref>L112</xm:sqref>
        </x14:conditionalFormatting>
        <x14:conditionalFormatting xmlns:xm="http://schemas.microsoft.com/office/excel/2006/main">
          <x14:cfRule type="expression" priority="1108" id="{08EF7853-99D4-4786-B5EA-B46A577BB8CB}">
            <xm:f>I111='[IV2_Seq9 - Notes ver4.6 - Rev0.xlsm]Categories'!#REF!</xm:f>
            <x14:dxf>
              <font>
                <b/>
                <i val="0"/>
              </font>
            </x14:dxf>
          </x14:cfRule>
          <xm:sqref>L111</xm:sqref>
        </x14:conditionalFormatting>
        <x14:conditionalFormatting xmlns:xm="http://schemas.microsoft.com/office/excel/2006/main">
          <x14:cfRule type="expression" priority="1107" id="{1D4F022B-ADDF-4C54-A3B9-02BEB1E4747D}">
            <xm:f>I113='[IV2_Seq9 - Notes ver4.6 - Rev0.xlsm]Categories'!#REF!</xm:f>
            <x14:dxf>
              <font>
                <b/>
                <i val="0"/>
              </font>
            </x14:dxf>
          </x14:cfRule>
          <xm:sqref>L113</xm:sqref>
        </x14:conditionalFormatting>
        <x14:conditionalFormatting xmlns:xm="http://schemas.microsoft.com/office/excel/2006/main">
          <x14:cfRule type="expression" priority="1106" id="{7F552F08-FEB5-4359-A9DE-F2708C8757E8}">
            <xm:f>I122='[IV2_Seq9 - Notes ver4.6 - Rev0.xlsm]Categories'!#REF!</xm:f>
            <x14:dxf>
              <font>
                <b/>
                <i val="0"/>
              </font>
            </x14:dxf>
          </x14:cfRule>
          <xm:sqref>L122</xm:sqref>
        </x14:conditionalFormatting>
        <x14:conditionalFormatting xmlns:xm="http://schemas.microsoft.com/office/excel/2006/main">
          <x14:cfRule type="containsText" priority="1103" operator="containsText" id="{18911BE4-0204-41E9-869F-DEA73E4C0C87}">
            <xm:f>NOT(ISERROR(SEARCH("-",G122)))</xm:f>
            <xm:f>"-"</xm:f>
            <x14:dxf>
              <fill>
                <patternFill>
                  <bgColor theme="0" tint="-4.9989318521683403E-2"/>
                </patternFill>
              </fill>
            </x14:dxf>
          </x14:cfRule>
          <xm:sqref>G122</xm:sqref>
        </x14:conditionalFormatting>
        <x14:conditionalFormatting xmlns:xm="http://schemas.microsoft.com/office/excel/2006/main">
          <x14:cfRule type="containsText" priority="1099" operator="containsText" id="{0A19EADB-56FD-4205-9462-BD90FB5DF2E7}">
            <xm:f>NOT(ISERROR(SEARCH("-",G167)))</xm:f>
            <xm:f>"-"</xm:f>
            <x14:dxf>
              <fill>
                <patternFill>
                  <bgColor theme="0" tint="-4.9989318521683403E-2"/>
                </patternFill>
              </fill>
            </x14:dxf>
          </x14:cfRule>
          <xm:sqref>G167</xm:sqref>
        </x14:conditionalFormatting>
        <x14:conditionalFormatting xmlns:xm="http://schemas.microsoft.com/office/excel/2006/main">
          <x14:cfRule type="expression" priority="1097" id="{1136BC92-0DE1-4CA5-B69B-7D32B277B1CD}">
            <xm:f>I168='[IV2_Seq9 - Notes ver4.6 - Rev0.xlsm]Categories'!#REF!</xm:f>
            <x14:dxf>
              <font>
                <b/>
                <i val="0"/>
              </font>
            </x14:dxf>
          </x14:cfRule>
          <xm:sqref>L168</xm:sqref>
        </x14:conditionalFormatting>
        <x14:conditionalFormatting xmlns:xm="http://schemas.microsoft.com/office/excel/2006/main">
          <x14:cfRule type="expression" priority="1096" id="{ABC0F329-FA88-4CAE-9DC2-122921E09131}">
            <xm:f>I167='[IV2_Seq9 - Notes ver4.6 - Rev0.xlsm]Categories'!#REF!</xm:f>
            <x14:dxf>
              <font>
                <b/>
                <i val="0"/>
              </font>
            </x14:dxf>
          </x14:cfRule>
          <xm:sqref>L167</xm:sqref>
        </x14:conditionalFormatting>
        <x14:conditionalFormatting xmlns:xm="http://schemas.microsoft.com/office/excel/2006/main">
          <x14:cfRule type="expression" priority="1095" id="{785C4D0D-2E15-4A37-A86A-7B788677647B}">
            <xm:f>I169='[IV2_Seq9 - Notes ver4.6 - Rev0.xlsm]Categories'!#REF!</xm:f>
            <x14:dxf>
              <font>
                <b/>
                <i val="0"/>
              </font>
            </x14:dxf>
          </x14:cfRule>
          <xm:sqref>L169 L174:L177</xm:sqref>
        </x14:conditionalFormatting>
        <x14:conditionalFormatting xmlns:xm="http://schemas.microsoft.com/office/excel/2006/main">
          <x14:cfRule type="expression" priority="1094" id="{58385AD2-E670-42A7-97A3-0CE3071FBE84}">
            <xm:f>I178='[IV2_Seq9 - Notes ver4.6 - Rev0.xlsm]Categories'!#REF!</xm:f>
            <x14:dxf>
              <font>
                <b/>
                <i val="0"/>
              </font>
            </x14:dxf>
          </x14:cfRule>
          <xm:sqref>L178</xm:sqref>
        </x14:conditionalFormatting>
        <x14:conditionalFormatting xmlns:xm="http://schemas.microsoft.com/office/excel/2006/main">
          <x14:cfRule type="containsText" priority="1091" operator="containsText" id="{23880C17-1824-401A-B045-C7522B6C43E9}">
            <xm:f>NOT(ISERROR(SEARCH("-",G178)))</xm:f>
            <xm:f>"-"</xm:f>
            <x14:dxf>
              <fill>
                <patternFill>
                  <bgColor theme="0" tint="-4.9989318521683403E-2"/>
                </patternFill>
              </fill>
            </x14:dxf>
          </x14:cfRule>
          <xm:sqref>G178</xm:sqref>
        </x14:conditionalFormatting>
        <x14:conditionalFormatting xmlns:xm="http://schemas.microsoft.com/office/excel/2006/main">
          <x14:cfRule type="containsText" priority="1087" operator="containsText" id="{DAD7DE92-2C6C-4DB9-9F49-DDCCBA8D7C16}">
            <xm:f>NOT(ISERROR(SEARCH("-",G179)))</xm:f>
            <xm:f>"-"</xm:f>
            <x14:dxf>
              <fill>
                <patternFill>
                  <bgColor theme="0" tint="-4.9989318521683403E-2"/>
                </patternFill>
              </fill>
            </x14:dxf>
          </x14:cfRule>
          <xm:sqref>G179</xm:sqref>
        </x14:conditionalFormatting>
        <x14:conditionalFormatting xmlns:xm="http://schemas.microsoft.com/office/excel/2006/main">
          <x14:cfRule type="expression" priority="1085" id="{1B1817F6-66CA-44FB-8AC9-4C6C50032628}">
            <xm:f>I180='[IV2_Seq9 - Notes ver4.6 - Rev0.xlsm]Categories'!#REF!</xm:f>
            <x14:dxf>
              <font>
                <b/>
                <i val="0"/>
              </font>
            </x14:dxf>
          </x14:cfRule>
          <xm:sqref>L180</xm:sqref>
        </x14:conditionalFormatting>
        <x14:conditionalFormatting xmlns:xm="http://schemas.microsoft.com/office/excel/2006/main">
          <x14:cfRule type="expression" priority="1084" id="{C5A17D44-4C34-4A78-A9EA-5D93C3E57795}">
            <xm:f>I179='[IV2_Seq9 - Notes ver4.6 - Rev0.xlsm]Categories'!#REF!</xm:f>
            <x14:dxf>
              <font>
                <b/>
                <i val="0"/>
              </font>
            </x14:dxf>
          </x14:cfRule>
          <xm:sqref>L179</xm:sqref>
        </x14:conditionalFormatting>
        <x14:conditionalFormatting xmlns:xm="http://schemas.microsoft.com/office/excel/2006/main">
          <x14:cfRule type="expression" priority="1083" id="{9DED6A94-9E90-4D55-9DA5-556FA18F7668}">
            <xm:f>I181='[IV2_Seq9 - Notes ver4.6 - Rev0.xlsm]Categories'!#REF!</xm:f>
            <x14:dxf>
              <font>
                <b/>
                <i val="0"/>
              </font>
            </x14:dxf>
          </x14:cfRule>
          <xm:sqref>L181 L186:L189</xm:sqref>
        </x14:conditionalFormatting>
        <x14:conditionalFormatting xmlns:xm="http://schemas.microsoft.com/office/excel/2006/main">
          <x14:cfRule type="expression" priority="1082" id="{932DDD7C-002A-4F59-AE46-95634B10C74E}">
            <xm:f>I97='[IV2_Seq9 - Notes ver4.6 - Rev0.xlsm]Categories'!#REF!</xm:f>
            <x14:dxf>
              <font>
                <b/>
                <i val="0"/>
              </font>
            </x14:dxf>
          </x14:cfRule>
          <xm:sqref>O97</xm:sqref>
        </x14:conditionalFormatting>
        <x14:conditionalFormatting xmlns:xm="http://schemas.microsoft.com/office/excel/2006/main">
          <x14:cfRule type="expression" priority="1078" id="{75335F0C-4FCB-459F-8AB3-EC30AF4032FB}">
            <xm:f>I98='[IV2_Seq9 - Notes ver4.6 - Rev0.xlsm]Categories'!#REF!</xm:f>
            <x14:dxf>
              <font>
                <b/>
                <i val="0"/>
              </font>
            </x14:dxf>
          </x14:cfRule>
          <xm:sqref>O98</xm:sqref>
        </x14:conditionalFormatting>
        <x14:conditionalFormatting xmlns:xm="http://schemas.microsoft.com/office/excel/2006/main">
          <x14:cfRule type="expression" priority="1077" id="{8F0E3EB3-D85B-4977-B40E-5865CD58C379}">
            <xm:f>I99='[IV2_Seq9 - Notes ver4.6 - Rev0.xlsm]Categories'!#REF!</xm:f>
            <x14:dxf>
              <font>
                <b/>
                <i val="0"/>
              </font>
            </x14:dxf>
          </x14:cfRule>
          <xm:sqref>O99:O102</xm:sqref>
        </x14:conditionalFormatting>
        <x14:conditionalFormatting xmlns:xm="http://schemas.microsoft.com/office/excel/2006/main">
          <x14:cfRule type="expression" priority="1076" id="{47AFEF17-BE9B-4FDB-B914-A58C71346B80}">
            <xm:f>I105='[IV2_Seq9 - Notes ver4.6 - Rev0.xlsm]Categories'!#REF!</xm:f>
            <x14:dxf>
              <font>
                <b/>
                <i val="0"/>
              </font>
            </x14:dxf>
          </x14:cfRule>
          <xm:sqref>L105:L106</xm:sqref>
        </x14:conditionalFormatting>
        <x14:conditionalFormatting xmlns:xm="http://schemas.microsoft.com/office/excel/2006/main">
          <x14:cfRule type="expression" priority="1074" id="{AE9DD3EB-AECE-4060-A0DD-881EFB7C802A}">
            <xm:f>I105='[IV2_Seq9 - Notes ver4.6 - Rev0.xlsm]Categories'!#REF!</xm:f>
            <x14:dxf>
              <font>
                <b/>
                <i val="0"/>
              </font>
            </x14:dxf>
          </x14:cfRule>
          <xm:sqref>O105:O106</xm:sqref>
        </x14:conditionalFormatting>
        <x14:conditionalFormatting xmlns:xm="http://schemas.microsoft.com/office/excel/2006/main">
          <x14:cfRule type="expression" priority="1073" id="{72EBC9CB-E22D-49E7-87AC-855F3987E908}">
            <xm:f>I103='[IV2_Seq9 - Notes ver4.6 - Rev0.xlsm]Categories'!#REF!</xm:f>
            <x14:dxf>
              <font>
                <b/>
                <i val="0"/>
              </font>
            </x14:dxf>
          </x14:cfRule>
          <xm:sqref>L103:L104</xm:sqref>
        </x14:conditionalFormatting>
        <x14:conditionalFormatting xmlns:xm="http://schemas.microsoft.com/office/excel/2006/main">
          <x14:cfRule type="expression" priority="1071" id="{64A8B329-D72A-46E4-8559-5BE7868B3B34}">
            <xm:f>I103='[IV2_Seq9 - Notes ver4.6 - Rev0.xlsm]Categories'!#REF!</xm:f>
            <x14:dxf>
              <font>
                <b/>
                <i val="0"/>
              </font>
            </x14:dxf>
          </x14:cfRule>
          <xm:sqref>O103:O104</xm:sqref>
        </x14:conditionalFormatting>
        <x14:conditionalFormatting xmlns:xm="http://schemas.microsoft.com/office/excel/2006/main">
          <x14:cfRule type="expression" priority="1070" id="{D5AB3656-7CAA-43C9-903E-280A0DCD9CBE}">
            <xm:f>I116='[IV2_Seq9 - Notes ver4.6 - Rev0.xlsm]Categories'!#REF!</xm:f>
            <x14:dxf>
              <font>
                <b/>
                <i val="0"/>
              </font>
            </x14:dxf>
          </x14:cfRule>
          <xm:sqref>L116:L117</xm:sqref>
        </x14:conditionalFormatting>
        <x14:conditionalFormatting xmlns:xm="http://schemas.microsoft.com/office/excel/2006/main">
          <x14:cfRule type="expression" priority="1068" id="{B3BCC24F-530F-4B9D-9BF0-DBD9A38DF20F}">
            <xm:f>I114='[IV2_Seq9 - Notes ver4.6 - Rev0.xlsm]Categories'!#REF!</xm:f>
            <x14:dxf>
              <font>
                <b/>
                <i val="0"/>
              </font>
            </x14:dxf>
          </x14:cfRule>
          <xm:sqref>L114:L115</xm:sqref>
        </x14:conditionalFormatting>
        <x14:conditionalFormatting xmlns:xm="http://schemas.microsoft.com/office/excel/2006/main">
          <x14:cfRule type="expression" priority="1066" id="{81297AA1-97A1-4080-B34E-EEFAB516E093}">
            <xm:f>I172='[IV2_Seq9 - Notes ver4.6 - Rev0.xlsm]Categories'!#REF!</xm:f>
            <x14:dxf>
              <font>
                <b/>
                <i val="0"/>
              </font>
            </x14:dxf>
          </x14:cfRule>
          <xm:sqref>L172:L173</xm:sqref>
        </x14:conditionalFormatting>
        <x14:conditionalFormatting xmlns:xm="http://schemas.microsoft.com/office/excel/2006/main">
          <x14:cfRule type="expression" priority="1064" id="{D5936BE1-03F1-48F7-88C1-7FD111E060F2}">
            <xm:f>I170='[IV2_Seq9 - Notes ver4.6 - Rev0.xlsm]Categories'!#REF!</xm:f>
            <x14:dxf>
              <font>
                <b/>
                <i val="0"/>
              </font>
            </x14:dxf>
          </x14:cfRule>
          <xm:sqref>L170:L171</xm:sqref>
        </x14:conditionalFormatting>
        <x14:conditionalFormatting xmlns:xm="http://schemas.microsoft.com/office/excel/2006/main">
          <x14:cfRule type="expression" priority="1062" id="{162E7E7D-0578-4E9C-B03F-96A692403D78}">
            <xm:f>I184='[IV2_Seq9 - Notes ver4.6 - Rev0.xlsm]Categories'!#REF!</xm:f>
            <x14:dxf>
              <font>
                <b/>
                <i val="0"/>
              </font>
            </x14:dxf>
          </x14:cfRule>
          <xm:sqref>L184:L185</xm:sqref>
        </x14:conditionalFormatting>
        <x14:conditionalFormatting xmlns:xm="http://schemas.microsoft.com/office/excel/2006/main">
          <x14:cfRule type="expression" priority="1060" id="{2EBCB78A-4F8E-46AD-A32F-6D2C2BD5E829}">
            <xm:f>I182='[IV2_Seq9 - Notes ver4.6 - Rev0.xlsm]Categories'!#REF!</xm:f>
            <x14:dxf>
              <font>
                <b/>
                <i val="0"/>
              </font>
            </x14:dxf>
          </x14:cfRule>
          <xm:sqref>L182:L183</xm:sqref>
        </x14:conditionalFormatting>
        <x14:conditionalFormatting xmlns:xm="http://schemas.microsoft.com/office/excel/2006/main">
          <x14:cfRule type="containsText" priority="1055" operator="containsText" id="{7D5E67BB-3789-4F57-BA93-EA245037E92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053" id="{7FD19DAC-61F0-4C9D-AA86-0B414CF6028C}">
            <xm:f>I63='[IV2_Seq9 - Notes ver4.6 - Rev0.xlsm]Categories'!#REF!</xm:f>
            <x14:dxf>
              <font>
                <b/>
                <i val="0"/>
              </font>
            </x14:dxf>
          </x14:cfRule>
          <xm:sqref>L63</xm:sqref>
        </x14:conditionalFormatting>
        <x14:conditionalFormatting xmlns:xm="http://schemas.microsoft.com/office/excel/2006/main">
          <x14:cfRule type="containsText" priority="1050" operator="containsText" id="{50FE9E32-907F-4671-9E89-C5F14682ABC0}">
            <xm:f>NOT(ISERROR(SEARCH("-",G96)))</xm:f>
            <xm:f>"-"</xm:f>
            <x14:dxf>
              <fill>
                <patternFill>
                  <bgColor theme="0" tint="-4.9989318521683403E-2"/>
                </patternFill>
              </fill>
            </x14:dxf>
          </x14:cfRule>
          <xm:sqref>G96</xm:sqref>
        </x14:conditionalFormatting>
        <x14:conditionalFormatting xmlns:xm="http://schemas.microsoft.com/office/excel/2006/main">
          <x14:cfRule type="expression" priority="1048" id="{FD23441B-0FF5-4649-836E-D5D5FB36162E}">
            <xm:f>I96='[IV2_Seq9 - Notes ver4.6 - Rev0.xlsm]Categories'!#REF!</xm:f>
            <x14:dxf>
              <font>
                <b/>
                <i val="0"/>
              </font>
            </x14:dxf>
          </x14:cfRule>
          <xm:sqref>L96</xm:sqref>
        </x14:conditionalFormatting>
        <x14:conditionalFormatting xmlns:xm="http://schemas.microsoft.com/office/excel/2006/main">
          <x14:cfRule type="expression" priority="1047" id="{0EA55935-07BA-41BF-9FE3-538B3041AC2B}">
            <xm:f>I96='[IV2_Seq9 - Notes ver4.6 - Rev0.xlsm]Categories'!#REF!</xm:f>
            <x14:dxf>
              <font>
                <b/>
                <i val="0"/>
              </font>
            </x14:dxf>
          </x14:cfRule>
          <xm:sqref>O96 O273 O287:O293 O298:O304</xm:sqref>
        </x14:conditionalFormatting>
        <x14:conditionalFormatting xmlns:xm="http://schemas.microsoft.com/office/excel/2006/main">
          <x14:cfRule type="containsText" priority="1043" operator="containsText" id="{83518D8A-3159-4F5C-AA6A-BBA0E536BAFC}">
            <xm:f>NOT(ISERROR(SEARCH("-",G65)))</xm:f>
            <xm:f>"-"</xm:f>
            <x14:dxf>
              <fill>
                <patternFill>
                  <bgColor theme="0" tint="-4.9989318521683403E-2"/>
                </patternFill>
              </fill>
            </x14:dxf>
          </x14:cfRule>
          <xm:sqref>G65:G70</xm:sqref>
        </x14:conditionalFormatting>
        <x14:conditionalFormatting xmlns:xm="http://schemas.microsoft.com/office/excel/2006/main">
          <x14:cfRule type="expression" priority="1041" id="{3D2DF12A-C4D9-4868-8D57-A67CDEBFE2AF}">
            <xm:f>I47='[IV2_Seq9 - Notes ver4.6 - Rev0.xlsm]Categories'!#REF!</xm:f>
            <x14:dxf>
              <font>
                <b/>
                <i val="0"/>
              </font>
            </x14:dxf>
          </x14:cfRule>
          <xm:sqref>O63 O47:O60</xm:sqref>
        </x14:conditionalFormatting>
        <x14:conditionalFormatting xmlns:xm="http://schemas.microsoft.com/office/excel/2006/main">
          <x14:cfRule type="containsText" priority="1038" operator="containsText" id="{1AE96779-B37E-4E9D-8EA5-0DE1FADC07A7}">
            <xm:f>NOT(ISERROR(SEARCH("-",G73)))</xm:f>
            <xm:f>"-"</xm:f>
            <x14:dxf>
              <fill>
                <patternFill>
                  <bgColor theme="0" tint="-4.9989318521683403E-2"/>
                </patternFill>
              </fill>
            </x14:dxf>
          </x14:cfRule>
          <xm:sqref>G73:G78</xm:sqref>
        </x14:conditionalFormatting>
        <x14:conditionalFormatting xmlns:xm="http://schemas.microsoft.com/office/excel/2006/main">
          <x14:cfRule type="containsText" priority="1034" operator="containsText" id="{8A1C772F-A763-4F20-B749-C777FF65B3D6}">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1030" operator="containsText" id="{2245731F-E94B-4513-AAE8-857B8D0DD156}">
            <xm:f>NOT(ISERROR(SEARCH("-",G89)))</xm:f>
            <xm:f>"-"</xm:f>
            <x14:dxf>
              <fill>
                <patternFill>
                  <bgColor theme="0" tint="-4.9989318521683403E-2"/>
                </patternFill>
              </fill>
            </x14:dxf>
          </x14:cfRule>
          <xm:sqref>G96 G89:G94</xm:sqref>
        </x14:conditionalFormatting>
        <x14:conditionalFormatting xmlns:xm="http://schemas.microsoft.com/office/excel/2006/main">
          <x14:cfRule type="containsText" priority="1010" operator="containsText" id="{B6E0359D-FFDB-496E-A19D-C6ACAAA4DC2E}">
            <xm:f>NOT(ISERROR(SEARCH("-",G312)))</xm:f>
            <xm:f>"-"</xm:f>
            <x14:dxf>
              <fill>
                <patternFill>
                  <bgColor theme="0" tint="-4.9989318521683403E-2"/>
                </patternFill>
              </fill>
            </x14:dxf>
          </x14:cfRule>
          <xm:sqref>G312</xm:sqref>
        </x14:conditionalFormatting>
        <x14:conditionalFormatting xmlns:xm="http://schemas.microsoft.com/office/excel/2006/main">
          <x14:cfRule type="expression" priority="1007" id="{43A75551-E043-4A45-AC87-B3D3BF24B15A}">
            <xm:f>I61='[IV2_Seq9 - Notes ver4.6 - Rev0.xlsm]Categories'!#REF!</xm:f>
            <x14:dxf>
              <font>
                <b/>
                <i val="0"/>
              </font>
            </x14:dxf>
          </x14:cfRule>
          <xm:sqref>L61</xm:sqref>
        </x14:conditionalFormatting>
        <x14:conditionalFormatting xmlns:xm="http://schemas.microsoft.com/office/excel/2006/main">
          <x14:cfRule type="containsText" priority="1005" operator="containsText" id="{791888E0-8715-44EC-9D18-523B8E224F6E}">
            <xm:f>NOT(ISERROR(SEARCH("-",Q4)))</xm:f>
            <xm:f>"-"</xm:f>
            <x14:dxf>
              <fill>
                <patternFill>
                  <bgColor theme="0"/>
                </patternFill>
              </fill>
            </x14:dxf>
          </x14:cfRule>
          <x14:cfRule type="notContainsText" priority="1006" operator="notContains" id="{8EE9F1AA-B079-4692-9EB3-A1340908A222}">
            <xm:f>ISERROR(SEARCH("-",Q4))</xm:f>
            <xm:f>"-"</xm:f>
            <x14:dxf>
              <fill>
                <patternFill>
                  <bgColor theme="0" tint="-4.9989318521683403E-2"/>
                </patternFill>
              </fill>
            </x14:dxf>
          </x14:cfRule>
          <xm:sqref>Q4:Q11 Q312:Q324 Q96:Q108 Q61:Q94 Q167:Q209 Q110:Q122 Q211:Q253 Q283:Q303</xm:sqref>
        </x14:conditionalFormatting>
        <x14:conditionalFormatting xmlns:xm="http://schemas.microsoft.com/office/excel/2006/main">
          <x14:cfRule type="expression" priority="978" id="{1F247038-E01A-4757-80B7-14621AD1B020}">
            <xm:f>I61='[IV2_Seq9 - Notes ver4.6 - Rev0.xlsm]Categories'!#REF!</xm:f>
            <x14:dxf>
              <font>
                <b/>
                <i val="0"/>
              </font>
            </x14:dxf>
          </x14:cfRule>
          <xm:sqref>O61</xm:sqref>
        </x14:conditionalFormatting>
        <x14:conditionalFormatting xmlns:xm="http://schemas.microsoft.com/office/excel/2006/main">
          <x14:cfRule type="containsText" priority="975"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959" operator="containsText" id="{B92D1EC4-7E8B-4366-92B4-0B088F282389}">
            <xm:f>NOT(ISERROR(SEARCH("-",G65)))</xm:f>
            <xm:f>"-"</xm:f>
            <x14:dxf>
              <fill>
                <patternFill>
                  <bgColor theme="0" tint="-4.9989318521683403E-2"/>
                </patternFill>
              </fill>
            </x14:dxf>
          </x14:cfRule>
          <xm:sqref>G65:G70</xm:sqref>
        </x14:conditionalFormatting>
        <x14:conditionalFormatting xmlns:xm="http://schemas.microsoft.com/office/excel/2006/main">
          <x14:cfRule type="containsText" priority="955" operator="containsText" id="{79BF95EA-3045-44EF-B74D-8BE592D90B85}">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951" operator="containsText" id="{7BE61A34-619A-4EDE-83B3-57791A042B4F}">
            <xm:f>NOT(ISERROR(SEARCH("-",G89)))</xm:f>
            <xm:f>"-"</xm:f>
            <x14:dxf>
              <fill>
                <patternFill>
                  <bgColor theme="0" tint="-4.9989318521683403E-2"/>
                </patternFill>
              </fill>
            </x14:dxf>
          </x14:cfRule>
          <xm:sqref>G96 G89:G94</xm:sqref>
        </x14:conditionalFormatting>
        <x14:conditionalFormatting xmlns:xm="http://schemas.microsoft.com/office/excel/2006/main">
          <x14:cfRule type="containsText" priority="947" operator="containsText" id="{925E04F2-F002-4E5E-AB4E-9888676CEA5D}">
            <xm:f>NOT(ISERROR(SEARCH("-",G313)))</xm:f>
            <xm:f>"-"</xm:f>
            <x14:dxf>
              <fill>
                <patternFill>
                  <bgColor theme="0" tint="-4.9989318521683403E-2"/>
                </patternFill>
              </fill>
            </x14:dxf>
          </x14:cfRule>
          <xm:sqref>G313:G323</xm:sqref>
        </x14:conditionalFormatting>
        <x14:conditionalFormatting xmlns:xm="http://schemas.microsoft.com/office/excel/2006/main">
          <x14:cfRule type="containsText" priority="943" operator="containsText" id="{47FD96F6-4210-4A69-9AE7-53BEF091EE48}">
            <xm:f>NOT(ISERROR(SEARCH("-",G313)))</xm:f>
            <xm:f>"-"</xm:f>
            <x14:dxf>
              <fill>
                <patternFill>
                  <bgColor theme="0" tint="-4.9989318521683403E-2"/>
                </patternFill>
              </fill>
            </x14:dxf>
          </x14:cfRule>
          <xm:sqref>G313:G323</xm:sqref>
        </x14:conditionalFormatting>
        <x14:conditionalFormatting xmlns:xm="http://schemas.microsoft.com/office/excel/2006/main">
          <x14:cfRule type="expression" priority="854" id="{A33EBB4E-9422-4631-A24F-FF68DEA42478}">
            <xm:f>I254='[IV2_Seq9 - Notes ver4.6 - Rev0.xlsm]Categories'!#REF!</xm:f>
            <x14:dxf>
              <font>
                <b/>
                <i val="0"/>
              </font>
            </x14:dxf>
          </x14:cfRule>
          <xm:sqref>O254:O260</xm:sqref>
        </x14:conditionalFormatting>
        <x14:conditionalFormatting xmlns:xm="http://schemas.microsoft.com/office/excel/2006/main">
          <x14:cfRule type="expression" priority="852" id="{0FD5D7B2-E2A4-46DA-84D3-480F2BADDAF9}">
            <xm:f>I260='[IV2_Seq9 - Notes ver4.6 - Rev0.xlsm]Categories'!#REF!</xm:f>
            <x14:dxf>
              <font>
                <b/>
                <i val="0"/>
              </font>
            </x14:dxf>
          </x14:cfRule>
          <xm:sqref>L260</xm:sqref>
        </x14:conditionalFormatting>
        <x14:conditionalFormatting xmlns:xm="http://schemas.microsoft.com/office/excel/2006/main">
          <x14:cfRule type="expression" priority="851" id="{3A3ED5B4-99FC-485E-9F54-D53A7B4E928D}">
            <xm:f>I258='[IV2_Seq9 - Notes ver4.6 - Rev0.xlsm]Categories'!#REF!</xm:f>
            <x14:dxf>
              <font>
                <b/>
                <i val="0"/>
              </font>
            </x14:dxf>
          </x14:cfRule>
          <xm:sqref>L258</xm:sqref>
        </x14:conditionalFormatting>
        <x14:conditionalFormatting xmlns:xm="http://schemas.microsoft.com/office/excel/2006/main">
          <x14:cfRule type="expression" priority="850" id="{5F3DD873-DEFA-41E3-8105-FE465FF694AC}">
            <xm:f>I256='[IV2_Seq9 - Notes ver4.6 - Rev0.xlsm]Categories'!#REF!</xm:f>
            <x14:dxf>
              <font>
                <b/>
                <i val="0"/>
              </font>
            </x14:dxf>
          </x14:cfRule>
          <xm:sqref>L256</xm:sqref>
        </x14:conditionalFormatting>
        <x14:conditionalFormatting xmlns:xm="http://schemas.microsoft.com/office/excel/2006/main">
          <x14:cfRule type="containsText" priority="847" operator="containsText" id="{3439B065-26BD-48A3-97D4-4285E377EF58}">
            <xm:f>NOT(ISERROR(SEARCH("-",G254)))</xm:f>
            <xm:f>"-"</xm:f>
            <x14:dxf>
              <fill>
                <patternFill>
                  <bgColor theme="0" tint="-4.9989318521683403E-2"/>
                </patternFill>
              </fill>
            </x14:dxf>
          </x14:cfRule>
          <xm:sqref>G254</xm:sqref>
        </x14:conditionalFormatting>
        <x14:conditionalFormatting xmlns:xm="http://schemas.microsoft.com/office/excel/2006/main">
          <x14:cfRule type="expression" priority="845" id="{17191CB2-FFF9-4E0E-A706-7CB4BF11660C}">
            <xm:f>I254='[IV2_Seq9 - Notes ver4.6 - Rev0.xlsm]Categories'!#REF!</xm:f>
            <x14:dxf>
              <font>
                <b/>
                <i val="0"/>
              </font>
            </x14:dxf>
          </x14:cfRule>
          <xm:sqref>L254</xm:sqref>
        </x14:conditionalFormatting>
        <x14:conditionalFormatting xmlns:xm="http://schemas.microsoft.com/office/excel/2006/main">
          <x14:cfRule type="expression" priority="844" id="{302DFB7C-851F-4A87-8EFC-ECA8B7EC5495}">
            <xm:f>I255='[IV2_Seq9 - Notes ver4.6 - Rev0.xlsm]Categories'!#REF!</xm:f>
            <x14:dxf>
              <font>
                <b/>
                <i val="0"/>
              </font>
            </x14:dxf>
          </x14:cfRule>
          <xm:sqref>L255</xm:sqref>
        </x14:conditionalFormatting>
        <x14:conditionalFormatting xmlns:xm="http://schemas.microsoft.com/office/excel/2006/main">
          <x14:cfRule type="expression" priority="843" id="{2AB47F44-2BA7-4EA9-A647-2821746D5A2D}">
            <xm:f>I257='[IV2_Seq9 - Notes ver4.6 - Rev0.xlsm]Categories'!#REF!</xm:f>
            <x14:dxf>
              <font>
                <b/>
                <i val="0"/>
              </font>
            </x14:dxf>
          </x14:cfRule>
          <xm:sqref>L257</xm:sqref>
        </x14:conditionalFormatting>
        <x14:conditionalFormatting xmlns:xm="http://schemas.microsoft.com/office/excel/2006/main">
          <x14:cfRule type="expression" priority="842" id="{1E4EE60B-59D3-4E23-B2F8-1875F1987CF8}">
            <xm:f>I259='[IV2_Seq9 - Notes ver4.6 - Rev0.xlsm]Categories'!#REF!</xm:f>
            <x14:dxf>
              <font>
                <b/>
                <i val="0"/>
              </font>
            </x14:dxf>
          </x14:cfRule>
          <xm:sqref>L259</xm:sqref>
        </x14:conditionalFormatting>
        <x14:conditionalFormatting xmlns:xm="http://schemas.microsoft.com/office/excel/2006/main">
          <x14:cfRule type="containsText" priority="839" operator="containsText" id="{B7AEA07D-B01E-41E8-B226-7D1FAADF6AE8}">
            <xm:f>NOT(ISERROR(SEARCH("-",Q254)))</xm:f>
            <xm:f>"-"</xm:f>
            <x14:dxf>
              <fill>
                <patternFill>
                  <bgColor theme="0"/>
                </patternFill>
              </fill>
            </x14:dxf>
          </x14:cfRule>
          <x14:cfRule type="notContainsText" priority="840" operator="notContains" id="{323CE3E7-D78F-4BE9-9045-5D41E15ECF14}">
            <xm:f>ISERROR(SEARCH("-",Q254))</xm:f>
            <xm:f>"-"</xm:f>
            <x14:dxf>
              <fill>
                <patternFill>
                  <bgColor theme="0" tint="-4.9989318521683403E-2"/>
                </patternFill>
              </fill>
            </x14:dxf>
          </x14:cfRule>
          <xm:sqref>Q254:Q260</xm:sqref>
        </x14:conditionalFormatting>
        <x14:conditionalFormatting xmlns:xm="http://schemas.microsoft.com/office/excel/2006/main">
          <x14:cfRule type="containsText" priority="834" operator="containsText" id="{6BB47FD5-8AC8-455E-B5B5-359B9BCC978C}">
            <xm:f>NOT(ISERROR(SEARCH("-",G271)))</xm:f>
            <xm:f>"-"</xm:f>
            <x14:dxf>
              <fill>
                <patternFill>
                  <bgColor theme="0" tint="-4.9989318521683403E-2"/>
                </patternFill>
              </fill>
            </x14:dxf>
          </x14:cfRule>
          <xm:sqref>G271:G272 G282</xm:sqref>
        </x14:conditionalFormatting>
        <x14:conditionalFormatting xmlns:xm="http://schemas.microsoft.com/office/excel/2006/main">
          <x14:cfRule type="expression" priority="830" id="{4E8797DE-E42E-42A5-AE9C-95133844CD46}">
            <xm:f>I263='[IV2_Seq9 - Notes ver4.6 - Rev0.xlsm]Categories'!#REF!</xm:f>
            <x14:dxf>
              <font>
                <b/>
                <i val="0"/>
              </font>
            </x14:dxf>
          </x14:cfRule>
          <xm:sqref>L263:L272 L275:L282</xm:sqref>
        </x14:conditionalFormatting>
        <x14:conditionalFormatting xmlns:xm="http://schemas.microsoft.com/office/excel/2006/main">
          <x14:cfRule type="expression" priority="829" id="{850828BF-5099-4C96-A775-93328418410B}">
            <xm:f>I263='[IV2_Seq9 - Notes ver4.6 - Rev0.xlsm]Categories'!#REF!</xm:f>
            <x14:dxf>
              <font>
                <b/>
                <i val="0"/>
              </font>
            </x14:dxf>
          </x14:cfRule>
          <xm:sqref>O263:O272 O275:O282</xm:sqref>
        </x14:conditionalFormatting>
        <x14:conditionalFormatting xmlns:xm="http://schemas.microsoft.com/office/excel/2006/main">
          <x14:cfRule type="containsText" priority="825" operator="containsText" id="{E6BBDF10-75D0-4850-A476-29E10754BBDA}">
            <xm:f>NOT(ISERROR(SEARCH("-",Q304)))</xm:f>
            <xm:f>"-"</xm:f>
            <x14:dxf>
              <fill>
                <patternFill>
                  <bgColor theme="0"/>
                </patternFill>
              </fill>
            </x14:dxf>
          </x14:cfRule>
          <x14:cfRule type="notContainsText" priority="826" operator="notContains" id="{868557CF-89E6-4BFD-959D-9EB7D425A37E}">
            <xm:f>ISERROR(SEARCH("-",Q304))</xm:f>
            <xm:f>"-"</xm:f>
            <x14:dxf>
              <fill>
                <patternFill>
                  <bgColor theme="0" tint="-4.9989318521683403E-2"/>
                </patternFill>
              </fill>
            </x14:dxf>
          </x14:cfRule>
          <xm:sqref>Q304</xm:sqref>
        </x14:conditionalFormatting>
        <x14:conditionalFormatting xmlns:xm="http://schemas.microsoft.com/office/excel/2006/main">
          <x14:cfRule type="expression" priority="820" id="{3B7078B8-82B3-42B7-8890-3842F168052C}">
            <xm:f>I305='[IV2_Seq9 - Notes ver4.6 - Rev0.xlsm]Categories'!#REF!</xm:f>
            <x14:dxf>
              <font>
                <b/>
                <i val="0"/>
              </font>
            </x14:dxf>
          </x14:cfRule>
          <xm:sqref>O305:O311</xm:sqref>
        </x14:conditionalFormatting>
        <x14:conditionalFormatting xmlns:xm="http://schemas.microsoft.com/office/excel/2006/main">
          <x14:cfRule type="expression" priority="818" id="{D16C20F9-6A26-45D2-B031-C4059759D92B}">
            <xm:f>I311='[IV2_Seq9 - Notes ver4.6 - Rev0.xlsm]Categories'!#REF!</xm:f>
            <x14:dxf>
              <font>
                <b/>
                <i val="0"/>
              </font>
            </x14:dxf>
          </x14:cfRule>
          <xm:sqref>L311</xm:sqref>
        </x14:conditionalFormatting>
        <x14:conditionalFormatting xmlns:xm="http://schemas.microsoft.com/office/excel/2006/main">
          <x14:cfRule type="expression" priority="817" id="{62D8CB96-8FA8-4052-914B-E33F57CE0E93}">
            <xm:f>I309='[IV2_Seq9 - Notes ver4.6 - Rev0.xlsm]Categories'!#REF!</xm:f>
            <x14:dxf>
              <font>
                <b/>
                <i val="0"/>
              </font>
            </x14:dxf>
          </x14:cfRule>
          <xm:sqref>L309</xm:sqref>
        </x14:conditionalFormatting>
        <x14:conditionalFormatting xmlns:xm="http://schemas.microsoft.com/office/excel/2006/main">
          <x14:cfRule type="expression" priority="816" id="{004A7074-C5AC-4141-B7FD-8999157A6B7F}">
            <xm:f>I307='[IV2_Seq9 - Notes ver4.6 - Rev0.xlsm]Categories'!#REF!</xm:f>
            <x14:dxf>
              <font>
                <b/>
                <i val="0"/>
              </font>
            </x14:dxf>
          </x14:cfRule>
          <xm:sqref>L307</xm:sqref>
        </x14:conditionalFormatting>
        <x14:conditionalFormatting xmlns:xm="http://schemas.microsoft.com/office/excel/2006/main">
          <x14:cfRule type="containsText" priority="813" operator="containsText" id="{F926F1BB-C73F-49AC-BA39-2816F8165DFC}">
            <xm:f>NOT(ISERROR(SEARCH("-",G305)))</xm:f>
            <xm:f>"-"</xm:f>
            <x14:dxf>
              <fill>
                <patternFill>
                  <bgColor theme="0" tint="-4.9989318521683403E-2"/>
                </patternFill>
              </fill>
            </x14:dxf>
          </x14:cfRule>
          <xm:sqref>G305</xm:sqref>
        </x14:conditionalFormatting>
        <x14:conditionalFormatting xmlns:xm="http://schemas.microsoft.com/office/excel/2006/main">
          <x14:cfRule type="expression" priority="811" id="{AC06236D-37E0-48A4-AE61-C241BC22E322}">
            <xm:f>I305='[IV2_Seq9 - Notes ver4.6 - Rev0.xlsm]Categories'!#REF!</xm:f>
            <x14:dxf>
              <font>
                <b/>
                <i val="0"/>
              </font>
            </x14:dxf>
          </x14:cfRule>
          <xm:sqref>L305</xm:sqref>
        </x14:conditionalFormatting>
        <x14:conditionalFormatting xmlns:xm="http://schemas.microsoft.com/office/excel/2006/main">
          <x14:cfRule type="expression" priority="810" id="{DBFF869D-896A-4AA9-B686-3D6A47289D8B}">
            <xm:f>I306='[IV2_Seq9 - Notes ver4.6 - Rev0.xlsm]Categories'!#REF!</xm:f>
            <x14:dxf>
              <font>
                <b/>
                <i val="0"/>
              </font>
            </x14:dxf>
          </x14:cfRule>
          <xm:sqref>L306</xm:sqref>
        </x14:conditionalFormatting>
        <x14:conditionalFormatting xmlns:xm="http://schemas.microsoft.com/office/excel/2006/main">
          <x14:cfRule type="expression" priority="809" id="{ED15D482-1824-4DD7-B6AC-490E366EC809}">
            <xm:f>I308='[IV2_Seq9 - Notes ver4.6 - Rev0.xlsm]Categories'!#REF!</xm:f>
            <x14:dxf>
              <font>
                <b/>
                <i val="0"/>
              </font>
            </x14:dxf>
          </x14:cfRule>
          <xm:sqref>L308</xm:sqref>
        </x14:conditionalFormatting>
        <x14:conditionalFormatting xmlns:xm="http://schemas.microsoft.com/office/excel/2006/main">
          <x14:cfRule type="expression" priority="808" id="{93344888-57D1-4A06-A45B-CA0C4465BC01}">
            <xm:f>I310='[IV2_Seq9 - Notes ver4.6 - Rev0.xlsm]Categories'!#REF!</xm:f>
            <x14:dxf>
              <font>
                <b/>
                <i val="0"/>
              </font>
            </x14:dxf>
          </x14:cfRule>
          <xm:sqref>L310</xm:sqref>
        </x14:conditionalFormatting>
        <x14:conditionalFormatting xmlns:xm="http://schemas.microsoft.com/office/excel/2006/main">
          <x14:cfRule type="containsText" priority="805" operator="containsText" id="{FB0E5C18-0F06-4ACC-B23B-26092BED3C59}">
            <xm:f>NOT(ISERROR(SEARCH("-",Q305)))</xm:f>
            <xm:f>"-"</xm:f>
            <x14:dxf>
              <fill>
                <patternFill>
                  <bgColor theme="0"/>
                </patternFill>
              </fill>
            </x14:dxf>
          </x14:cfRule>
          <x14:cfRule type="notContainsText" priority="806" operator="notContains" id="{740BA9A8-6C7A-4820-BEDC-70AA1AFACB73}">
            <xm:f>ISERROR(SEARCH("-",Q305))</xm:f>
            <xm:f>"-"</xm:f>
            <x14:dxf>
              <fill>
                <patternFill>
                  <bgColor theme="0" tint="-4.9989318521683403E-2"/>
                </patternFill>
              </fill>
            </x14:dxf>
          </x14:cfRule>
          <xm:sqref>Q305:Q311</xm:sqref>
        </x14:conditionalFormatting>
        <x14:conditionalFormatting xmlns:xm="http://schemas.microsoft.com/office/excel/2006/main">
          <x14:cfRule type="containsText" priority="798" operator="containsText" id="{76E2AE0C-B450-4738-9763-4AD9ABB25B26}">
            <xm:f>NOT(ISERROR(SEARCH("-",G313)))</xm:f>
            <xm:f>"-"</xm:f>
            <x14:dxf>
              <fill>
                <patternFill>
                  <bgColor theme="0" tint="-4.9989318521683403E-2"/>
                </patternFill>
              </fill>
            </x14:dxf>
          </x14:cfRule>
          <xm:sqref>G313:G323</xm:sqref>
        </x14:conditionalFormatting>
        <x14:conditionalFormatting xmlns:xm="http://schemas.microsoft.com/office/excel/2006/main">
          <x14:cfRule type="containsText" priority="786" operator="containsText" id="{E974FB61-6CE3-4B84-94A4-3BD05B0EFE67}">
            <xm:f>NOT(ISERROR(SEARCH("-",G12)))</xm:f>
            <xm:f>"-"</xm:f>
            <x14:dxf>
              <fill>
                <patternFill>
                  <bgColor theme="0" tint="-4.9989318521683403E-2"/>
                </patternFill>
              </fill>
            </x14:dxf>
          </x14:cfRule>
          <xm:sqref>G45 G12:G43</xm:sqref>
        </x14:conditionalFormatting>
        <x14:conditionalFormatting xmlns:xm="http://schemas.microsoft.com/office/excel/2006/main">
          <x14:cfRule type="containsText" priority="780"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777" id="{B9005BA3-CAE1-4D79-8E2B-9848ED104E63}">
            <xm:f>I15='[IV2_Seq9 - Notes ver4.6 - Rev0.xlsm]Categories'!#REF!</xm:f>
            <x14:dxf>
              <font>
                <b/>
                <i val="0"/>
              </font>
            </x14:dxf>
          </x14:cfRule>
          <xm:sqref>L15:L20</xm:sqref>
        </x14:conditionalFormatting>
        <x14:conditionalFormatting xmlns:xm="http://schemas.microsoft.com/office/excel/2006/main">
          <x14:cfRule type="containsText" priority="774"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770"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768" id="{9E7C42A1-EB06-4C73-A223-EA8CBA242F5A}">
            <xm:f>I22='[IV2_Seq9 - Notes ver4.6 - Rev0.xlsm]Categories'!#REF!</xm:f>
            <x14:dxf>
              <font>
                <b/>
                <i val="0"/>
              </font>
            </x14:dxf>
          </x14:cfRule>
          <xm:sqref>L22</xm:sqref>
        </x14:conditionalFormatting>
        <x14:conditionalFormatting xmlns:xm="http://schemas.microsoft.com/office/excel/2006/main">
          <x14:cfRule type="expression" priority="767" id="{702DCC4C-64C6-4AF7-AA08-D50CA53623C5}">
            <xm:f>I21='[IV2_Seq9 - Notes ver4.6 - Rev0.xlsm]Categories'!#REF!</xm:f>
            <x14:dxf>
              <font>
                <b/>
                <i val="0"/>
              </font>
            </x14:dxf>
          </x14:cfRule>
          <xm:sqref>L21</xm:sqref>
        </x14:conditionalFormatting>
        <x14:conditionalFormatting xmlns:xm="http://schemas.microsoft.com/office/excel/2006/main">
          <x14:cfRule type="expression" priority="766" id="{F8EC678D-0FE9-4DC4-B736-A45AD64E4108}">
            <xm:f>I23='[IV2_Seq9 - Notes ver4.6 - Rev0.xlsm]Categories'!#REF!</xm:f>
            <x14:dxf>
              <font>
                <b/>
                <i val="0"/>
              </font>
            </x14:dxf>
          </x14:cfRule>
          <xm:sqref>L23:L27</xm:sqref>
        </x14:conditionalFormatting>
        <x14:conditionalFormatting xmlns:xm="http://schemas.microsoft.com/office/excel/2006/main">
          <x14:cfRule type="expression" priority="765" id="{793D8E9D-617B-4A4E-84AE-310073FDF95C}">
            <xm:f>I28='[IV2_Seq9 - Notes ver4.6 - Rev0.xlsm]Categories'!#REF!</xm:f>
            <x14:dxf>
              <font>
                <b/>
                <i val="0"/>
              </font>
            </x14:dxf>
          </x14:cfRule>
          <xm:sqref>L28</xm:sqref>
        </x14:conditionalFormatting>
        <x14:conditionalFormatting xmlns:xm="http://schemas.microsoft.com/office/excel/2006/main">
          <x14:cfRule type="containsText" priority="762"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758" operator="containsText" id="{1741BCBE-3B70-47AB-95DB-1D25D106A54F}">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756" id="{61F81336-A3BB-48AF-9FA5-E91D78DB04D4}">
            <xm:f>I30='[IV2_Seq9 - Notes ver4.6 - Rev0.xlsm]Categories'!#REF!</xm:f>
            <x14:dxf>
              <font>
                <b/>
                <i val="0"/>
              </font>
            </x14:dxf>
          </x14:cfRule>
          <xm:sqref>L30</xm:sqref>
        </x14:conditionalFormatting>
        <x14:conditionalFormatting xmlns:xm="http://schemas.microsoft.com/office/excel/2006/main">
          <x14:cfRule type="expression" priority="755" id="{2EF98291-F9EB-483A-834E-B4131C2DCE25}">
            <xm:f>I29='[IV2_Seq9 - Notes ver4.6 - Rev0.xlsm]Categories'!#REF!</xm:f>
            <x14:dxf>
              <font>
                <b/>
                <i val="0"/>
              </font>
            </x14:dxf>
          </x14:cfRule>
          <xm:sqref>L29</xm:sqref>
        </x14:conditionalFormatting>
        <x14:conditionalFormatting xmlns:xm="http://schemas.microsoft.com/office/excel/2006/main">
          <x14:cfRule type="expression" priority="754" id="{80FFCD85-54E9-480E-B9F3-88AECB47CC9E}">
            <xm:f>I31='[IV2_Seq9 - Notes ver4.6 - Rev0.xlsm]Categories'!#REF!</xm:f>
            <x14:dxf>
              <font>
                <b/>
                <i val="0"/>
              </font>
            </x14:dxf>
          </x14:cfRule>
          <xm:sqref>L31:L35</xm:sqref>
        </x14:conditionalFormatting>
        <x14:conditionalFormatting xmlns:xm="http://schemas.microsoft.com/office/excel/2006/main">
          <x14:cfRule type="expression" priority="753" id="{C64F73D6-CE33-4302-A516-D284036C6C9A}">
            <xm:f>I36='[IV2_Seq9 - Notes ver4.6 - Rev0.xlsm]Categories'!#REF!</xm:f>
            <x14:dxf>
              <font>
                <b/>
                <i val="0"/>
              </font>
            </x14:dxf>
          </x14:cfRule>
          <xm:sqref>L36</xm:sqref>
        </x14:conditionalFormatting>
        <x14:conditionalFormatting xmlns:xm="http://schemas.microsoft.com/office/excel/2006/main">
          <x14:cfRule type="containsText" priority="750"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746" operator="containsText" id="{D5312EB1-ED95-4E98-88D1-46A3EE67A3FF}">
            <xm:f>NOT(ISERROR(SEARCH("-",G37)))</xm:f>
            <xm:f>"-"</xm:f>
            <x14:dxf>
              <fill>
                <patternFill>
                  <bgColor theme="0" tint="-4.9989318521683403E-2"/>
                </patternFill>
              </fill>
            </x14:dxf>
          </x14:cfRule>
          <xm:sqref>G37</xm:sqref>
        </x14:conditionalFormatting>
        <x14:conditionalFormatting xmlns:xm="http://schemas.microsoft.com/office/excel/2006/main">
          <x14:cfRule type="expression" priority="744" id="{F30E14D4-3A58-427A-877D-C05615F2381F}">
            <xm:f>I38='[IV2_Seq9 - Notes ver4.6 - Rev0.xlsm]Categories'!#REF!</xm:f>
            <x14:dxf>
              <font>
                <b/>
                <i val="0"/>
              </font>
            </x14:dxf>
          </x14:cfRule>
          <xm:sqref>L38</xm:sqref>
        </x14:conditionalFormatting>
        <x14:conditionalFormatting xmlns:xm="http://schemas.microsoft.com/office/excel/2006/main">
          <x14:cfRule type="expression" priority="743" id="{05F056FD-8B99-4BC4-9869-369212A16B1E}">
            <xm:f>I37='[IV2_Seq9 - Notes ver4.6 - Rev0.xlsm]Categories'!#REF!</xm:f>
            <x14:dxf>
              <font>
                <b/>
                <i val="0"/>
              </font>
            </x14:dxf>
          </x14:cfRule>
          <xm:sqref>L37</xm:sqref>
        </x14:conditionalFormatting>
        <x14:conditionalFormatting xmlns:xm="http://schemas.microsoft.com/office/excel/2006/main">
          <x14:cfRule type="containsText" priority="739"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737" id="{FC738E5F-1294-4A82-9FED-3ACD4D964F74}">
            <xm:f>I12='[IV2_Seq9 - Notes ver4.6 - Rev0.xlsm]Categories'!#REF!</xm:f>
            <x14:dxf>
              <font>
                <b/>
                <i val="0"/>
              </font>
            </x14:dxf>
          </x14:cfRule>
          <xm:sqref>L12</xm:sqref>
        </x14:conditionalFormatting>
        <x14:conditionalFormatting xmlns:xm="http://schemas.microsoft.com/office/excel/2006/main">
          <x14:cfRule type="containsText" priority="734"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732" id="{C0EEA6EE-973C-48B0-BC07-EC3D9CA37203}">
            <xm:f>I45='[IV2_Seq9 - Notes ver4.6 - Rev0.xlsm]Categories'!#REF!</xm:f>
            <x14:dxf>
              <font>
                <b/>
                <i val="0"/>
              </font>
            </x14:dxf>
          </x14:cfRule>
          <xm:sqref>L45</xm:sqref>
        </x14:conditionalFormatting>
        <x14:conditionalFormatting xmlns:xm="http://schemas.microsoft.com/office/excel/2006/main">
          <x14:cfRule type="expression" priority="731" id="{73020E0F-E834-44FC-AD49-6FB262432573}">
            <xm:f>I45='[IV2_Seq9 - Notes ver4.6 - Rev0.xlsm]Categories'!#REF!</xm:f>
            <x14:dxf>
              <font>
                <b/>
                <i val="0"/>
              </font>
            </x14:dxf>
          </x14:cfRule>
          <xm:sqref>O45</xm:sqref>
        </x14:conditionalFormatting>
        <x14:conditionalFormatting xmlns:xm="http://schemas.microsoft.com/office/excel/2006/main">
          <x14:cfRule type="containsText" priority="727"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570" id="{D16A8EB2-A98D-44B6-85C5-119018F7CFF9}">
            <xm:f>I4=Categories!$E$14</xm:f>
            <x14:dxf>
              <font>
                <b/>
                <i val="0"/>
              </font>
            </x14:dxf>
          </x14:cfRule>
          <x14:cfRule type="expression" priority="725" id="{ADB1C9A5-494D-4AC5-B972-8FA7DA7B4C41}">
            <xm:f>I4='[IV2_Seq9 - Notes ver4.6 - Rev0.xlsm]Categories'!#REF!</xm:f>
            <x14:dxf>
              <font>
                <b/>
                <i val="0"/>
              </font>
            </x14:dxf>
          </x14:cfRule>
          <xm:sqref>O96:O108 O4:O94 O167:O209 O110:O122 O132:O140 O211:O260 O275:O282 O263:O273 O287:O293 O298:O324</xm:sqref>
        </x14:conditionalFormatting>
        <x14:conditionalFormatting xmlns:xm="http://schemas.microsoft.com/office/excel/2006/main">
          <x14:cfRule type="containsText" priority="722"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718"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714"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710" operator="containsText" id="{38040BAC-8CFC-41BF-8B39-1B7659AEBC86}">
            <xm:f>NOT(ISERROR(SEARCH("-",Q12)))</xm:f>
            <xm:f>"-"</xm:f>
            <x14:dxf>
              <fill>
                <patternFill>
                  <bgColor theme="0"/>
                </patternFill>
              </fill>
            </x14:dxf>
          </x14:cfRule>
          <x14:cfRule type="notContainsText" priority="711"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707"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703"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699"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697" id="{8D95A47C-6135-44BA-B8F8-07FA0982639C}">
            <xm:f>I13='[IV2_Seq9 - Notes ver4.6 - Rev0.xlsm]Categories'!#REF!</xm:f>
            <x14:dxf>
              <font>
                <b/>
                <i val="0"/>
              </font>
            </x14:dxf>
          </x14:cfRule>
          <xm:sqref>O13:O43</xm:sqref>
        </x14:conditionalFormatting>
        <x14:conditionalFormatting xmlns:xm="http://schemas.microsoft.com/office/excel/2006/main">
          <x14:cfRule type="expression" priority="696" id="{18DE9196-6051-487C-A3F1-B685CDB4C3FD}">
            <xm:f>I44='[IV2_Seq9 - Notes ver4.6 - Rev0.xlsm]Categories'!#REF!</xm:f>
            <x14:dxf>
              <font>
                <b/>
                <i val="0"/>
              </font>
            </x14:dxf>
          </x14:cfRule>
          <xm:sqref>L44</xm:sqref>
        </x14:conditionalFormatting>
        <x14:conditionalFormatting xmlns:xm="http://schemas.microsoft.com/office/excel/2006/main">
          <x14:cfRule type="expression" priority="695" id="{4DB47FD5-7B0F-40E8-B4E1-F6B206CABF49}">
            <xm:f>I44='[IV2_Seq9 - Notes ver4.6 - Rev0.xlsm]Categories'!#REF!</xm:f>
            <x14:dxf>
              <font>
                <b/>
                <i val="0"/>
              </font>
            </x14:dxf>
          </x14:cfRule>
          <xm:sqref>O44</xm:sqref>
        </x14:conditionalFormatting>
        <x14:conditionalFormatting xmlns:xm="http://schemas.microsoft.com/office/excel/2006/main">
          <x14:cfRule type="containsText" priority="693"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686"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683" operator="containsText" id="{8EB6233B-D85A-435B-97F0-87F2C10C67AC}">
            <xm:f>NOT(ISERROR(SEARCH("-",Q44)))</xm:f>
            <xm:f>"-"</xm:f>
            <x14:dxf>
              <fill>
                <patternFill>
                  <bgColor theme="0"/>
                </patternFill>
              </fill>
            </x14:dxf>
          </x14:cfRule>
          <x14:cfRule type="notContainsText" priority="684"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680" operator="containsText" id="{257A5FB5-0582-4D76-A550-0D4DB561BB47}">
            <xm:f>NOT(ISERROR(SEARCH("-",G46)))</xm:f>
            <xm:f>"-"</xm:f>
            <x14:dxf>
              <fill>
                <patternFill>
                  <bgColor theme="0" tint="-4.9989318521683403E-2"/>
                </patternFill>
              </fill>
            </x14:dxf>
          </x14:cfRule>
          <xm:sqref>G46:G60</xm:sqref>
        </x14:conditionalFormatting>
        <x14:conditionalFormatting xmlns:xm="http://schemas.microsoft.com/office/excel/2006/main">
          <x14:cfRule type="containsText" priority="674" operator="containsText" id="{E5F4118D-0157-453F-95DB-0467B589AC5F}">
            <xm:f>NOT(ISERROR(SEARCH("-",G47)))</xm:f>
            <xm:f>"-"</xm:f>
            <x14:dxf>
              <fill>
                <patternFill>
                  <bgColor theme="0" tint="-4.9989318521683403E-2"/>
                </patternFill>
              </fill>
            </x14:dxf>
          </x14:cfRule>
          <xm:sqref>G47</xm:sqref>
        </x14:conditionalFormatting>
        <x14:conditionalFormatting xmlns:xm="http://schemas.microsoft.com/office/excel/2006/main">
          <x14:cfRule type="expression" priority="672" id="{1C15564E-8DD7-404F-B4B8-5A449F798E64}">
            <xm:f>I47='[IV2_Seq9 - Notes ver4.6 - Rev0.xlsm]Categories'!#REF!</xm:f>
            <x14:dxf>
              <font>
                <b/>
                <i val="0"/>
              </font>
            </x14:dxf>
          </x14:cfRule>
          <xm:sqref>L47:L48</xm:sqref>
        </x14:conditionalFormatting>
        <x14:conditionalFormatting xmlns:xm="http://schemas.microsoft.com/office/excel/2006/main">
          <x14:cfRule type="expression" priority="671" id="{754E5E8C-1240-4D6F-88E7-269DD4E58858}">
            <xm:f>I49='[IV2_Seq9 - Notes ver4.6 - Rev0.xlsm]Categories'!#REF!</xm:f>
            <x14:dxf>
              <font>
                <b/>
                <i val="0"/>
              </font>
            </x14:dxf>
          </x14:cfRule>
          <xm:sqref>L49:L54</xm:sqref>
        </x14:conditionalFormatting>
        <x14:conditionalFormatting xmlns:xm="http://schemas.microsoft.com/office/excel/2006/main">
          <x14:cfRule type="containsText" priority="668"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664" operator="containsText" id="{85DD7254-5A62-40A0-A235-66A7065A47A3}">
            <xm:f>NOT(ISERROR(SEARCH("-",G55)))</xm:f>
            <xm:f>"-"</xm:f>
            <x14:dxf>
              <fill>
                <patternFill>
                  <bgColor theme="0" tint="-4.9989318521683403E-2"/>
                </patternFill>
              </fill>
            </x14:dxf>
          </x14:cfRule>
          <xm:sqref>G55:G60</xm:sqref>
        </x14:conditionalFormatting>
        <x14:conditionalFormatting xmlns:xm="http://schemas.microsoft.com/office/excel/2006/main">
          <x14:cfRule type="expression" priority="662" id="{2FAF05A1-04C6-4AED-B676-A1FE3B74F264}">
            <xm:f>I56='[IV2_Seq9 - Notes ver4.6 - Rev0.xlsm]Categories'!#REF!</xm:f>
            <x14:dxf>
              <font>
                <b/>
                <i val="0"/>
              </font>
            </x14:dxf>
          </x14:cfRule>
          <xm:sqref>L56</xm:sqref>
        </x14:conditionalFormatting>
        <x14:conditionalFormatting xmlns:xm="http://schemas.microsoft.com/office/excel/2006/main">
          <x14:cfRule type="expression" priority="661" id="{151D76C7-F3F9-4BFD-95CF-CFCA769CE169}">
            <xm:f>I55='[IV2_Seq9 - Notes ver4.6 - Rev0.xlsm]Categories'!#REF!</xm:f>
            <x14:dxf>
              <font>
                <b/>
                <i val="0"/>
              </font>
            </x14:dxf>
          </x14:cfRule>
          <xm:sqref>L55</xm:sqref>
        </x14:conditionalFormatting>
        <x14:conditionalFormatting xmlns:xm="http://schemas.microsoft.com/office/excel/2006/main">
          <x14:cfRule type="containsText" priority="633"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631" id="{E9F8765F-F666-4F0F-B6E7-BBCF18B7E040}">
            <xm:f>I46='[IV2_Seq9 - Notes ver4.6 - Rev0.xlsm]Categories'!#REF!</xm:f>
            <x14:dxf>
              <font>
                <b/>
                <i val="0"/>
              </font>
            </x14:dxf>
          </x14:cfRule>
          <xm:sqref>L46</xm:sqref>
        </x14:conditionalFormatting>
        <x14:conditionalFormatting xmlns:xm="http://schemas.microsoft.com/office/excel/2006/main">
          <x14:cfRule type="containsText" priority="621"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619" id="{1DDF3E97-F43F-4DD9-8AF1-2E08487DF651}">
            <xm:f>I46='[IV2_Seq9 - Notes ver4.6 - Rev0.xlsm]Categories'!#REF!</xm:f>
            <x14:dxf>
              <font>
                <b/>
                <i val="0"/>
              </font>
            </x14:dxf>
          </x14:cfRule>
          <xm:sqref>O46</xm:sqref>
        </x14:conditionalFormatting>
        <x14:conditionalFormatting xmlns:xm="http://schemas.microsoft.com/office/excel/2006/main">
          <x14:cfRule type="containsText" priority="616" operator="containsText" id="{771B8084-9FE1-471B-926B-AA0583CD0897}">
            <xm:f>NOT(ISERROR(SEARCH("-",G56)))</xm:f>
            <xm:f>"-"</xm:f>
            <x14:dxf>
              <fill>
                <patternFill>
                  <bgColor theme="0" tint="-4.9989318521683403E-2"/>
                </patternFill>
              </fill>
            </x14:dxf>
          </x14:cfRule>
          <xm:sqref>G56:G60</xm:sqref>
        </x14:conditionalFormatting>
        <x14:conditionalFormatting xmlns:xm="http://schemas.microsoft.com/office/excel/2006/main">
          <x14:cfRule type="containsText" priority="604" operator="containsText" id="{5F25C9EB-F32E-4099-8314-3AE171CD68DD}">
            <xm:f>NOT(ISERROR(SEARCH("-",Q46)))</xm:f>
            <xm:f>"-"</xm:f>
            <x14:dxf>
              <fill>
                <patternFill>
                  <bgColor theme="0"/>
                </patternFill>
              </fill>
            </x14:dxf>
          </x14:cfRule>
          <x14:cfRule type="notContainsText" priority="605" operator="notContains" id="{07D09323-0519-4C2C-8761-C28038CD16AE}">
            <xm:f>ISERROR(SEARCH("-",Q46))</xm:f>
            <xm:f>"-"</xm:f>
            <x14:dxf>
              <fill>
                <patternFill>
                  <bgColor theme="0" tint="-4.9989318521683403E-2"/>
                </patternFill>
              </fill>
            </x14:dxf>
          </x14:cfRule>
          <xm:sqref>Q46:Q60</xm:sqref>
        </x14:conditionalFormatting>
        <x14:conditionalFormatting xmlns:xm="http://schemas.microsoft.com/office/excel/2006/main">
          <x14:cfRule type="containsText" priority="601"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573" id="{B219892F-F830-42DD-849A-091F116C2C91}">
            <xm:f>I4=Categories!$E$19</xm:f>
            <x14:dxf>
              <font>
                <b/>
                <i val="0"/>
              </font>
            </x14:dxf>
          </x14:cfRule>
          <xm:sqref>K96:K108 K4:K94 K167:K209 K110:K122 K132:K140 K211:K260 K263:K272 K281:K324</xm:sqref>
        </x14:conditionalFormatting>
        <x14:conditionalFormatting xmlns:xm="http://schemas.microsoft.com/office/excel/2006/main">
          <x14:cfRule type="expression" priority="571" id="{D8287C5B-D7E9-4472-BCD0-9E72F8457DC3}">
            <xm:f>I4=Categories!$E$9</xm:f>
            <x14:dxf>
              <font>
                <b/>
                <i val="0"/>
              </font>
            </x14:dxf>
          </x14:cfRule>
          <xm:sqref>L96:L108 L4:L94 L167:L209 L110:L122 L132:L140 L211:L260 L275:L282 L263:L273 L287:L293 L298:L324</xm:sqref>
        </x14:conditionalFormatting>
        <x14:conditionalFormatting xmlns:xm="http://schemas.microsoft.com/office/excel/2006/main">
          <x14:cfRule type="containsText" priority="569" operator="containsText" id="{92FD5E1B-C957-4B08-BC94-EBD8A84AC1EC}">
            <xm:f>NOT(ISERROR(SEARCH("-",G95)))</xm:f>
            <xm:f>"-"</xm:f>
            <x14:dxf>
              <fill>
                <patternFill>
                  <bgColor theme="0" tint="-4.9989318521683403E-2"/>
                </patternFill>
              </fill>
            </x14:dxf>
          </x14:cfRule>
          <xm:sqref>G95</xm:sqref>
        </x14:conditionalFormatting>
        <x14:conditionalFormatting xmlns:xm="http://schemas.microsoft.com/office/excel/2006/main">
          <x14:cfRule type="expression" priority="565" id="{BE3F2577-5557-4BC5-9E64-7760734EB644}">
            <xm:f>I95='[IV2_Seq9 - Notes ver4.6 - Rev0.xlsm]Categories'!#REF!</xm:f>
            <x14:dxf>
              <font>
                <b/>
                <i val="0"/>
              </font>
            </x14:dxf>
          </x14:cfRule>
          <xm:sqref>L95</xm:sqref>
        </x14:conditionalFormatting>
        <x14:conditionalFormatting xmlns:xm="http://schemas.microsoft.com/office/excel/2006/main">
          <x14:cfRule type="notContainsText" priority="564" operator="notContains" id="{ACD593A3-922C-4341-8376-3D8BC204DA26}">
            <xm:f>ISERROR(SEARCH("-",M95))</xm:f>
            <xm:f>"-"</xm:f>
            <x14:dxf>
              <fill>
                <patternFill>
                  <bgColor theme="0" tint="-4.9989318521683403E-2"/>
                </patternFill>
              </fill>
            </x14:dxf>
          </x14:cfRule>
          <xm:sqref>M95:N95</xm:sqref>
        </x14:conditionalFormatting>
        <x14:conditionalFormatting xmlns:xm="http://schemas.microsoft.com/office/excel/2006/main">
          <x14:cfRule type="expression" priority="563" id="{977E0A7B-3C64-4EB7-B633-D3DC4906E9B2}">
            <xm:f>I95='[IV2_Seq9 - Notes ver4.6 - Rev0.xlsm]Categories'!#REF!</xm:f>
            <x14:dxf>
              <font>
                <b/>
                <i val="0"/>
              </font>
            </x14:dxf>
          </x14:cfRule>
          <xm:sqref>L95</xm:sqref>
        </x14:conditionalFormatting>
        <x14:conditionalFormatting xmlns:xm="http://schemas.microsoft.com/office/excel/2006/main">
          <x14:cfRule type="containsText" priority="561" operator="containsText" id="{792AF0EB-508C-4C28-975F-55B46E5DB380}">
            <xm:f>NOT(ISERROR(SEARCH("-",Q95)))</xm:f>
            <xm:f>"-"</xm:f>
            <x14:dxf>
              <fill>
                <patternFill>
                  <bgColor theme="0"/>
                </patternFill>
              </fill>
            </x14:dxf>
          </x14:cfRule>
          <x14:cfRule type="notContainsText" priority="562" operator="notContains" id="{A07AED9E-2CEC-4297-8654-F7F1CB50AE84}">
            <xm:f>ISERROR(SEARCH("-",Q95))</xm:f>
            <xm:f>"-"</xm:f>
            <x14:dxf>
              <fill>
                <patternFill>
                  <bgColor theme="0" tint="-4.9989318521683403E-2"/>
                </patternFill>
              </fill>
            </x14:dxf>
          </x14:cfRule>
          <xm:sqref>Q95</xm:sqref>
        </x14:conditionalFormatting>
        <x14:conditionalFormatting xmlns:xm="http://schemas.microsoft.com/office/excel/2006/main">
          <x14:cfRule type="expression" priority="558" id="{CE7F4BFD-6AE8-411C-BC49-7E6CC5E6C126}">
            <xm:f>I95=Categories!$E$19</xm:f>
            <x14:dxf>
              <font>
                <b/>
                <i val="0"/>
              </font>
            </x14:dxf>
          </x14:cfRule>
          <xm:sqref>K95</xm:sqref>
        </x14:conditionalFormatting>
        <x14:conditionalFormatting xmlns:xm="http://schemas.microsoft.com/office/excel/2006/main">
          <x14:cfRule type="expression" priority="557" id="{8BE18BFC-C78D-4205-939D-B2C4624DC266}">
            <xm:f>I95=Categories!$E$9</xm:f>
            <x14:dxf>
              <font>
                <b/>
                <i val="0"/>
              </font>
            </x14:dxf>
          </x14:cfRule>
          <xm:sqref>L95</xm:sqref>
        </x14:conditionalFormatting>
        <x14:conditionalFormatting xmlns:xm="http://schemas.microsoft.com/office/excel/2006/main">
          <x14:cfRule type="expression" priority="555" id="{D0342252-A703-416C-8B15-5F3C63360D3D}">
            <xm:f>I95='[IV2_Seq9 - Notes ver4.6 - Rev0.xlsm]Categories'!#REF!</xm:f>
            <x14:dxf>
              <font>
                <b/>
                <i val="0"/>
              </font>
            </x14:dxf>
          </x14:cfRule>
          <xm:sqref>O95</xm:sqref>
        </x14:conditionalFormatting>
        <x14:conditionalFormatting xmlns:xm="http://schemas.microsoft.com/office/excel/2006/main">
          <x14:cfRule type="expression" priority="553" id="{5C45D5EE-1D55-4797-ABE2-A4365DAE1949}">
            <xm:f>I95=Categories!$E$14</xm:f>
            <x14:dxf>
              <font>
                <b/>
                <i val="0"/>
              </font>
            </x14:dxf>
          </x14:cfRule>
          <x14:cfRule type="expression" priority="554" id="{8AEAEB6D-90B9-4FFE-8C21-299F49D05EAB}">
            <xm:f>I95='[IV2_Seq9 - Notes ver4.6 - Rev0.xlsm]Categories'!#REF!</xm:f>
            <x14:dxf>
              <font>
                <b/>
                <i val="0"/>
              </font>
            </x14:dxf>
          </x14:cfRule>
          <xm:sqref>O95</xm:sqref>
        </x14:conditionalFormatting>
        <x14:conditionalFormatting xmlns:xm="http://schemas.microsoft.com/office/excel/2006/main">
          <x14:cfRule type="containsText" priority="551" operator="containsText" id="{A0CB501C-6F28-40A6-B3F3-B4B3545849CB}">
            <xm:f>NOT(ISERROR(SEARCH("-",Q261)))</xm:f>
            <xm:f>"-"</xm:f>
            <x14:dxf>
              <fill>
                <patternFill>
                  <bgColor theme="0"/>
                </patternFill>
              </fill>
            </x14:dxf>
          </x14:cfRule>
          <x14:cfRule type="notContainsText" priority="552" operator="notContains" id="{C2A9E93F-3A1D-46B4-BA11-549152B008B7}">
            <xm:f>ISERROR(SEARCH("-",Q261))</xm:f>
            <xm:f>"-"</xm:f>
            <x14:dxf>
              <fill>
                <patternFill>
                  <bgColor theme="0" tint="-4.9989318521683403E-2"/>
                </patternFill>
              </fill>
            </x14:dxf>
          </x14:cfRule>
          <xm:sqref>Q261:Q282</xm:sqref>
        </x14:conditionalFormatting>
        <x14:conditionalFormatting xmlns:xm="http://schemas.microsoft.com/office/excel/2006/main">
          <x14:cfRule type="containsText" priority="533" operator="containsText" id="{3F806938-35F4-4736-9616-8F446F7EDD40}">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24" operator="containsText" id="{9FF6F635-1DCC-4421-B805-74B6D6696AF7}">
            <xm:f>NOT(ISERROR(SEARCH("-",G191)))</xm:f>
            <xm:f>"-"</xm:f>
            <x14:dxf>
              <fill>
                <patternFill>
                  <bgColor theme="0" tint="-4.9989318521683403E-2"/>
                </patternFill>
              </fill>
            </x14:dxf>
          </x14:cfRule>
          <xm:sqref>G191</xm:sqref>
        </x14:conditionalFormatting>
        <x14:conditionalFormatting xmlns:xm="http://schemas.microsoft.com/office/excel/2006/main">
          <x14:cfRule type="expression" priority="1266" id="{153832B2-8E5E-43A0-A024-B2DCD1F45399}">
            <xm:f>I192='[IV2_Seq9 - Notes ver4.6 - Rev0.xlsm]Categories'!#REF!</xm:f>
            <x14:dxf>
              <font>
                <b/>
                <i val="0"/>
              </font>
            </x14:dxf>
          </x14:cfRule>
          <xm:sqref>L192</xm:sqref>
        </x14:conditionalFormatting>
        <x14:conditionalFormatting xmlns:xm="http://schemas.microsoft.com/office/excel/2006/main">
          <x14:cfRule type="containsText" priority="502" operator="containsText" id="{24BB5027-BC2D-4CAE-9B96-E4CC3EF1766E}">
            <xm:f>NOT(ISERROR(SEARCH("-",G192)))</xm:f>
            <xm:f>"-"</xm:f>
            <x14:dxf>
              <fill>
                <patternFill>
                  <bgColor theme="0" tint="-4.9989318521683403E-2"/>
                </patternFill>
              </fill>
            </x14:dxf>
          </x14:cfRule>
          <xm:sqref>G192</xm:sqref>
        </x14:conditionalFormatting>
        <x14:conditionalFormatting xmlns:xm="http://schemas.microsoft.com/office/excel/2006/main">
          <x14:cfRule type="containsText" priority="498" operator="containsText" id="{463F2B64-C714-429F-8FBF-0CD013D48C02}">
            <xm:f>NOT(ISERROR(SEARCH("-",G193)))</xm:f>
            <xm:f>"-"</xm:f>
            <x14:dxf>
              <fill>
                <patternFill>
                  <bgColor theme="0" tint="-4.9989318521683403E-2"/>
                </patternFill>
              </fill>
            </x14:dxf>
          </x14:cfRule>
          <xm:sqref>G193</xm:sqref>
        </x14:conditionalFormatting>
        <x14:conditionalFormatting xmlns:xm="http://schemas.microsoft.com/office/excel/2006/main">
          <x14:cfRule type="expression" priority="1267" id="{D2FCEF94-7938-48BD-9D00-F21C0576A023}">
            <xm:f>I194='[IV2_Seq9 - Notes ver4.6 - Rev0.xlsm]Categories'!#REF!</xm:f>
            <x14:dxf>
              <font>
                <b/>
                <i val="0"/>
              </font>
            </x14:dxf>
          </x14:cfRule>
          <xm:sqref>L194</xm:sqref>
        </x14:conditionalFormatting>
        <x14:conditionalFormatting xmlns:xm="http://schemas.microsoft.com/office/excel/2006/main">
          <x14:cfRule type="expression" priority="495" id="{953BAA98-9150-4CAF-8EE7-90409CEA02B4}">
            <xm:f>I193='[IV2_Seq9 - Notes ver4.6 - Rev0.xlsm]Categories'!#REF!</xm:f>
            <x14:dxf>
              <font>
                <b/>
                <i val="0"/>
              </font>
            </x14:dxf>
          </x14:cfRule>
          <xm:sqref>L193</xm:sqref>
        </x14:conditionalFormatting>
        <x14:conditionalFormatting xmlns:xm="http://schemas.microsoft.com/office/excel/2006/main">
          <x14:cfRule type="expression" priority="494" id="{F84C2708-4DBB-4D8F-A53A-FC65A1B2DCE1}">
            <xm:f>I195='[IV2_Seq9 - Notes ver4.6 - Rev0.xlsm]Categories'!#REF!</xm:f>
            <x14:dxf>
              <font>
                <b/>
                <i val="0"/>
              </font>
            </x14:dxf>
          </x14:cfRule>
          <xm:sqref>L195:L199</xm:sqref>
        </x14:conditionalFormatting>
        <x14:conditionalFormatting xmlns:xm="http://schemas.microsoft.com/office/excel/2006/main">
          <x14:cfRule type="expression" priority="1268" id="{58C24065-788A-4138-96C8-12794D905897}">
            <xm:f>I200='[IV2_Seq9 - Notes ver4.6 - Rev0.xlsm]Categories'!#REF!</xm:f>
            <x14:dxf>
              <font>
                <b/>
                <i val="0"/>
              </font>
            </x14:dxf>
          </x14:cfRule>
          <xm:sqref>L200</xm:sqref>
        </x14:conditionalFormatting>
        <x14:conditionalFormatting xmlns:xm="http://schemas.microsoft.com/office/excel/2006/main">
          <x14:cfRule type="containsText" priority="490" operator="containsText" id="{FAC54D2D-BEEB-46B5-9277-C476CF5231AC}">
            <xm:f>NOT(ISERROR(SEARCH("-",G200)))</xm:f>
            <xm:f>"-"</xm:f>
            <x14:dxf>
              <fill>
                <patternFill>
                  <bgColor theme="0" tint="-4.9989318521683403E-2"/>
                </patternFill>
              </fill>
            </x14:dxf>
          </x14:cfRule>
          <xm:sqref>G200</xm:sqref>
        </x14:conditionalFormatting>
        <x14:conditionalFormatting xmlns:xm="http://schemas.microsoft.com/office/excel/2006/main">
          <x14:cfRule type="containsText" priority="486" operator="containsText" id="{01D80E28-587B-4056-A2E9-39C25F9A32AB}">
            <xm:f>NOT(ISERROR(SEARCH("-",G201)))</xm:f>
            <xm:f>"-"</xm:f>
            <x14:dxf>
              <fill>
                <patternFill>
                  <bgColor theme="0" tint="-4.9989318521683403E-2"/>
                </patternFill>
              </fill>
            </x14:dxf>
          </x14:cfRule>
          <xm:sqref>G201</xm:sqref>
        </x14:conditionalFormatting>
        <x14:conditionalFormatting xmlns:xm="http://schemas.microsoft.com/office/excel/2006/main">
          <x14:cfRule type="expression" priority="1269" id="{5E24AD46-FE0B-4CEB-95FF-3F7C885F8A4A}">
            <xm:f>I202='[IV2_Seq9 - Notes ver4.6 - Rev0.xlsm]Categories'!#REF!</xm:f>
            <x14:dxf>
              <font>
                <b/>
                <i val="0"/>
              </font>
            </x14:dxf>
          </x14:cfRule>
          <xm:sqref>L202</xm:sqref>
        </x14:conditionalFormatting>
        <x14:conditionalFormatting xmlns:xm="http://schemas.microsoft.com/office/excel/2006/main">
          <x14:cfRule type="expression" priority="483" id="{03F48C98-5047-4D26-8ECB-65D62CCFAE14}">
            <xm:f>I201='[IV2_Seq9 - Notes ver4.6 - Rev0.xlsm]Categories'!#REF!</xm:f>
            <x14:dxf>
              <font>
                <b/>
                <i val="0"/>
              </font>
            </x14:dxf>
          </x14:cfRule>
          <xm:sqref>L201</xm:sqref>
        </x14:conditionalFormatting>
        <x14:conditionalFormatting xmlns:xm="http://schemas.microsoft.com/office/excel/2006/main">
          <x14:cfRule type="expression" priority="482" id="{4210E84B-008F-4324-A1F0-87DABB7C1F14}">
            <xm:f>I203='[IV2_Seq9 - Notes ver4.6 - Rev0.xlsm]Categories'!#REF!</xm:f>
            <x14:dxf>
              <font>
                <b/>
                <i val="0"/>
              </font>
            </x14:dxf>
          </x14:cfRule>
          <xm:sqref>L203:L207</xm:sqref>
        </x14:conditionalFormatting>
        <x14:conditionalFormatting xmlns:xm="http://schemas.microsoft.com/office/excel/2006/main">
          <x14:cfRule type="expression" priority="481" id="{A54B87A7-F043-4380-B369-E847C242A00E}">
            <xm:f>I191='[IV2_Seq9 - Notes ver4.6 - Rev0.xlsm]Categories'!#REF!</xm:f>
            <x14:dxf>
              <font>
                <b/>
                <i val="0"/>
              </font>
            </x14:dxf>
          </x14:cfRule>
          <xm:sqref>O209 O191</xm:sqref>
        </x14:conditionalFormatting>
        <x14:conditionalFormatting xmlns:xm="http://schemas.microsoft.com/office/excel/2006/main">
          <x14:cfRule type="containsText" priority="469" operator="containsText" id="{7D10BA14-BF08-47C9-83A3-AD25B08A4F6B}">
            <xm:f>NOT(ISERROR(SEARCH("-",G194)))</xm:f>
            <xm:f>"-"</xm:f>
            <x14:dxf>
              <fill>
                <patternFill>
                  <bgColor theme="0" tint="-4.9989318521683403E-2"/>
                </patternFill>
              </fill>
            </x14:dxf>
          </x14:cfRule>
          <xm:sqref>G194:G199</xm:sqref>
        </x14:conditionalFormatting>
        <x14:conditionalFormatting xmlns:xm="http://schemas.microsoft.com/office/excel/2006/main">
          <x14:cfRule type="containsText" priority="465" operator="containsText" id="{87CB0387-6937-48F5-ABC3-7E79A10FBC64}">
            <xm:f>NOT(ISERROR(SEARCH("-",G202)))</xm:f>
            <xm:f>"-"</xm:f>
            <x14:dxf>
              <fill>
                <patternFill>
                  <bgColor theme="0" tint="-4.9989318521683403E-2"/>
                </patternFill>
              </fill>
            </x14:dxf>
          </x14:cfRule>
          <xm:sqref>G202:G207</xm:sqref>
        </x14:conditionalFormatting>
        <x14:conditionalFormatting xmlns:xm="http://schemas.microsoft.com/office/excel/2006/main">
          <x14:cfRule type="expression" priority="463" id="{B9D7A399-F68E-4E80-BF56-AB8C098249B7}">
            <xm:f>I208='[IV2_Seq9 - Notes ver4.6 - Rev0.xlsm]Categories'!#REF!</xm:f>
            <x14:dxf>
              <font>
                <b/>
                <i val="0"/>
              </font>
            </x14:dxf>
          </x14:cfRule>
          <xm:sqref>L208</xm:sqref>
        </x14:conditionalFormatting>
        <x14:conditionalFormatting xmlns:xm="http://schemas.microsoft.com/office/excel/2006/main">
          <x14:cfRule type="expression" priority="453" id="{58AEA187-1795-46A3-AD9F-7612C553AD54}">
            <xm:f>I208='[IV2_Seq9 - Notes ver4.6 - Rev0.xlsm]Categories'!#REF!</xm:f>
            <x14:dxf>
              <font>
                <b/>
                <i val="0"/>
              </font>
            </x14:dxf>
          </x14:cfRule>
          <xm:sqref>O208</xm:sqref>
        </x14:conditionalFormatting>
        <x14:conditionalFormatting xmlns:xm="http://schemas.microsoft.com/office/excel/2006/main">
          <x14:cfRule type="expression" priority="457" id="{22E6707E-3BC2-4DE9-B1AB-FA2444BA80F0}">
            <xm:f>I192='[IV2_Seq9 - Notes ver4.6 - Rev0.xlsm]Categories'!#REF!</xm:f>
            <x14:dxf>
              <font>
                <b/>
                <i val="0"/>
              </font>
            </x14:dxf>
          </x14:cfRule>
          <xm:sqref>O192</xm:sqref>
        </x14:conditionalFormatting>
        <x14:conditionalFormatting xmlns:xm="http://schemas.microsoft.com/office/excel/2006/main">
          <x14:cfRule type="expression" priority="456" id="{9469E31B-4CBB-4D59-A8CB-4CBDDECC757F}">
            <xm:f>I193='[IV2_Seq9 - Notes ver4.6 - Rev0.xlsm]Categories'!#REF!</xm:f>
            <x14:dxf>
              <font>
                <b/>
                <i val="0"/>
              </font>
            </x14:dxf>
          </x14:cfRule>
          <xm:sqref>O193:O199</xm:sqref>
        </x14:conditionalFormatting>
        <x14:conditionalFormatting xmlns:xm="http://schemas.microsoft.com/office/excel/2006/main">
          <x14:cfRule type="expression" priority="455" id="{1EE87440-9A1F-4CB1-9819-52C57F292AF5}">
            <xm:f>I200='[IV2_Seq9 - Notes ver4.6 - Rev0.xlsm]Categories'!#REF!</xm:f>
            <x14:dxf>
              <font>
                <b/>
                <i val="0"/>
              </font>
            </x14:dxf>
          </x14:cfRule>
          <xm:sqref>O200</xm:sqref>
        </x14:conditionalFormatting>
        <x14:conditionalFormatting xmlns:xm="http://schemas.microsoft.com/office/excel/2006/main">
          <x14:cfRule type="expression" priority="454" id="{56A390FF-836E-43A4-A0AC-AE4B9E9EAF7A}">
            <xm:f>I201='[IV2_Seq9 - Notes ver4.6 - Rev0.xlsm]Categories'!#REF!</xm:f>
            <x14:dxf>
              <font>
                <b/>
                <i val="0"/>
              </font>
            </x14:dxf>
          </x14:cfRule>
          <xm:sqref>O201:O207</xm:sqref>
        </x14:conditionalFormatting>
        <x14:conditionalFormatting xmlns:xm="http://schemas.microsoft.com/office/excel/2006/main">
          <x14:cfRule type="containsText" priority="446" operator="containsText" id="{DBD02150-9485-4608-88FA-692AB54CAAE7}">
            <xm:f>NOT(ISERROR(SEARCH("-",G194)))</xm:f>
            <xm:f>"-"</xm:f>
            <x14:dxf>
              <fill>
                <patternFill>
                  <bgColor theme="0" tint="-4.9989318521683403E-2"/>
                </patternFill>
              </fill>
            </x14:dxf>
          </x14:cfRule>
          <xm:sqref>G194:G199</xm:sqref>
        </x14:conditionalFormatting>
        <x14:conditionalFormatting xmlns:xm="http://schemas.microsoft.com/office/excel/2006/main">
          <x14:cfRule type="containsText" priority="442" operator="containsText" id="{1208CA05-8DA1-4182-A347-76BB3C353C3A}">
            <xm:f>NOT(ISERROR(SEARCH("-",G202)))</xm:f>
            <xm:f>"-"</xm:f>
            <x14:dxf>
              <fill>
                <patternFill>
                  <bgColor theme="0" tint="-4.9989318521683403E-2"/>
                </patternFill>
              </fill>
            </x14:dxf>
          </x14:cfRule>
          <xm:sqref>G202:G207</xm:sqref>
        </x14:conditionalFormatting>
        <x14:conditionalFormatting xmlns:xm="http://schemas.microsoft.com/office/excel/2006/main">
          <x14:cfRule type="containsText" priority="434" operator="containsText" id="{972DE3FD-C1D1-4FBD-BC9E-4CE0B453C2C7}">
            <xm:f>NOT(ISERROR(SEARCH("-",G38)))</xm:f>
            <xm:f>"-"</xm:f>
            <x14:dxf>
              <fill>
                <patternFill>
                  <bgColor theme="0" tint="-4.9989318521683403E-2"/>
                </patternFill>
              </fill>
            </x14:dxf>
          </x14:cfRule>
          <xm:sqref>G38:G43</xm:sqref>
        </x14:conditionalFormatting>
        <x14:conditionalFormatting xmlns:xm="http://schemas.microsoft.com/office/excel/2006/main">
          <x14:cfRule type="containsText" priority="430" operator="containsText" id="{EC93EB89-9E02-400A-A103-E356E7DA2D06}">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428" id="{14AE3F3E-1DC6-4FE8-850D-F676907EE8D8}">
            <xm:f>I109='[IV2_Seq9 - Notes ver4.6 - Rev0.xlsm]Categories'!#REF!</xm:f>
            <x14:dxf>
              <font>
                <b/>
                <i val="0"/>
              </font>
            </x14:dxf>
          </x14:cfRule>
          <xm:sqref>L109</xm:sqref>
        </x14:conditionalFormatting>
        <x14:conditionalFormatting xmlns:xm="http://schemas.microsoft.com/office/excel/2006/main">
          <x14:cfRule type="notContainsText" priority="427" operator="notContains" id="{D68C9B02-4360-4E97-964A-8B64749F4DE7}">
            <xm:f>ISERROR(SEARCH("-",M109))</xm:f>
            <xm:f>"-"</xm:f>
            <x14:dxf>
              <fill>
                <patternFill>
                  <bgColor theme="0" tint="-4.9989318521683403E-2"/>
                </patternFill>
              </fill>
            </x14:dxf>
          </x14:cfRule>
          <xm:sqref>M109:N109</xm:sqref>
        </x14:conditionalFormatting>
        <x14:conditionalFormatting xmlns:xm="http://schemas.microsoft.com/office/excel/2006/main">
          <x14:cfRule type="expression" priority="426" id="{3C5803E1-8C2B-4DB4-BF36-8FA21044E0ED}">
            <xm:f>I109='[IV2_Seq9 - Notes ver4.6 - Rev0.xlsm]Categories'!#REF!</xm:f>
            <x14:dxf>
              <font>
                <b/>
                <i val="0"/>
              </font>
            </x14:dxf>
          </x14:cfRule>
          <xm:sqref>L109</xm:sqref>
        </x14:conditionalFormatting>
        <x14:conditionalFormatting xmlns:xm="http://schemas.microsoft.com/office/excel/2006/main">
          <x14:cfRule type="containsText" priority="423" operator="containsText" id="{D718CD7A-6355-408D-85DE-D9DD1C73B102}">
            <xm:f>NOT(ISERROR(SEARCH("-",G109)))</xm:f>
            <xm:f>"-"</xm:f>
            <x14:dxf>
              <fill>
                <patternFill>
                  <bgColor theme="0" tint="-4.9989318521683403E-2"/>
                </patternFill>
              </fill>
            </x14:dxf>
          </x14:cfRule>
          <xm:sqref>G109</xm:sqref>
        </x14:conditionalFormatting>
        <x14:conditionalFormatting xmlns:xm="http://schemas.microsoft.com/office/excel/2006/main">
          <x14:cfRule type="expression" priority="421" id="{ABA2CC11-B5D9-4727-AED4-6382E4614375}">
            <xm:f>I109='[IV2_Seq9 - Notes ver4.6 - Rev0.xlsm]Categories'!#REF!</xm:f>
            <x14:dxf>
              <font>
                <b/>
                <i val="0"/>
              </font>
            </x14:dxf>
          </x14:cfRule>
          <xm:sqref>O109</xm:sqref>
        </x14:conditionalFormatting>
        <x14:conditionalFormatting xmlns:xm="http://schemas.microsoft.com/office/excel/2006/main">
          <x14:cfRule type="containsText" priority="419" operator="containsText" id="{BFD6C523-7649-4654-BB94-F85FAD28D71E}">
            <xm:f>NOT(ISERROR(SEARCH("-",Q109)))</xm:f>
            <xm:f>"-"</xm:f>
            <x14:dxf>
              <fill>
                <patternFill>
                  <bgColor theme="0"/>
                </patternFill>
              </fill>
            </x14:dxf>
          </x14:cfRule>
          <x14:cfRule type="notContainsText" priority="420" operator="notContains" id="{0CAFFD8D-56D8-4687-9CBB-2E5F186F6F28}">
            <xm:f>ISERROR(SEARCH("-",Q109))</xm:f>
            <xm:f>"-"</xm:f>
            <x14:dxf>
              <fill>
                <patternFill>
                  <bgColor theme="0" tint="-4.9989318521683403E-2"/>
                </patternFill>
              </fill>
            </x14:dxf>
          </x14:cfRule>
          <xm:sqref>Q109</xm:sqref>
        </x14:conditionalFormatting>
        <x14:conditionalFormatting xmlns:xm="http://schemas.microsoft.com/office/excel/2006/main">
          <x14:cfRule type="expression" priority="415" id="{58FF1060-ABC5-4720-8E2A-2175105BB125}">
            <xm:f>I109=Categories!$E$14</xm:f>
            <x14:dxf>
              <font>
                <b/>
                <i val="0"/>
              </font>
            </x14:dxf>
          </x14:cfRule>
          <x14:cfRule type="expression" priority="418" id="{F5AE4A8D-079D-4770-A1C0-87D73A05DE28}">
            <xm:f>I109='[IV2_Seq9 - Notes ver4.6 - Rev0.xlsm]Categories'!#REF!</xm:f>
            <x14:dxf>
              <font>
                <b/>
                <i val="0"/>
              </font>
            </x14:dxf>
          </x14:cfRule>
          <xm:sqref>O109</xm:sqref>
        </x14:conditionalFormatting>
        <x14:conditionalFormatting xmlns:xm="http://schemas.microsoft.com/office/excel/2006/main">
          <x14:cfRule type="expression" priority="417" id="{319199CA-34AD-4969-B55C-912256D9BE4D}">
            <xm:f>I109=Categories!$E$19</xm:f>
            <x14:dxf>
              <font>
                <b/>
                <i val="0"/>
              </font>
            </x14:dxf>
          </x14:cfRule>
          <xm:sqref>K109</xm:sqref>
        </x14:conditionalFormatting>
        <x14:conditionalFormatting xmlns:xm="http://schemas.microsoft.com/office/excel/2006/main">
          <x14:cfRule type="expression" priority="416" id="{EEA4E7DF-669A-412A-AD3D-A4AD91082951}">
            <xm:f>I109=Categories!$E$9</xm:f>
            <x14:dxf>
              <font>
                <b/>
                <i val="0"/>
              </font>
            </x14:dxf>
          </x14:cfRule>
          <xm:sqref>L109</xm:sqref>
        </x14:conditionalFormatting>
        <x14:conditionalFormatting xmlns:xm="http://schemas.microsoft.com/office/excel/2006/main">
          <x14:cfRule type="containsText" priority="412" operator="containsText" id="{38C72A32-D78B-43B8-AD8E-32C3F5B6D319}">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408" operator="containsText" id="{2005575A-32C4-4A59-AA2E-D0022946AC23}">
            <xm:f>NOT(ISERROR(SEARCH("-",G99)))</xm:f>
            <xm:f>"-"</xm:f>
            <x14:dxf>
              <fill>
                <patternFill>
                  <bgColor theme="0" tint="-4.9989318521683403E-2"/>
                </patternFill>
              </fill>
            </x14:dxf>
          </x14:cfRule>
          <xm:sqref>G99:G108</xm:sqref>
        </x14:conditionalFormatting>
        <x14:conditionalFormatting xmlns:xm="http://schemas.microsoft.com/office/excel/2006/main">
          <x14:cfRule type="containsText" priority="404" operator="containsText" id="{FA64A67F-8209-4EEE-92DD-4E64FF7CA570}">
            <xm:f>NOT(ISERROR(SEARCH("-",G112)))</xm:f>
            <xm:f>"-"</xm:f>
            <x14:dxf>
              <fill>
                <patternFill>
                  <bgColor theme="0" tint="-4.9989318521683403E-2"/>
                </patternFill>
              </fill>
            </x14:dxf>
          </x14:cfRule>
          <xm:sqref>G112:G122</xm:sqref>
        </x14:conditionalFormatting>
        <x14:conditionalFormatting xmlns:xm="http://schemas.microsoft.com/office/excel/2006/main">
          <x14:cfRule type="containsText" priority="387" operator="containsText" id="{DFCF8B18-D852-43F3-AE3F-B14AAE009FE3}">
            <xm:f>NOT(ISERROR(SEARCH("-",G194)))</xm:f>
            <xm:f>"-"</xm:f>
            <x14:dxf>
              <fill>
                <patternFill>
                  <bgColor theme="0" tint="-4.9989318521683403E-2"/>
                </patternFill>
              </fill>
            </x14:dxf>
          </x14:cfRule>
          <xm:sqref>G194:G199</xm:sqref>
        </x14:conditionalFormatting>
        <x14:conditionalFormatting xmlns:xm="http://schemas.microsoft.com/office/excel/2006/main">
          <x14:cfRule type="containsText" priority="383" operator="containsText" id="{52CD28FB-875F-4590-8E86-800DBCB534E6}">
            <xm:f>NOT(ISERROR(SEARCH("-",G202)))</xm:f>
            <xm:f>"-"</xm:f>
            <x14:dxf>
              <fill>
                <patternFill>
                  <bgColor theme="0" tint="-4.9989318521683403E-2"/>
                </patternFill>
              </fill>
            </x14:dxf>
          </x14:cfRule>
          <xm:sqref>G202:G207</xm:sqref>
        </x14:conditionalFormatting>
        <x14:conditionalFormatting xmlns:xm="http://schemas.microsoft.com/office/excel/2006/main">
          <x14:cfRule type="expression" priority="374" id="{40D8B304-F3CC-42B1-8BE2-A0B581F0428B}">
            <xm:f>I123='[IV2_Seq9 - Notes ver4.6 - Rev0.xlsm]Categories'!#REF!</xm:f>
            <x14:dxf>
              <font>
                <b/>
                <i val="0"/>
              </font>
            </x14:dxf>
          </x14:cfRule>
          <xm:sqref>L123</xm:sqref>
        </x14:conditionalFormatting>
        <x14:conditionalFormatting xmlns:xm="http://schemas.microsoft.com/office/excel/2006/main">
          <x14:cfRule type="notContainsText" priority="373" operator="notContains" id="{1BE7214F-4AF8-46C8-A339-67F00CDA6DAC}">
            <xm:f>ISERROR(SEARCH("-",M123))</xm:f>
            <xm:f>"-"</xm:f>
            <x14:dxf>
              <fill>
                <patternFill>
                  <bgColor theme="0" tint="-4.9989318521683403E-2"/>
                </patternFill>
              </fill>
            </x14:dxf>
          </x14:cfRule>
          <xm:sqref>M123:N123</xm:sqref>
        </x14:conditionalFormatting>
        <x14:conditionalFormatting xmlns:xm="http://schemas.microsoft.com/office/excel/2006/main">
          <x14:cfRule type="expression" priority="372" id="{BBD16F5D-6CE6-47F5-9167-9C899F8DB8C1}">
            <xm:f>I123='[IV2_Seq9 - Notes ver4.6 - Rev0.xlsm]Categories'!#REF!</xm:f>
            <x14:dxf>
              <font>
                <b/>
                <i val="0"/>
              </font>
            </x14:dxf>
          </x14:cfRule>
          <xm:sqref>L123</xm:sqref>
        </x14:conditionalFormatting>
        <x14:conditionalFormatting xmlns:xm="http://schemas.microsoft.com/office/excel/2006/main">
          <x14:cfRule type="containsText" priority="369" operator="containsText" id="{AB3AA15A-321E-4A4A-A80E-023E1579C5D7}">
            <xm:f>NOT(ISERROR(SEARCH("-",G123)))</xm:f>
            <xm:f>"-"</xm:f>
            <x14:dxf>
              <fill>
                <patternFill>
                  <bgColor theme="0" tint="-4.9989318521683403E-2"/>
                </patternFill>
              </fill>
            </x14:dxf>
          </x14:cfRule>
          <xm:sqref>G123</xm:sqref>
        </x14:conditionalFormatting>
        <x14:conditionalFormatting xmlns:xm="http://schemas.microsoft.com/office/excel/2006/main">
          <x14:cfRule type="expression" priority="367" id="{3AE3E319-21AE-4073-89E9-46FA89EADEE1}">
            <xm:f>I123='[IV2_Seq9 - Notes ver4.6 - Rev0.xlsm]Categories'!#REF!</xm:f>
            <x14:dxf>
              <font>
                <b/>
                <i val="0"/>
              </font>
            </x14:dxf>
          </x14:cfRule>
          <xm:sqref>O123</xm:sqref>
        </x14:conditionalFormatting>
        <x14:conditionalFormatting xmlns:xm="http://schemas.microsoft.com/office/excel/2006/main">
          <x14:cfRule type="containsText" priority="365" operator="containsText" id="{E09FA97B-EBC8-42CE-ABB4-2BE1546DA03C}">
            <xm:f>NOT(ISERROR(SEARCH("-",Q123)))</xm:f>
            <xm:f>"-"</xm:f>
            <x14:dxf>
              <fill>
                <patternFill>
                  <bgColor theme="0"/>
                </patternFill>
              </fill>
            </x14:dxf>
          </x14:cfRule>
          <x14:cfRule type="notContainsText" priority="366" operator="notContains" id="{EAF662E0-8BA3-43D2-B30C-362244CDC043}">
            <xm:f>ISERROR(SEARCH("-",Q123))</xm:f>
            <xm:f>"-"</xm:f>
            <x14:dxf>
              <fill>
                <patternFill>
                  <bgColor theme="0" tint="-4.9989318521683403E-2"/>
                </patternFill>
              </fill>
            </x14:dxf>
          </x14:cfRule>
          <xm:sqref>Q123</xm:sqref>
        </x14:conditionalFormatting>
        <x14:conditionalFormatting xmlns:xm="http://schemas.microsoft.com/office/excel/2006/main">
          <x14:cfRule type="expression" priority="361" id="{58317CB8-0945-4A7A-BE67-E913E40772FE}">
            <xm:f>I123=Categories!$E$14</xm:f>
            <x14:dxf>
              <font>
                <b/>
                <i val="0"/>
              </font>
            </x14:dxf>
          </x14:cfRule>
          <x14:cfRule type="expression" priority="364" id="{BF786728-B26B-4E53-98A2-EEF77863B6E4}">
            <xm:f>I123='[IV2_Seq9 - Notes ver4.6 - Rev0.xlsm]Categories'!#REF!</xm:f>
            <x14:dxf>
              <font>
                <b/>
                <i val="0"/>
              </font>
            </x14:dxf>
          </x14:cfRule>
          <xm:sqref>O123</xm:sqref>
        </x14:conditionalFormatting>
        <x14:conditionalFormatting xmlns:xm="http://schemas.microsoft.com/office/excel/2006/main">
          <x14:cfRule type="expression" priority="363" id="{C575F337-D245-48F1-9DF6-5A68B5B96AA4}">
            <xm:f>I123=Categories!$E$19</xm:f>
            <x14:dxf>
              <font>
                <b/>
                <i val="0"/>
              </font>
            </x14:dxf>
          </x14:cfRule>
          <xm:sqref>K123</xm:sqref>
        </x14:conditionalFormatting>
        <x14:conditionalFormatting xmlns:xm="http://schemas.microsoft.com/office/excel/2006/main">
          <x14:cfRule type="expression" priority="362" id="{21F4C36E-FC40-45EA-9F6D-A357C1FB6474}">
            <xm:f>I123=Categories!$E$9</xm:f>
            <x14:dxf>
              <font>
                <b/>
                <i val="0"/>
              </font>
            </x14:dxf>
          </x14:cfRule>
          <xm:sqref>L123</xm:sqref>
        </x14:conditionalFormatting>
        <x14:conditionalFormatting xmlns:xm="http://schemas.microsoft.com/office/excel/2006/main">
          <x14:cfRule type="expression" priority="360" id="{F8D317C5-89B2-4AAA-B724-D60D7AB3F365}">
            <xm:f>I124='[IV2_Seq9 - Notes ver4.6 - Rev0.xlsm]Categories'!#REF!</xm:f>
            <x14:dxf>
              <font>
                <b/>
                <i val="0"/>
              </font>
            </x14:dxf>
          </x14:cfRule>
          <xm:sqref>L124:L130</xm:sqref>
        </x14:conditionalFormatting>
        <x14:conditionalFormatting xmlns:xm="http://schemas.microsoft.com/office/excel/2006/main">
          <x14:cfRule type="expression" priority="359" id="{053438EB-E4D6-4293-897B-9F3F1DA64AED}">
            <xm:f>I128='[IV2_Seq9 - Notes ver4.6 - Rev0.xlsm]Categories'!#REF!</xm:f>
            <x14:dxf>
              <font>
                <b/>
                <i val="0"/>
              </font>
            </x14:dxf>
          </x14:cfRule>
          <xm:sqref>L128</xm:sqref>
        </x14:conditionalFormatting>
        <x14:conditionalFormatting xmlns:xm="http://schemas.microsoft.com/office/excel/2006/main">
          <x14:cfRule type="expression" priority="358" id="{8275EBA4-4755-44B5-9403-D95BC4DE46BE}">
            <xm:f>I126='[IV2_Seq9 - Notes ver4.6 - Rev0.xlsm]Categories'!#REF!</xm:f>
            <x14:dxf>
              <font>
                <b/>
                <i val="0"/>
              </font>
            </x14:dxf>
          </x14:cfRule>
          <xm:sqref>L126</xm:sqref>
        </x14:conditionalFormatting>
        <x14:conditionalFormatting xmlns:xm="http://schemas.microsoft.com/office/excel/2006/main">
          <x14:cfRule type="containsText" priority="355" operator="containsText" id="{D312813A-8A9C-4300-980E-67CD29207EF7}">
            <xm:f>NOT(ISERROR(SEARCH("-",G124)))</xm:f>
            <xm:f>"-"</xm:f>
            <x14:dxf>
              <fill>
                <patternFill>
                  <bgColor theme="0" tint="-4.9989318521683403E-2"/>
                </patternFill>
              </fill>
            </x14:dxf>
          </x14:cfRule>
          <xm:sqref>G124</xm:sqref>
        </x14:conditionalFormatting>
        <x14:conditionalFormatting xmlns:xm="http://schemas.microsoft.com/office/excel/2006/main">
          <x14:cfRule type="expression" priority="353" id="{EDE3DAD9-89BA-4E3E-A854-D2360E6A8793}">
            <xm:f>I124='[IV2_Seq9 - Notes ver4.6 - Rev0.xlsm]Categories'!#REF!</xm:f>
            <x14:dxf>
              <font>
                <b/>
                <i val="0"/>
              </font>
            </x14:dxf>
          </x14:cfRule>
          <xm:sqref>L124</xm:sqref>
        </x14:conditionalFormatting>
        <x14:conditionalFormatting xmlns:xm="http://schemas.microsoft.com/office/excel/2006/main">
          <x14:cfRule type="expression" priority="352" id="{BB31CBBD-B2E6-478F-B65D-B1615B9B39E8}">
            <xm:f>I125='[IV2_Seq9 - Notes ver4.6 - Rev0.xlsm]Categories'!#REF!</xm:f>
            <x14:dxf>
              <font>
                <b/>
                <i val="0"/>
              </font>
            </x14:dxf>
          </x14:cfRule>
          <xm:sqref>L125</xm:sqref>
        </x14:conditionalFormatting>
        <x14:conditionalFormatting xmlns:xm="http://schemas.microsoft.com/office/excel/2006/main">
          <x14:cfRule type="expression" priority="351" id="{4B0D9E34-6EC7-4128-8B54-049AC27C3CEC}">
            <xm:f>I127='[IV2_Seq9 - Notes ver4.6 - Rev0.xlsm]Categories'!#REF!</xm:f>
            <x14:dxf>
              <font>
                <b/>
                <i val="0"/>
              </font>
            </x14:dxf>
          </x14:cfRule>
          <xm:sqref>L127</xm:sqref>
        </x14:conditionalFormatting>
        <x14:conditionalFormatting xmlns:xm="http://schemas.microsoft.com/office/excel/2006/main">
          <x14:cfRule type="expression" priority="350" id="{6FDC6506-F356-411C-A3E1-78A172928FBF}">
            <xm:f>I129='[IV2_Seq9 - Notes ver4.6 - Rev0.xlsm]Categories'!#REF!</xm:f>
            <x14:dxf>
              <font>
                <b/>
                <i val="0"/>
              </font>
            </x14:dxf>
          </x14:cfRule>
          <xm:sqref>L129</xm:sqref>
        </x14:conditionalFormatting>
        <x14:conditionalFormatting xmlns:xm="http://schemas.microsoft.com/office/excel/2006/main">
          <x14:cfRule type="expression" priority="349" id="{5CA39A9C-923B-4387-9B80-5839CDA6CA60}">
            <xm:f>I124='[IV2_Seq9 - Notes ver4.6 - Rev0.xlsm]Categories'!#REF!</xm:f>
            <x14:dxf>
              <font>
                <b/>
                <i val="0"/>
              </font>
            </x14:dxf>
          </x14:cfRule>
          <xm:sqref>O124:O130</xm:sqref>
        </x14:conditionalFormatting>
        <x14:conditionalFormatting xmlns:xm="http://schemas.microsoft.com/office/excel/2006/main">
          <x14:cfRule type="notContainsText" priority="348" operator="notContains" id="{56646CC3-A64E-413A-BBD5-EBDEFE51C2EF}">
            <xm:f>ISERROR(SEARCH("-",M124))</xm:f>
            <xm:f>"-"</xm:f>
            <x14:dxf>
              <fill>
                <patternFill>
                  <bgColor theme="0" tint="-4.9989318521683403E-2"/>
                </patternFill>
              </fill>
            </x14:dxf>
          </x14:cfRule>
          <xm:sqref>M124:N130</xm:sqref>
        </x14:conditionalFormatting>
        <x14:conditionalFormatting xmlns:xm="http://schemas.microsoft.com/office/excel/2006/main">
          <x14:cfRule type="containsText" priority="346" operator="containsText" id="{F23AC05D-13A9-4764-8702-A4B47C24CCE3}">
            <xm:f>NOT(ISERROR(SEARCH("-",Q124)))</xm:f>
            <xm:f>"-"</xm:f>
            <x14:dxf>
              <fill>
                <patternFill>
                  <bgColor theme="0"/>
                </patternFill>
              </fill>
            </x14:dxf>
          </x14:cfRule>
          <x14:cfRule type="notContainsText" priority="347" operator="notContains" id="{DA46529B-3DBF-4C53-9D0F-875581A6846F}">
            <xm:f>ISERROR(SEARCH("-",Q124))</xm:f>
            <xm:f>"-"</xm:f>
            <x14:dxf>
              <fill>
                <patternFill>
                  <bgColor theme="0" tint="-4.9989318521683403E-2"/>
                </patternFill>
              </fill>
            </x14:dxf>
          </x14:cfRule>
          <xm:sqref>Q124:Q130</xm:sqref>
        </x14:conditionalFormatting>
        <x14:conditionalFormatting xmlns:xm="http://schemas.microsoft.com/office/excel/2006/main">
          <x14:cfRule type="containsText" priority="254" operator="containsText" id="{F2307826-AC44-4387-A05C-28CCE14BCCC9}">
            <xm:f>NOT(ISERROR(SEARCH("-",G166)))</xm:f>
            <xm:f>"-"</xm:f>
            <x14:dxf>
              <fill>
                <patternFill>
                  <bgColor theme="0" tint="-4.9989318521683403E-2"/>
                </patternFill>
              </fill>
            </x14:dxf>
          </x14:cfRule>
          <xm:sqref>G166</xm:sqref>
        </x14:conditionalFormatting>
        <x14:conditionalFormatting xmlns:xm="http://schemas.microsoft.com/office/excel/2006/main">
          <x14:cfRule type="expression" priority="338" id="{43242AA6-70DD-4CE7-92A6-2705987AD19F}">
            <xm:f>I124=Categories!$E$14</xm:f>
            <x14:dxf>
              <font>
                <b/>
                <i val="0"/>
              </font>
            </x14:dxf>
          </x14:cfRule>
          <x14:cfRule type="expression" priority="341" id="{2A50FB3E-EB79-455C-BBB9-B90AD4E3748F}">
            <xm:f>I124='[IV2_Seq9 - Notes ver4.6 - Rev0.xlsm]Categories'!#REF!</xm:f>
            <x14:dxf>
              <font>
                <b/>
                <i val="0"/>
              </font>
            </x14:dxf>
          </x14:cfRule>
          <xm:sqref>O124:O130</xm:sqref>
        </x14:conditionalFormatting>
        <x14:conditionalFormatting xmlns:xm="http://schemas.microsoft.com/office/excel/2006/main">
          <x14:cfRule type="expression" priority="340" id="{FFD2A4BF-4288-4DA9-8E1E-C489007893E0}">
            <xm:f>I124=Categories!$E$19</xm:f>
            <x14:dxf>
              <font>
                <b/>
                <i val="0"/>
              </font>
            </x14:dxf>
          </x14:cfRule>
          <xm:sqref>K124:K130</xm:sqref>
        </x14:conditionalFormatting>
        <x14:conditionalFormatting xmlns:xm="http://schemas.microsoft.com/office/excel/2006/main">
          <x14:cfRule type="expression" priority="339" id="{64BC4F7F-4131-4F51-A65F-548A6F7252DA}">
            <xm:f>I124=Categories!$E$9</xm:f>
            <x14:dxf>
              <font>
                <b/>
                <i val="0"/>
              </font>
            </x14:dxf>
          </x14:cfRule>
          <xm:sqref>L124:L130</xm:sqref>
        </x14:conditionalFormatting>
        <x14:conditionalFormatting xmlns:xm="http://schemas.microsoft.com/office/excel/2006/main">
          <x14:cfRule type="expression" priority="337" id="{D958D6CE-34F8-414C-BFDE-343D4E41553E}">
            <xm:f>I131='[IV2_Seq9 - Notes ver4.6 - Rev0.xlsm]Categories'!#REF!</xm:f>
            <x14:dxf>
              <font>
                <b/>
                <i val="0"/>
              </font>
            </x14:dxf>
          </x14:cfRule>
          <xm:sqref>L131</xm:sqref>
        </x14:conditionalFormatting>
        <x14:conditionalFormatting xmlns:xm="http://schemas.microsoft.com/office/excel/2006/main">
          <x14:cfRule type="notContainsText" priority="336" operator="notContains" id="{69A6D036-6B80-4317-B9CB-3427677EDF0C}">
            <xm:f>ISERROR(SEARCH("-",M131))</xm:f>
            <xm:f>"-"</xm:f>
            <x14:dxf>
              <fill>
                <patternFill>
                  <bgColor theme="0" tint="-4.9989318521683403E-2"/>
                </patternFill>
              </fill>
            </x14:dxf>
          </x14:cfRule>
          <xm:sqref>M131:N131</xm:sqref>
        </x14:conditionalFormatting>
        <x14:conditionalFormatting xmlns:xm="http://schemas.microsoft.com/office/excel/2006/main">
          <x14:cfRule type="expression" priority="335" id="{89F9D8EB-C34D-4B9E-AA3D-E44547A4D0D9}">
            <xm:f>I131='[IV2_Seq9 - Notes ver4.6 - Rev0.xlsm]Categories'!#REF!</xm:f>
            <x14:dxf>
              <font>
                <b/>
                <i val="0"/>
              </font>
            </x14:dxf>
          </x14:cfRule>
          <xm:sqref>L131</xm:sqref>
        </x14:conditionalFormatting>
        <x14:conditionalFormatting xmlns:xm="http://schemas.microsoft.com/office/excel/2006/main">
          <x14:cfRule type="containsText" priority="332" operator="containsText" id="{8A9DD015-B5B9-49E5-87F0-C3E6528312D1}">
            <xm:f>NOT(ISERROR(SEARCH("-",G131)))</xm:f>
            <xm:f>"-"</xm:f>
            <x14:dxf>
              <fill>
                <patternFill>
                  <bgColor theme="0" tint="-4.9989318521683403E-2"/>
                </patternFill>
              </fill>
            </x14:dxf>
          </x14:cfRule>
          <xm:sqref>G131</xm:sqref>
        </x14:conditionalFormatting>
        <x14:conditionalFormatting xmlns:xm="http://schemas.microsoft.com/office/excel/2006/main">
          <x14:cfRule type="expression" priority="330" id="{B7A07FBD-D4C5-485F-87F3-5F971B5836F2}">
            <xm:f>I131='[IV2_Seq9 - Notes ver4.6 - Rev0.xlsm]Categories'!#REF!</xm:f>
            <x14:dxf>
              <font>
                <b/>
                <i val="0"/>
              </font>
            </x14:dxf>
          </x14:cfRule>
          <xm:sqref>O131</xm:sqref>
        </x14:conditionalFormatting>
        <x14:conditionalFormatting xmlns:xm="http://schemas.microsoft.com/office/excel/2006/main">
          <x14:cfRule type="containsText" priority="328" operator="containsText" id="{69957EC2-2463-475D-B653-E59E02482C89}">
            <xm:f>NOT(ISERROR(SEARCH("-",Q131)))</xm:f>
            <xm:f>"-"</xm:f>
            <x14:dxf>
              <fill>
                <patternFill>
                  <bgColor theme="0"/>
                </patternFill>
              </fill>
            </x14:dxf>
          </x14:cfRule>
          <x14:cfRule type="notContainsText" priority="329" operator="notContains" id="{9B0DBF60-7093-4151-8725-2E9E218BDCAD}">
            <xm:f>ISERROR(SEARCH("-",Q131))</xm:f>
            <xm:f>"-"</xm:f>
            <x14:dxf>
              <fill>
                <patternFill>
                  <bgColor theme="0" tint="-4.9989318521683403E-2"/>
                </patternFill>
              </fill>
            </x14:dxf>
          </x14:cfRule>
          <xm:sqref>Q131</xm:sqref>
        </x14:conditionalFormatting>
        <x14:conditionalFormatting xmlns:xm="http://schemas.microsoft.com/office/excel/2006/main">
          <x14:cfRule type="expression" priority="324" id="{FBF687BF-9947-484E-A608-EE65722DE319}">
            <xm:f>I131=Categories!$E$14</xm:f>
            <x14:dxf>
              <font>
                <b/>
                <i val="0"/>
              </font>
            </x14:dxf>
          </x14:cfRule>
          <x14:cfRule type="expression" priority="327" id="{79F0CF07-764E-42E3-8814-3E63FEE4A4B0}">
            <xm:f>I131='[IV2_Seq9 - Notes ver4.6 - Rev0.xlsm]Categories'!#REF!</xm:f>
            <x14:dxf>
              <font>
                <b/>
                <i val="0"/>
              </font>
            </x14:dxf>
          </x14:cfRule>
          <xm:sqref>O131</xm:sqref>
        </x14:conditionalFormatting>
        <x14:conditionalFormatting xmlns:xm="http://schemas.microsoft.com/office/excel/2006/main">
          <x14:cfRule type="expression" priority="326" id="{D2E9238E-855B-489A-A140-ABF49BD1626D}">
            <xm:f>I131=Categories!$E$19</xm:f>
            <x14:dxf>
              <font>
                <b/>
                <i val="0"/>
              </font>
            </x14:dxf>
          </x14:cfRule>
          <xm:sqref>K131</xm:sqref>
        </x14:conditionalFormatting>
        <x14:conditionalFormatting xmlns:xm="http://schemas.microsoft.com/office/excel/2006/main">
          <x14:cfRule type="expression" priority="325" id="{4812FF0F-470F-456E-BD95-F1B70C043009}">
            <xm:f>I131=Categories!$E$9</xm:f>
            <x14:dxf>
              <font>
                <b/>
                <i val="0"/>
              </font>
            </x14:dxf>
          </x14:cfRule>
          <xm:sqref>L131</xm:sqref>
        </x14:conditionalFormatting>
        <x14:conditionalFormatting xmlns:xm="http://schemas.microsoft.com/office/excel/2006/main">
          <x14:cfRule type="expression" priority="323" id="{674E2DA3-4D64-4874-A6C2-8CA74DBBDEE9}">
            <xm:f>I154='[IV2_Seq9 - Notes ver4.6 - Rev0.xlsm]Categories'!#REF!</xm:f>
            <x14:dxf>
              <font>
                <b/>
                <i val="0"/>
              </font>
            </x14:dxf>
          </x14:cfRule>
          <xm:sqref>L154:L165</xm:sqref>
        </x14:conditionalFormatting>
        <x14:conditionalFormatting xmlns:xm="http://schemas.microsoft.com/office/excel/2006/main">
          <x14:cfRule type="expression" priority="322" id="{D416362B-0932-41D6-9794-7E6AD146AE46}">
            <xm:f>I162='[IV2_Seq9 - Notes ver4.6 - Rev0.xlsm]Categories'!#REF!</xm:f>
            <x14:dxf>
              <font>
                <b/>
                <i val="0"/>
              </font>
            </x14:dxf>
          </x14:cfRule>
          <xm:sqref>L162:L165</xm:sqref>
        </x14:conditionalFormatting>
        <x14:conditionalFormatting xmlns:xm="http://schemas.microsoft.com/office/excel/2006/main">
          <x14:cfRule type="notContainsText" priority="320" operator="notContains" id="{0606AE90-A40C-43C4-9902-35DFEA42D1BC}">
            <xm:f>ISERROR(SEARCH("-",M132))</xm:f>
            <xm:f>"-"</xm:f>
            <x14:dxf>
              <fill>
                <patternFill>
                  <bgColor theme="0" tint="-4.9989318521683403E-2"/>
                </patternFill>
              </fill>
            </x14:dxf>
          </x14:cfRule>
          <xm:sqref>M132:N140 M154:N165</xm:sqref>
        </x14:conditionalFormatting>
        <x14:conditionalFormatting xmlns:xm="http://schemas.microsoft.com/office/excel/2006/main">
          <x14:cfRule type="expression" priority="319" id="{B1AF5A11-5A6F-4DFF-B092-68C6D694837F}">
            <xm:f>I154='[IV2_Seq9 - Notes ver4.6 - Rev0.xlsm]Categories'!#REF!</xm:f>
            <x14:dxf>
              <font>
                <b/>
                <i val="0"/>
              </font>
            </x14:dxf>
          </x14:cfRule>
          <xm:sqref>O154:O165</xm:sqref>
        </x14:conditionalFormatting>
        <x14:conditionalFormatting xmlns:xm="http://schemas.microsoft.com/office/excel/2006/main">
          <x14:cfRule type="containsText" priority="312" operator="containsText" id="{96BED939-6F96-46AA-BA5C-4BF45AF77375}">
            <xm:f>NOT(ISERROR(SEARCH("-",G133)))</xm:f>
            <xm:f>"-"</xm:f>
            <x14:dxf>
              <fill>
                <patternFill>
                  <bgColor theme="0" tint="-4.9989318521683403E-2"/>
                </patternFill>
              </fill>
            </x14:dxf>
          </x14:cfRule>
          <xm:sqref>G133</xm:sqref>
        </x14:conditionalFormatting>
        <x14:conditionalFormatting xmlns:xm="http://schemas.microsoft.com/office/excel/2006/main">
          <x14:cfRule type="containsText" priority="302" operator="containsText" id="{B87B46E6-9395-478D-9896-9D81BCBA9A83}">
            <xm:f>NOT(ISERROR(SEARCH("-",G155)))</xm:f>
            <xm:f>"-"</xm:f>
            <x14:dxf>
              <fill>
                <patternFill>
                  <bgColor theme="0" tint="-4.9989318521683403E-2"/>
                </patternFill>
              </fill>
            </x14:dxf>
          </x14:cfRule>
          <xm:sqref>G155</xm:sqref>
        </x14:conditionalFormatting>
        <x14:conditionalFormatting xmlns:xm="http://schemas.microsoft.com/office/excel/2006/main">
          <x14:cfRule type="containsText" priority="316" operator="containsText" id="{33887A77-9981-409C-B9E4-E00499C1201C}">
            <xm:f>NOT(ISERROR(SEARCH("-",G132)))</xm:f>
            <xm:f>"-"</xm:f>
            <x14:dxf>
              <fill>
                <patternFill>
                  <bgColor theme="0" tint="-4.9989318521683403E-2"/>
                </patternFill>
              </fill>
            </x14:dxf>
          </x14:cfRule>
          <xm:sqref>G132</xm:sqref>
        </x14:conditionalFormatting>
        <x14:conditionalFormatting xmlns:xm="http://schemas.microsoft.com/office/excel/2006/main">
          <x14:cfRule type="expression" priority="310" id="{266430B7-C9C4-4F4F-A95C-916FE15A6DAE}">
            <xm:f>I132='[IV2_Seq9 - Notes ver4.6 - Rev0.xlsm]Categories'!#REF!</xm:f>
            <x14:dxf>
              <font>
                <b/>
                <i val="0"/>
              </font>
            </x14:dxf>
          </x14:cfRule>
          <xm:sqref>L132:L134</xm:sqref>
        </x14:conditionalFormatting>
        <x14:conditionalFormatting xmlns:xm="http://schemas.microsoft.com/office/excel/2006/main">
          <x14:cfRule type="expression" priority="309" id="{C81D4471-A26D-429D-AFF0-52F63851CD1E}">
            <xm:f>I135='[IV2_Seq9 - Notes ver4.6 - Rev0.xlsm]Categories'!#REF!</xm:f>
            <x14:dxf>
              <font>
                <b/>
                <i val="0"/>
              </font>
            </x14:dxf>
          </x14:cfRule>
          <xm:sqref>L135:L137 L154</xm:sqref>
        </x14:conditionalFormatting>
        <x14:conditionalFormatting xmlns:xm="http://schemas.microsoft.com/office/excel/2006/main">
          <x14:cfRule type="containsText" priority="306" operator="containsText" id="{CB547D8E-FCC3-477B-8DA4-333C8B117D17}">
            <xm:f>NOT(ISERROR(SEARCH("-",G154)))</xm:f>
            <xm:f>"-"</xm:f>
            <x14:dxf>
              <fill>
                <patternFill>
                  <bgColor theme="0" tint="-4.9989318521683403E-2"/>
                </patternFill>
              </fill>
            </x14:dxf>
          </x14:cfRule>
          <xm:sqref>G154</xm:sqref>
        </x14:conditionalFormatting>
        <x14:conditionalFormatting xmlns:xm="http://schemas.microsoft.com/office/excel/2006/main">
          <x14:cfRule type="expression" priority="300" id="{FD9D8F49-433F-4A13-A772-B7E4AE7F79FC}">
            <xm:f>I156='[IV2_Seq9 - Notes ver4.6 - Rev0.xlsm]Categories'!#REF!</xm:f>
            <x14:dxf>
              <font>
                <b/>
                <i val="0"/>
              </font>
            </x14:dxf>
          </x14:cfRule>
          <xm:sqref>L156</xm:sqref>
        </x14:conditionalFormatting>
        <x14:conditionalFormatting xmlns:xm="http://schemas.microsoft.com/office/excel/2006/main">
          <x14:cfRule type="expression" priority="299" id="{3E8A2721-12C1-42CF-8DF9-4B85501EAF57}">
            <xm:f>I155='[IV2_Seq9 - Notes ver4.6 - Rev0.xlsm]Categories'!#REF!</xm:f>
            <x14:dxf>
              <font>
                <b/>
                <i val="0"/>
              </font>
            </x14:dxf>
          </x14:cfRule>
          <xm:sqref>L155</xm:sqref>
        </x14:conditionalFormatting>
        <x14:conditionalFormatting xmlns:xm="http://schemas.microsoft.com/office/excel/2006/main">
          <x14:cfRule type="expression" priority="298" id="{3AD17A77-2326-4505-9CCD-A0A415F73F7C}">
            <xm:f>I157='[IV2_Seq9 - Notes ver4.6 - Rev0.xlsm]Categories'!#REF!</xm:f>
            <x14:dxf>
              <font>
                <b/>
                <i val="0"/>
              </font>
            </x14:dxf>
          </x14:cfRule>
          <xm:sqref>L157</xm:sqref>
        </x14:conditionalFormatting>
        <x14:conditionalFormatting xmlns:xm="http://schemas.microsoft.com/office/excel/2006/main">
          <x14:cfRule type="expression" priority="297" id="{C9045355-BBE5-49AF-99F3-3FED0E26F2E5}">
            <xm:f>I132='[IV2_Seq9 - Notes ver4.6 - Rev0.xlsm]Categories'!#REF!</xm:f>
            <x14:dxf>
              <font>
                <b/>
                <i val="0"/>
              </font>
            </x14:dxf>
          </x14:cfRule>
          <xm:sqref>O132</xm:sqref>
        </x14:conditionalFormatting>
        <x14:conditionalFormatting xmlns:xm="http://schemas.microsoft.com/office/excel/2006/main">
          <x14:cfRule type="expression" priority="296" id="{3D360C6B-6968-41B5-99D8-7B4690DB0CDF}">
            <xm:f>I133='[IV2_Seq9 - Notes ver4.6 - Rev0.xlsm]Categories'!#REF!</xm:f>
            <x14:dxf>
              <font>
                <b/>
                <i val="0"/>
              </font>
            </x14:dxf>
          </x14:cfRule>
          <xm:sqref>O133</xm:sqref>
        </x14:conditionalFormatting>
        <x14:conditionalFormatting xmlns:xm="http://schemas.microsoft.com/office/excel/2006/main">
          <x14:cfRule type="expression" priority="295" id="{F1C866A8-24B3-4C96-A63F-C6E3FA773075}">
            <xm:f>I134='[IV2_Seq9 - Notes ver4.6 - Rev0.xlsm]Categories'!#REF!</xm:f>
            <x14:dxf>
              <font>
                <b/>
                <i val="0"/>
              </font>
            </x14:dxf>
          </x14:cfRule>
          <xm:sqref>O134:O137</xm:sqref>
        </x14:conditionalFormatting>
        <x14:conditionalFormatting xmlns:xm="http://schemas.microsoft.com/office/excel/2006/main">
          <x14:cfRule type="expression" priority="292" id="{A1E135CA-27CB-411D-A2E2-C8BF4FF2D9C7}">
            <xm:f>I138='[IV2_Seq9 - Notes ver4.6 - Rev0.xlsm]Categories'!#REF!</xm:f>
            <x14:dxf>
              <font>
                <b/>
                <i val="0"/>
              </font>
            </x14:dxf>
          </x14:cfRule>
          <xm:sqref>L138:L139</xm:sqref>
        </x14:conditionalFormatting>
        <x14:conditionalFormatting xmlns:xm="http://schemas.microsoft.com/office/excel/2006/main">
          <x14:cfRule type="expression" priority="291" id="{B7D8A026-8B26-4234-997B-26C2CD5CBDF2}">
            <xm:f>I138='[IV2_Seq9 - Notes ver4.6 - Rev0.xlsm]Categories'!#REF!</xm:f>
            <x14:dxf>
              <font>
                <b/>
                <i val="0"/>
              </font>
            </x14:dxf>
          </x14:cfRule>
          <xm:sqref>O138:O139</xm:sqref>
        </x14:conditionalFormatting>
        <x14:conditionalFormatting xmlns:xm="http://schemas.microsoft.com/office/excel/2006/main">
          <x14:cfRule type="expression" priority="290" id="{7731657D-0F4F-4385-A146-03C9616FD361}">
            <xm:f>I160='[IV2_Seq9 - Notes ver4.6 - Rev0.xlsm]Categories'!#REF!</xm:f>
            <x14:dxf>
              <font>
                <b/>
                <i val="0"/>
              </font>
            </x14:dxf>
          </x14:cfRule>
          <xm:sqref>L160:L161</xm:sqref>
        </x14:conditionalFormatting>
        <x14:conditionalFormatting xmlns:xm="http://schemas.microsoft.com/office/excel/2006/main">
          <x14:cfRule type="expression" priority="289" id="{909D2354-1FC2-41DC-8B7E-715A19974B1D}">
            <xm:f>I158='[IV2_Seq9 - Notes ver4.6 - Rev0.xlsm]Categories'!#REF!</xm:f>
            <x14:dxf>
              <font>
                <b/>
                <i val="0"/>
              </font>
            </x14:dxf>
          </x14:cfRule>
          <xm:sqref>L158:L159</xm:sqref>
        </x14:conditionalFormatting>
        <x14:conditionalFormatting xmlns:xm="http://schemas.microsoft.com/office/excel/2006/main">
          <x14:cfRule type="containsText" priority="287" operator="containsText" id="{68140C1C-836D-4E06-A55F-686C617FD11A}">
            <xm:f>NOT(ISERROR(SEARCH("-",Q132)))</xm:f>
            <xm:f>"-"</xm:f>
            <x14:dxf>
              <fill>
                <patternFill>
                  <bgColor theme="0"/>
                </patternFill>
              </fill>
            </x14:dxf>
          </x14:cfRule>
          <x14:cfRule type="notContainsText" priority="288" operator="notContains" id="{81053875-C68F-43CD-94AD-383434997F0D}">
            <xm:f>ISERROR(SEARCH("-",Q132))</xm:f>
            <xm:f>"-"</xm:f>
            <x14:dxf>
              <fill>
                <patternFill>
                  <bgColor theme="0" tint="-4.9989318521683403E-2"/>
                </patternFill>
              </fill>
            </x14:dxf>
          </x14:cfRule>
          <xm:sqref>Q132:Q140 Q154:Q165</xm:sqref>
        </x14:conditionalFormatting>
        <x14:conditionalFormatting xmlns:xm="http://schemas.microsoft.com/office/excel/2006/main">
          <x14:cfRule type="expression" priority="283" id="{38B97D7E-F893-429D-A5F0-4F405AD7A200}">
            <xm:f>I154=Categories!$E$14</xm:f>
            <x14:dxf>
              <font>
                <b/>
                <i val="0"/>
              </font>
            </x14:dxf>
          </x14:cfRule>
          <x14:cfRule type="expression" priority="286" id="{ADA142D3-6038-4BEF-BADC-87636C60AAB3}">
            <xm:f>I154='[IV2_Seq9 - Notes ver4.6 - Rev0.xlsm]Categories'!#REF!</xm:f>
            <x14:dxf>
              <font>
                <b/>
                <i val="0"/>
              </font>
            </x14:dxf>
          </x14:cfRule>
          <xm:sqref>O154:O165</xm:sqref>
        </x14:conditionalFormatting>
        <x14:conditionalFormatting xmlns:xm="http://schemas.microsoft.com/office/excel/2006/main">
          <x14:cfRule type="expression" priority="285" id="{ACBF889F-D606-465C-90BB-AF5F0BE06A08}">
            <xm:f>I154=Categories!$E$19</xm:f>
            <x14:dxf>
              <font>
                <b/>
                <i val="0"/>
              </font>
            </x14:dxf>
          </x14:cfRule>
          <xm:sqref>K154:K165</xm:sqref>
        </x14:conditionalFormatting>
        <x14:conditionalFormatting xmlns:xm="http://schemas.microsoft.com/office/excel/2006/main">
          <x14:cfRule type="expression" priority="284" id="{52277E43-241C-44BA-A114-3AFD5FF4D23B}">
            <xm:f>I154=Categories!$E$9</xm:f>
            <x14:dxf>
              <font>
                <b/>
                <i val="0"/>
              </font>
            </x14:dxf>
          </x14:cfRule>
          <xm:sqref>L154:L165</xm:sqref>
        </x14:conditionalFormatting>
        <x14:conditionalFormatting xmlns:xm="http://schemas.microsoft.com/office/excel/2006/main">
          <x14:cfRule type="expression" priority="282" id="{A5495A81-CE02-474D-9278-E0BAFEB762B2}">
            <xm:f>I153='[IV2_Seq9 - Notes ver4.6 - Rev0.xlsm]Categories'!#REF!</xm:f>
            <x14:dxf>
              <font>
                <b/>
                <i val="0"/>
              </font>
            </x14:dxf>
          </x14:cfRule>
          <xm:sqref>L153</xm:sqref>
        </x14:conditionalFormatting>
        <x14:conditionalFormatting xmlns:xm="http://schemas.microsoft.com/office/excel/2006/main">
          <x14:cfRule type="notContainsText" priority="281" operator="notContains" id="{ABD3646E-ACBD-48A8-8CF9-99D1F636A5B0}">
            <xm:f>ISERROR(SEARCH("-",M153))</xm:f>
            <xm:f>"-"</xm:f>
            <x14:dxf>
              <fill>
                <patternFill>
                  <bgColor theme="0" tint="-4.9989318521683403E-2"/>
                </patternFill>
              </fill>
            </x14:dxf>
          </x14:cfRule>
          <xm:sqref>M153:N153</xm:sqref>
        </x14:conditionalFormatting>
        <x14:conditionalFormatting xmlns:xm="http://schemas.microsoft.com/office/excel/2006/main">
          <x14:cfRule type="expression" priority="280" id="{E89DC2DC-1F3F-4BA2-92B3-87334C52C3A6}">
            <xm:f>I153='[IV2_Seq9 - Notes ver4.6 - Rev0.xlsm]Categories'!#REF!</xm:f>
            <x14:dxf>
              <font>
                <b/>
                <i val="0"/>
              </font>
            </x14:dxf>
          </x14:cfRule>
          <xm:sqref>L153</xm:sqref>
        </x14:conditionalFormatting>
        <x14:conditionalFormatting xmlns:xm="http://schemas.microsoft.com/office/excel/2006/main">
          <x14:cfRule type="containsText" priority="277" operator="containsText" id="{1FDCC447-01A6-4C34-99BB-0E99A06D3070}">
            <xm:f>NOT(ISERROR(SEARCH("-",G153)))</xm:f>
            <xm:f>"-"</xm:f>
            <x14:dxf>
              <fill>
                <patternFill>
                  <bgColor theme="0" tint="-4.9989318521683403E-2"/>
                </patternFill>
              </fill>
            </x14:dxf>
          </x14:cfRule>
          <xm:sqref>G153</xm:sqref>
        </x14:conditionalFormatting>
        <x14:conditionalFormatting xmlns:xm="http://schemas.microsoft.com/office/excel/2006/main">
          <x14:cfRule type="expression" priority="275" id="{2C973881-5135-4785-80A8-95B5E50BF702}">
            <xm:f>I153='[IV2_Seq9 - Notes ver4.6 - Rev0.xlsm]Categories'!#REF!</xm:f>
            <x14:dxf>
              <font>
                <b/>
                <i val="0"/>
              </font>
            </x14:dxf>
          </x14:cfRule>
          <xm:sqref>O153</xm:sqref>
        </x14:conditionalFormatting>
        <x14:conditionalFormatting xmlns:xm="http://schemas.microsoft.com/office/excel/2006/main">
          <x14:cfRule type="containsText" priority="273" operator="containsText" id="{5881F4AC-06FB-4A24-BD26-E819949B2CFC}">
            <xm:f>NOT(ISERROR(SEARCH("-",Q153)))</xm:f>
            <xm:f>"-"</xm:f>
            <x14:dxf>
              <fill>
                <patternFill>
                  <bgColor theme="0"/>
                </patternFill>
              </fill>
            </x14:dxf>
          </x14:cfRule>
          <x14:cfRule type="notContainsText" priority="274" operator="notContains" id="{C9BD0F58-BC33-4176-A2F7-E668268E8CF1}">
            <xm:f>ISERROR(SEARCH("-",Q153))</xm:f>
            <xm:f>"-"</xm:f>
            <x14:dxf>
              <fill>
                <patternFill>
                  <bgColor theme="0" tint="-4.9989318521683403E-2"/>
                </patternFill>
              </fill>
            </x14:dxf>
          </x14:cfRule>
          <xm:sqref>Q153</xm:sqref>
        </x14:conditionalFormatting>
        <x14:conditionalFormatting xmlns:xm="http://schemas.microsoft.com/office/excel/2006/main">
          <x14:cfRule type="expression" priority="269" id="{A99EF7CD-8BAB-43FA-BF00-9B3784A9BBF0}">
            <xm:f>I153=Categories!$E$14</xm:f>
            <x14:dxf>
              <font>
                <b/>
                <i val="0"/>
              </font>
            </x14:dxf>
          </x14:cfRule>
          <x14:cfRule type="expression" priority="272" id="{4895AC1B-A6B0-486C-91E0-8FE2B133EE18}">
            <xm:f>I153='[IV2_Seq9 - Notes ver4.6 - Rev0.xlsm]Categories'!#REF!</xm:f>
            <x14:dxf>
              <font>
                <b/>
                <i val="0"/>
              </font>
            </x14:dxf>
          </x14:cfRule>
          <xm:sqref>O153</xm:sqref>
        </x14:conditionalFormatting>
        <x14:conditionalFormatting xmlns:xm="http://schemas.microsoft.com/office/excel/2006/main">
          <x14:cfRule type="expression" priority="271" id="{323318E6-A015-4971-846B-86A9A5C4B112}">
            <xm:f>I153=Categories!$E$19</xm:f>
            <x14:dxf>
              <font>
                <b/>
                <i val="0"/>
              </font>
            </x14:dxf>
          </x14:cfRule>
          <xm:sqref>K153</xm:sqref>
        </x14:conditionalFormatting>
        <x14:conditionalFormatting xmlns:xm="http://schemas.microsoft.com/office/excel/2006/main">
          <x14:cfRule type="expression" priority="270" id="{638B243D-C1B0-4E73-BBD0-C876B32F0FE6}">
            <xm:f>I153=Categories!$E$9</xm:f>
            <x14:dxf>
              <font>
                <b/>
                <i val="0"/>
              </font>
            </x14:dxf>
          </x14:cfRule>
          <xm:sqref>L153</xm:sqref>
        </x14:conditionalFormatting>
        <x14:conditionalFormatting xmlns:xm="http://schemas.microsoft.com/office/excel/2006/main">
          <x14:cfRule type="containsText" priority="181" operator="containsText" id="{3B37D5CA-1E70-47BD-AA16-31E29DC1DFA2}">
            <xm:f>NOT(ISERROR(SEARCH("-",G194)))</xm:f>
            <xm:f>"-"</xm:f>
            <x14:dxf>
              <fill>
                <patternFill>
                  <bgColor theme="0" tint="-4.9989318521683403E-2"/>
                </patternFill>
              </fill>
            </x14:dxf>
          </x14:cfRule>
          <xm:sqref>G194:G199</xm:sqref>
        </x14:conditionalFormatting>
        <x14:conditionalFormatting xmlns:xm="http://schemas.microsoft.com/office/excel/2006/main">
          <x14:cfRule type="expression" priority="260" id="{FFC2A5D1-A4A6-410A-9FDD-5B1DCB338321}">
            <xm:f>I166='[IV2_Seq9 - Notes ver4.6 - Rev0.xlsm]Categories'!#REF!</xm:f>
            <x14:dxf>
              <font>
                <b/>
                <i val="0"/>
              </font>
            </x14:dxf>
          </x14:cfRule>
          <xm:sqref>L166</xm:sqref>
        </x14:conditionalFormatting>
        <x14:conditionalFormatting xmlns:xm="http://schemas.microsoft.com/office/excel/2006/main">
          <x14:cfRule type="notContainsText" priority="259" operator="notContains" id="{559D4AA3-1EDB-41CA-99BD-D63B854C72DC}">
            <xm:f>ISERROR(SEARCH("-",M166))</xm:f>
            <xm:f>"-"</xm:f>
            <x14:dxf>
              <fill>
                <patternFill>
                  <bgColor theme="0" tint="-4.9989318521683403E-2"/>
                </patternFill>
              </fill>
            </x14:dxf>
          </x14:cfRule>
          <xm:sqref>M166:N166</xm:sqref>
        </x14:conditionalFormatting>
        <x14:conditionalFormatting xmlns:xm="http://schemas.microsoft.com/office/excel/2006/main">
          <x14:cfRule type="expression" priority="258" id="{B8AF99F7-B045-4A38-8261-659E1417F6EF}">
            <xm:f>I166='[IV2_Seq9 - Notes ver4.6 - Rev0.xlsm]Categories'!#REF!</xm:f>
            <x14:dxf>
              <font>
                <b/>
                <i val="0"/>
              </font>
            </x14:dxf>
          </x14:cfRule>
          <xm:sqref>O166</xm:sqref>
        </x14:conditionalFormatting>
        <x14:conditionalFormatting xmlns:xm="http://schemas.microsoft.com/office/excel/2006/main">
          <x14:cfRule type="expression" priority="257" id="{98631B16-DEB7-4BD3-ADD4-F1AE3B97088C}">
            <xm:f>I166='[IV2_Seq9 - Notes ver4.6 - Rev0.xlsm]Categories'!#REF!</xm:f>
            <x14:dxf>
              <font>
                <b/>
                <i val="0"/>
              </font>
            </x14:dxf>
          </x14:cfRule>
          <xm:sqref>L166</xm:sqref>
        </x14:conditionalFormatting>
        <x14:conditionalFormatting xmlns:xm="http://schemas.microsoft.com/office/excel/2006/main">
          <x14:cfRule type="containsText" priority="251" operator="containsText" id="{442FF446-80F6-4E3F-9482-2E661C4258A4}">
            <xm:f>NOT(ISERROR(SEARCH("-",Q166)))</xm:f>
            <xm:f>"-"</xm:f>
            <x14:dxf>
              <fill>
                <patternFill>
                  <bgColor theme="0"/>
                </patternFill>
              </fill>
            </x14:dxf>
          </x14:cfRule>
          <x14:cfRule type="notContainsText" priority="252" operator="notContains" id="{679ED8C6-E713-4109-80D8-62EC369F8B13}">
            <xm:f>ISERROR(SEARCH("-",Q166))</xm:f>
            <xm:f>"-"</xm:f>
            <x14:dxf>
              <fill>
                <patternFill>
                  <bgColor theme="0" tint="-4.9989318521683403E-2"/>
                </patternFill>
              </fill>
            </x14:dxf>
          </x14:cfRule>
          <xm:sqref>Q166</xm:sqref>
        </x14:conditionalFormatting>
        <x14:conditionalFormatting xmlns:xm="http://schemas.microsoft.com/office/excel/2006/main">
          <x14:cfRule type="expression" priority="247" id="{53BFA705-61B8-4A13-978A-B7A554287A08}">
            <xm:f>I166=Categories!$E$14</xm:f>
            <x14:dxf>
              <font>
                <b/>
                <i val="0"/>
              </font>
            </x14:dxf>
          </x14:cfRule>
          <x14:cfRule type="expression" priority="250" id="{CD7304E0-9C7B-49CB-A11F-1047CC11FC73}">
            <xm:f>I166='[IV2_Seq9 - Notes ver4.6 - Rev0.xlsm]Categories'!#REF!</xm:f>
            <x14:dxf>
              <font>
                <b/>
                <i val="0"/>
              </font>
            </x14:dxf>
          </x14:cfRule>
          <xm:sqref>O166</xm:sqref>
        </x14:conditionalFormatting>
        <x14:conditionalFormatting xmlns:xm="http://schemas.microsoft.com/office/excel/2006/main">
          <x14:cfRule type="expression" priority="249" id="{9D0EFC6B-6C4D-4492-A2A3-6B7EA0B6331A}">
            <xm:f>I166=Categories!$E$19</xm:f>
            <x14:dxf>
              <font>
                <b/>
                <i val="0"/>
              </font>
            </x14:dxf>
          </x14:cfRule>
          <xm:sqref>K166</xm:sqref>
        </x14:conditionalFormatting>
        <x14:conditionalFormatting xmlns:xm="http://schemas.microsoft.com/office/excel/2006/main">
          <x14:cfRule type="expression" priority="248" id="{5F3875C4-53BC-49C0-A7C4-8C6B182B0637}">
            <xm:f>I166=Categories!$E$9</xm:f>
            <x14:dxf>
              <font>
                <b/>
                <i val="0"/>
              </font>
            </x14:dxf>
          </x14:cfRule>
          <xm:sqref>L166</xm:sqref>
        </x14:conditionalFormatting>
        <x14:conditionalFormatting xmlns:xm="http://schemas.microsoft.com/office/excel/2006/main">
          <x14:cfRule type="expression" priority="246" id="{1DB8DE73-6E0D-4C4B-97D7-D8EF8514B19B}">
            <xm:f>I141='[IV2_Seq9 - Notes ver4.6 - Rev0.xlsm]Categories'!#REF!</xm:f>
            <x14:dxf>
              <font>
                <b/>
                <i val="0"/>
              </font>
            </x14:dxf>
          </x14:cfRule>
          <xm:sqref>L141:L152</xm:sqref>
        </x14:conditionalFormatting>
        <x14:conditionalFormatting xmlns:xm="http://schemas.microsoft.com/office/excel/2006/main">
          <x14:cfRule type="expression" priority="245" id="{244444F3-EA3A-402C-BC24-1E61FFF574D8}">
            <xm:f>I151='[IV2_Seq9 - Notes ver4.6 - Rev0.xlsm]Categories'!#REF!</xm:f>
            <x14:dxf>
              <font>
                <b/>
                <i val="0"/>
              </font>
            </x14:dxf>
          </x14:cfRule>
          <xm:sqref>O151:O152</xm:sqref>
        </x14:conditionalFormatting>
        <x14:conditionalFormatting xmlns:xm="http://schemas.microsoft.com/office/excel/2006/main">
          <x14:cfRule type="notContainsText" priority="244" operator="notContains" id="{190AA678-1A7F-447D-AD69-DC4392201532}">
            <xm:f>ISERROR(SEARCH("-",M141))</xm:f>
            <xm:f>"-"</xm:f>
            <x14:dxf>
              <fill>
                <patternFill>
                  <bgColor theme="0" tint="-4.9989318521683403E-2"/>
                </patternFill>
              </fill>
            </x14:dxf>
          </x14:cfRule>
          <xm:sqref>M141:N152</xm:sqref>
        </x14:conditionalFormatting>
        <x14:conditionalFormatting xmlns:xm="http://schemas.microsoft.com/office/excel/2006/main">
          <x14:cfRule type="containsText" priority="237" operator="containsText" id="{6AE11C38-F382-4DC6-A14C-A1CFE20BE894}">
            <xm:f>NOT(ISERROR(SEARCH("-",G142)))</xm:f>
            <xm:f>"-"</xm:f>
            <x14:dxf>
              <fill>
                <patternFill>
                  <bgColor theme="0" tint="-4.9989318521683403E-2"/>
                </patternFill>
              </fill>
            </x14:dxf>
          </x14:cfRule>
          <xm:sqref>G142</xm:sqref>
        </x14:conditionalFormatting>
        <x14:conditionalFormatting xmlns:xm="http://schemas.microsoft.com/office/excel/2006/main">
          <x14:cfRule type="containsText" priority="241" operator="containsText" id="{A85502AB-B954-4022-9AF0-78E595B09CE6}">
            <xm:f>NOT(ISERROR(SEARCH("-",G141)))</xm:f>
            <xm:f>"-"</xm:f>
            <x14:dxf>
              <fill>
                <patternFill>
                  <bgColor theme="0" tint="-4.9989318521683403E-2"/>
                </patternFill>
              </fill>
            </x14:dxf>
          </x14:cfRule>
          <xm:sqref>G141</xm:sqref>
        </x14:conditionalFormatting>
        <x14:conditionalFormatting xmlns:xm="http://schemas.microsoft.com/office/excel/2006/main">
          <x14:cfRule type="expression" priority="235" id="{B92C9B6F-7091-4085-A642-A0DF14A0DE36}">
            <xm:f>I141='[IV2_Seq9 - Notes ver4.6 - Rev0.xlsm]Categories'!#REF!</xm:f>
            <x14:dxf>
              <font>
                <b/>
                <i val="0"/>
              </font>
            </x14:dxf>
          </x14:cfRule>
          <xm:sqref>L141:L143</xm:sqref>
        </x14:conditionalFormatting>
        <x14:conditionalFormatting xmlns:xm="http://schemas.microsoft.com/office/excel/2006/main">
          <x14:cfRule type="expression" priority="234" id="{6CBB6F72-71DB-4D5E-9425-7B4277EBD682}">
            <xm:f>I144='[IV2_Seq9 - Notes ver4.6 - Rev0.xlsm]Categories'!#REF!</xm:f>
            <x14:dxf>
              <font>
                <b/>
                <i val="0"/>
              </font>
            </x14:dxf>
          </x14:cfRule>
          <xm:sqref>L144:L146 L151:L152</xm:sqref>
        </x14:conditionalFormatting>
        <x14:conditionalFormatting xmlns:xm="http://schemas.microsoft.com/office/excel/2006/main">
          <x14:cfRule type="expression" priority="233" id="{A01DD3FD-08D7-47FE-9A8E-2C33B3EA58CB}">
            <xm:f>I141='[IV2_Seq9 - Notes ver4.6 - Rev0.xlsm]Categories'!#REF!</xm:f>
            <x14:dxf>
              <font>
                <b/>
                <i val="0"/>
              </font>
            </x14:dxf>
          </x14:cfRule>
          <xm:sqref>O141</xm:sqref>
        </x14:conditionalFormatting>
        <x14:conditionalFormatting xmlns:xm="http://schemas.microsoft.com/office/excel/2006/main">
          <x14:cfRule type="expression" priority="232" id="{C72E49E2-A47D-405B-820B-2DF3FCBDD897}">
            <xm:f>I142='[IV2_Seq9 - Notes ver4.6 - Rev0.xlsm]Categories'!#REF!</xm:f>
            <x14:dxf>
              <font>
                <b/>
                <i val="0"/>
              </font>
            </x14:dxf>
          </x14:cfRule>
          <xm:sqref>O142</xm:sqref>
        </x14:conditionalFormatting>
        <x14:conditionalFormatting xmlns:xm="http://schemas.microsoft.com/office/excel/2006/main">
          <x14:cfRule type="expression" priority="231" id="{40BD3BF1-8F11-4C6F-BDD4-F9079FC6E013}">
            <xm:f>I143='[IV2_Seq9 - Notes ver4.6 - Rev0.xlsm]Categories'!#REF!</xm:f>
            <x14:dxf>
              <font>
                <b/>
                <i val="0"/>
              </font>
            </x14:dxf>
          </x14:cfRule>
          <xm:sqref>O143:O146</xm:sqref>
        </x14:conditionalFormatting>
        <x14:conditionalFormatting xmlns:xm="http://schemas.microsoft.com/office/excel/2006/main">
          <x14:cfRule type="expression" priority="230" id="{0F486845-680F-469E-B449-CCC38CADC6CC}">
            <xm:f>I149='[IV2_Seq9 - Notes ver4.6 - Rev0.xlsm]Categories'!#REF!</xm:f>
            <x14:dxf>
              <font>
                <b/>
                <i val="0"/>
              </font>
            </x14:dxf>
          </x14:cfRule>
          <xm:sqref>L149:L150</xm:sqref>
        </x14:conditionalFormatting>
        <x14:conditionalFormatting xmlns:xm="http://schemas.microsoft.com/office/excel/2006/main">
          <x14:cfRule type="expression" priority="229" id="{4C4184C7-817F-49B0-9838-20CAED38B333}">
            <xm:f>I149='[IV2_Seq9 - Notes ver4.6 - Rev0.xlsm]Categories'!#REF!</xm:f>
            <x14:dxf>
              <font>
                <b/>
                <i val="0"/>
              </font>
            </x14:dxf>
          </x14:cfRule>
          <xm:sqref>O149:O150</xm:sqref>
        </x14:conditionalFormatting>
        <x14:conditionalFormatting xmlns:xm="http://schemas.microsoft.com/office/excel/2006/main">
          <x14:cfRule type="expression" priority="228" id="{E37629EE-17D8-4857-A96A-FB0E0BB3814E}">
            <xm:f>I147='[IV2_Seq9 - Notes ver4.6 - Rev0.xlsm]Categories'!#REF!</xm:f>
            <x14:dxf>
              <font>
                <b/>
                <i val="0"/>
              </font>
            </x14:dxf>
          </x14:cfRule>
          <xm:sqref>L147:L148</xm:sqref>
        </x14:conditionalFormatting>
        <x14:conditionalFormatting xmlns:xm="http://schemas.microsoft.com/office/excel/2006/main">
          <x14:cfRule type="expression" priority="227" id="{0EFEB614-934A-4F23-A809-E01E3FBF0370}">
            <xm:f>I147='[IV2_Seq9 - Notes ver4.6 - Rev0.xlsm]Categories'!#REF!</xm:f>
            <x14:dxf>
              <font>
                <b/>
                <i val="0"/>
              </font>
            </x14:dxf>
          </x14:cfRule>
          <xm:sqref>O147:O148</xm:sqref>
        </x14:conditionalFormatting>
        <x14:conditionalFormatting xmlns:xm="http://schemas.microsoft.com/office/excel/2006/main">
          <x14:cfRule type="containsText" priority="225" operator="containsText" id="{3B3BB8EA-109E-410C-98BD-BF31F76A94BB}">
            <xm:f>NOT(ISERROR(SEARCH("-",Q141)))</xm:f>
            <xm:f>"-"</xm:f>
            <x14:dxf>
              <fill>
                <patternFill>
                  <bgColor theme="0"/>
                </patternFill>
              </fill>
            </x14:dxf>
          </x14:cfRule>
          <x14:cfRule type="notContainsText" priority="226" operator="notContains" id="{9F1203CB-5B6F-484A-BEA8-B3CD3EB4B434}">
            <xm:f>ISERROR(SEARCH("-",Q141))</xm:f>
            <xm:f>"-"</xm:f>
            <x14:dxf>
              <fill>
                <patternFill>
                  <bgColor theme="0" tint="-4.9989318521683403E-2"/>
                </patternFill>
              </fill>
            </x14:dxf>
          </x14:cfRule>
          <xm:sqref>Q141:Q152</xm:sqref>
        </x14:conditionalFormatting>
        <x14:conditionalFormatting xmlns:xm="http://schemas.microsoft.com/office/excel/2006/main">
          <x14:cfRule type="expression" priority="221" id="{484010B5-031C-439D-B498-18E7EB8C93D0}">
            <xm:f>I141=Categories!$E$14</xm:f>
            <x14:dxf>
              <font>
                <b/>
                <i val="0"/>
              </font>
            </x14:dxf>
          </x14:cfRule>
          <x14:cfRule type="expression" priority="224" id="{60309473-17B8-4E67-BBB4-1BBCF50E7E3B}">
            <xm:f>I141='[IV2_Seq9 - Notes ver4.6 - Rev0.xlsm]Categories'!#REF!</xm:f>
            <x14:dxf>
              <font>
                <b/>
                <i val="0"/>
              </font>
            </x14:dxf>
          </x14:cfRule>
          <xm:sqref>O141:O152</xm:sqref>
        </x14:conditionalFormatting>
        <x14:conditionalFormatting xmlns:xm="http://schemas.microsoft.com/office/excel/2006/main">
          <x14:cfRule type="expression" priority="223" id="{2592FCB8-3807-4E4D-841B-AFE66170166A}">
            <xm:f>I141=Categories!$E$19</xm:f>
            <x14:dxf>
              <font>
                <b/>
                <i val="0"/>
              </font>
            </x14:dxf>
          </x14:cfRule>
          <xm:sqref>K141:K152</xm:sqref>
        </x14:conditionalFormatting>
        <x14:conditionalFormatting xmlns:xm="http://schemas.microsoft.com/office/excel/2006/main">
          <x14:cfRule type="expression" priority="222" id="{D8276D2B-56ED-4E9E-B62D-8E2321B172E4}">
            <xm:f>I141=Categories!$E$9</xm:f>
            <x14:dxf>
              <font>
                <b/>
                <i val="0"/>
              </font>
            </x14:dxf>
          </x14:cfRule>
          <xm:sqref>L141:L152</xm:sqref>
        </x14:conditionalFormatting>
        <x14:conditionalFormatting xmlns:xm="http://schemas.microsoft.com/office/excel/2006/main">
          <x14:cfRule type="containsText" priority="174" operator="containsText" id="{FF27372B-425F-4E94-BDEE-AAD71B203CB0}">
            <xm:f>NOT(ISERROR(SEARCH("-",G212)))</xm:f>
            <xm:f>"-"</xm:f>
            <x14:dxf>
              <fill>
                <patternFill>
                  <bgColor theme="0" tint="-4.9989318521683403E-2"/>
                </patternFill>
              </fill>
            </x14:dxf>
          </x14:cfRule>
          <xm:sqref>G212:G217</xm:sqref>
        </x14:conditionalFormatting>
        <x14:conditionalFormatting xmlns:xm="http://schemas.microsoft.com/office/excel/2006/main">
          <x14:cfRule type="containsText" priority="206" operator="containsText" id="{76C7255B-E075-460E-A86C-6C26A80508AA}">
            <xm:f>NOT(ISERROR(SEARCH("-",G125)))</xm:f>
            <xm:f>"-"</xm:f>
            <x14:dxf>
              <fill>
                <patternFill>
                  <bgColor theme="0" tint="-4.9989318521683403E-2"/>
                </patternFill>
              </fill>
            </x14:dxf>
          </x14:cfRule>
          <xm:sqref>G125:G130</xm:sqref>
        </x14:conditionalFormatting>
        <x14:conditionalFormatting xmlns:xm="http://schemas.microsoft.com/office/excel/2006/main">
          <x14:cfRule type="containsText" priority="202" operator="containsText" id="{10F839F5-C645-4134-8ECE-7284E8441270}">
            <xm:f>NOT(ISERROR(SEARCH("-",G134)))</xm:f>
            <xm:f>"-"</xm:f>
            <x14:dxf>
              <fill>
                <patternFill>
                  <bgColor theme="0" tint="-4.9989318521683403E-2"/>
                </patternFill>
              </fill>
            </x14:dxf>
          </x14:cfRule>
          <xm:sqref>G134:G140</xm:sqref>
        </x14:conditionalFormatting>
        <x14:conditionalFormatting xmlns:xm="http://schemas.microsoft.com/office/excel/2006/main">
          <x14:cfRule type="containsText" priority="198" operator="containsText" id="{E74E146D-79FF-4B91-A74B-5A3CC7F277E4}">
            <xm:f>NOT(ISERROR(SEARCH("-",G143)))</xm:f>
            <xm:f>"-"</xm:f>
            <x14:dxf>
              <fill>
                <patternFill>
                  <bgColor theme="0" tint="-4.9989318521683403E-2"/>
                </patternFill>
              </fill>
            </x14:dxf>
          </x14:cfRule>
          <xm:sqref>G143:G152</xm:sqref>
        </x14:conditionalFormatting>
        <x14:conditionalFormatting xmlns:xm="http://schemas.microsoft.com/office/excel/2006/main">
          <x14:cfRule type="containsText" priority="194" operator="containsText" id="{38C4E186-4842-4B22-8056-3B811A3C86DC}">
            <xm:f>NOT(ISERROR(SEARCH("-",G156)))</xm:f>
            <xm:f>"-"</xm:f>
            <x14:dxf>
              <fill>
                <patternFill>
                  <bgColor theme="0" tint="-4.9989318521683403E-2"/>
                </patternFill>
              </fill>
            </x14:dxf>
          </x14:cfRule>
          <xm:sqref>G156:G165</xm:sqref>
        </x14:conditionalFormatting>
        <x14:conditionalFormatting xmlns:xm="http://schemas.microsoft.com/office/excel/2006/main">
          <x14:cfRule type="containsText" priority="190" operator="containsText" id="{D0E7C488-AD1C-4E0F-9591-84D3C384EF2B}">
            <xm:f>NOT(ISERROR(SEARCH("-",G168)))</xm:f>
            <xm:f>"-"</xm:f>
            <x14:dxf>
              <fill>
                <patternFill>
                  <bgColor theme="0" tint="-4.9989318521683403E-2"/>
                </patternFill>
              </fill>
            </x14:dxf>
          </x14:cfRule>
          <xm:sqref>G168:G177</xm:sqref>
        </x14:conditionalFormatting>
        <x14:conditionalFormatting xmlns:xm="http://schemas.microsoft.com/office/excel/2006/main">
          <x14:cfRule type="containsText" priority="186" operator="containsText" id="{144CE3B7-8770-4210-AF1A-EA197734A026}">
            <xm:f>NOT(ISERROR(SEARCH("-",G180)))</xm:f>
            <xm:f>"-"</xm:f>
            <x14:dxf>
              <fill>
                <patternFill>
                  <bgColor theme="0" tint="-4.9989318521683403E-2"/>
                </patternFill>
              </fill>
            </x14:dxf>
          </x14:cfRule>
          <xm:sqref>G180:G189</xm:sqref>
        </x14:conditionalFormatting>
        <x14:conditionalFormatting xmlns:xm="http://schemas.microsoft.com/office/excel/2006/main">
          <x14:cfRule type="containsText" priority="177" operator="containsText" id="{5563EBC4-0EB2-41AB-8E95-669B2392A34F}">
            <xm:f>NOT(ISERROR(SEARCH("-",G202)))</xm:f>
            <xm:f>"-"</xm:f>
            <x14:dxf>
              <fill>
                <patternFill>
                  <bgColor theme="0" tint="-4.9989318521683403E-2"/>
                </patternFill>
              </fill>
            </x14:dxf>
          </x14:cfRule>
          <xm:sqref>G202:G207</xm:sqref>
        </x14:conditionalFormatting>
        <x14:conditionalFormatting xmlns:xm="http://schemas.microsoft.com/office/excel/2006/main">
          <x14:cfRule type="containsText" priority="170" operator="containsText" id="{FE31C354-010F-40A1-855F-2BA53B3197FF}">
            <xm:f>NOT(ISERROR(SEARCH("-",G255)))</xm:f>
            <xm:f>"-"</xm:f>
            <x14:dxf>
              <fill>
                <patternFill>
                  <bgColor theme="0" tint="-4.9989318521683403E-2"/>
                </patternFill>
              </fill>
            </x14:dxf>
          </x14:cfRule>
          <xm:sqref>G255:G260</xm:sqref>
        </x14:conditionalFormatting>
        <x14:conditionalFormatting xmlns:xm="http://schemas.microsoft.com/office/excel/2006/main">
          <x14:cfRule type="containsText" priority="168" operator="containsText" id="{BD76E009-0DDF-44A9-A060-186191F96E4A}">
            <xm:f>NOT(ISERROR(SEARCH("-",G210)))</xm:f>
            <xm:f>"-"</xm:f>
            <x14:dxf>
              <fill>
                <patternFill>
                  <bgColor theme="0" tint="-4.9989318521683403E-2"/>
                </patternFill>
              </fill>
            </x14:dxf>
          </x14:cfRule>
          <xm:sqref>G210</xm:sqref>
        </x14:conditionalFormatting>
        <x14:conditionalFormatting xmlns:xm="http://schemas.microsoft.com/office/excel/2006/main">
          <x14:cfRule type="expression" priority="164" id="{472A739A-7530-4027-9149-4F0F4C9FFEDB}">
            <xm:f>I210='[IV2_Seq9 - Notes ver4.6 - Rev0.xlsm]Categories'!#REF!</xm:f>
            <x14:dxf>
              <font>
                <b/>
                <i val="0"/>
              </font>
            </x14:dxf>
          </x14:cfRule>
          <xm:sqref>L210</xm:sqref>
        </x14:conditionalFormatting>
        <x14:conditionalFormatting xmlns:xm="http://schemas.microsoft.com/office/excel/2006/main">
          <x14:cfRule type="notContainsText" priority="163" operator="notContains" id="{258D7F0A-7D59-426D-A858-C516BF534B10}">
            <xm:f>ISERROR(SEARCH("-",M210))</xm:f>
            <xm:f>"-"</xm:f>
            <x14:dxf>
              <fill>
                <patternFill>
                  <bgColor theme="0" tint="-4.9989318521683403E-2"/>
                </patternFill>
              </fill>
            </x14:dxf>
          </x14:cfRule>
          <xm:sqref>M210:N210</xm:sqref>
        </x14:conditionalFormatting>
        <x14:conditionalFormatting xmlns:xm="http://schemas.microsoft.com/office/excel/2006/main">
          <x14:cfRule type="containsText" priority="161" operator="containsText" id="{04BF1E67-0DAB-41AD-8871-474491E8842E}">
            <xm:f>NOT(ISERROR(SEARCH("-",Q210)))</xm:f>
            <xm:f>"-"</xm:f>
            <x14:dxf>
              <fill>
                <patternFill>
                  <bgColor theme="0"/>
                </patternFill>
              </fill>
            </x14:dxf>
          </x14:cfRule>
          <x14:cfRule type="notContainsText" priority="162" operator="notContains" id="{5B757C2F-D7D4-4DE8-B8B5-4C24B2793B4E}">
            <xm:f>ISERROR(SEARCH("-",Q210))</xm:f>
            <xm:f>"-"</xm:f>
            <x14:dxf>
              <fill>
                <patternFill>
                  <bgColor theme="0" tint="-4.9989318521683403E-2"/>
                </patternFill>
              </fill>
            </x14:dxf>
          </x14:cfRule>
          <xm:sqref>Q210</xm:sqref>
        </x14:conditionalFormatting>
        <x14:conditionalFormatting xmlns:xm="http://schemas.microsoft.com/office/excel/2006/main">
          <x14:cfRule type="expression" priority="157" id="{85428ED4-04CC-46A0-AB62-17E3F24F3F50}">
            <xm:f>I210=Categories!$E$14</xm:f>
            <x14:dxf>
              <font>
                <b/>
                <i val="0"/>
              </font>
            </x14:dxf>
          </x14:cfRule>
          <x14:cfRule type="expression" priority="160" id="{AB031BB8-7604-441C-B73D-2C2BA5BA72E4}">
            <xm:f>I210='[IV2_Seq9 - Notes ver4.6 - Rev0.xlsm]Categories'!#REF!</xm:f>
            <x14:dxf>
              <font>
                <b/>
                <i val="0"/>
              </font>
            </x14:dxf>
          </x14:cfRule>
          <xm:sqref>O210</xm:sqref>
        </x14:conditionalFormatting>
        <x14:conditionalFormatting xmlns:xm="http://schemas.microsoft.com/office/excel/2006/main">
          <x14:cfRule type="expression" priority="159" id="{0EF1A8D2-4744-4DB6-86D0-7A790CD3F37C}">
            <xm:f>I210=Categories!$E$19</xm:f>
            <x14:dxf>
              <font>
                <b/>
                <i val="0"/>
              </font>
            </x14:dxf>
          </x14:cfRule>
          <xm:sqref>K210</xm:sqref>
        </x14:conditionalFormatting>
        <x14:conditionalFormatting xmlns:xm="http://schemas.microsoft.com/office/excel/2006/main">
          <x14:cfRule type="expression" priority="158" id="{1F365D6A-FB6F-4327-9657-E24B6277DF25}">
            <xm:f>I210=Categories!$E$9</xm:f>
            <x14:dxf>
              <font>
                <b/>
                <i val="0"/>
              </font>
            </x14:dxf>
          </x14:cfRule>
          <xm:sqref>L210</xm:sqref>
        </x14:conditionalFormatting>
        <x14:conditionalFormatting xmlns:xm="http://schemas.microsoft.com/office/excel/2006/main">
          <x14:cfRule type="expression" priority="156" id="{AE1BFB80-6478-47E5-82FD-EDFF75AA6BF7}">
            <xm:f>I210='[IV2_Seq9 - Notes ver4.6 - Rev0.xlsm]Categories'!#REF!</xm:f>
            <x14:dxf>
              <font>
                <b/>
                <i val="0"/>
              </font>
            </x14:dxf>
          </x14:cfRule>
          <xm:sqref>O210</xm:sqref>
        </x14:conditionalFormatting>
        <x14:conditionalFormatting xmlns:xm="http://schemas.microsoft.com/office/excel/2006/main">
          <x14:cfRule type="expression" priority="155" id="{567003B6-CE94-422D-8210-F9D669851680}">
            <xm:f>I261='[IV2_Seq9 - Notes ver4.6 - Rev0.xlsm]Categories'!#REF!</xm:f>
            <x14:dxf>
              <font>
                <b/>
                <i val="0"/>
              </font>
            </x14:dxf>
          </x14:cfRule>
          <xm:sqref>L261:L262</xm:sqref>
        </x14:conditionalFormatting>
        <x14:conditionalFormatting xmlns:xm="http://schemas.microsoft.com/office/excel/2006/main">
          <x14:cfRule type="notContainsText" priority="154" operator="notContains" id="{7E4FCE8B-DFE1-436E-9112-ED060B34DE22}">
            <xm:f>ISERROR(SEARCH("-",M261))</xm:f>
            <xm:f>"-"</xm:f>
            <x14:dxf>
              <fill>
                <patternFill>
                  <bgColor theme="0" tint="-4.9989318521683403E-2"/>
                </patternFill>
              </fill>
            </x14:dxf>
          </x14:cfRule>
          <xm:sqref>M261:N262</xm:sqref>
        </x14:conditionalFormatting>
        <x14:conditionalFormatting xmlns:xm="http://schemas.microsoft.com/office/excel/2006/main">
          <x14:cfRule type="expression" priority="153" id="{18A46370-6283-4E13-AF8F-3FD7147A4F01}">
            <xm:f>I261='[IV2_Seq9 - Notes ver4.6 - Rev0.xlsm]Categories'!#REF!</xm:f>
            <x14:dxf>
              <font>
                <b/>
                <i val="0"/>
              </font>
            </x14:dxf>
          </x14:cfRule>
          <xm:sqref>L261:L262</xm:sqref>
        </x14:conditionalFormatting>
        <x14:conditionalFormatting xmlns:xm="http://schemas.microsoft.com/office/excel/2006/main">
          <x14:cfRule type="expression" priority="152" id="{744E95C7-6F32-4162-AB7E-A75744429FDD}">
            <xm:f>I261='[IV2_Seq9 - Notes ver4.6 - Rev0.xlsm]Categories'!#REF!</xm:f>
            <x14:dxf>
              <font>
                <b/>
                <i val="0"/>
              </font>
            </x14:dxf>
          </x14:cfRule>
          <xm:sqref>O261:O262</xm:sqref>
        </x14:conditionalFormatting>
        <x14:conditionalFormatting xmlns:xm="http://schemas.microsoft.com/office/excel/2006/main">
          <x14:cfRule type="containsText" priority="149" operator="containsText" id="{5DC7A7B5-6457-467B-99F3-CD131859D0CD}">
            <xm:f>NOT(ISERROR(SEARCH("-",G261)))</xm:f>
            <xm:f>"-"</xm:f>
            <x14:dxf>
              <fill>
                <patternFill>
                  <bgColor theme="0" tint="-4.9989318521683403E-2"/>
                </patternFill>
              </fill>
            </x14:dxf>
          </x14:cfRule>
          <xm:sqref>G261:G262</xm:sqref>
        </x14:conditionalFormatting>
        <x14:conditionalFormatting xmlns:xm="http://schemas.microsoft.com/office/excel/2006/main">
          <x14:cfRule type="expression" priority="144" id="{0A904320-5E67-443A-8A61-F8A98077DAD7}">
            <xm:f>I261=Categories!$E$14</xm:f>
            <x14:dxf>
              <font>
                <b/>
                <i val="0"/>
              </font>
            </x14:dxf>
          </x14:cfRule>
          <x14:cfRule type="expression" priority="147" id="{1FB3A45C-12F9-40E3-B58F-E53B63CEB5AC}">
            <xm:f>I261='[IV2_Seq9 - Notes ver4.6 - Rev0.xlsm]Categories'!#REF!</xm:f>
            <x14:dxf>
              <font>
                <b/>
                <i val="0"/>
              </font>
            </x14:dxf>
          </x14:cfRule>
          <xm:sqref>O261:O262</xm:sqref>
        </x14:conditionalFormatting>
        <x14:conditionalFormatting xmlns:xm="http://schemas.microsoft.com/office/excel/2006/main">
          <x14:cfRule type="expression" priority="146" id="{A02447E8-ED54-4A34-BD3F-2CA24A3C7773}">
            <xm:f>I261=Categories!$E$19</xm:f>
            <x14:dxf>
              <font>
                <b/>
                <i val="0"/>
              </font>
            </x14:dxf>
          </x14:cfRule>
          <xm:sqref>K261:K262</xm:sqref>
        </x14:conditionalFormatting>
        <x14:conditionalFormatting xmlns:xm="http://schemas.microsoft.com/office/excel/2006/main">
          <x14:cfRule type="expression" priority="145" id="{111C6CE0-B760-416B-9B6A-3AE1B09F0FDF}">
            <xm:f>I261=Categories!$E$9</xm:f>
            <x14:dxf>
              <font>
                <b/>
                <i val="0"/>
              </font>
            </x14:dxf>
          </x14:cfRule>
          <xm:sqref>L261:L262</xm:sqref>
        </x14:conditionalFormatting>
        <x14:conditionalFormatting xmlns:xm="http://schemas.microsoft.com/office/excel/2006/main">
          <x14:cfRule type="expression" priority="105" id="{00B1AC68-E24B-4EBF-950E-3EFABE0E8541}">
            <xm:f>I274='[IV2_Seq9 - Notes ver4.6 - Rev0.xlsm]Categories'!#REF!</xm:f>
            <x14:dxf>
              <font>
                <b/>
                <i val="0"/>
              </font>
            </x14:dxf>
          </x14:cfRule>
          <xm:sqref>L274</xm:sqref>
        </x14:conditionalFormatting>
        <x14:conditionalFormatting xmlns:xm="http://schemas.microsoft.com/office/excel/2006/main">
          <x14:cfRule type="notContainsText" priority="104" operator="notContains" id="{84A2E67C-84FC-4614-AA82-F38E891E63A2}">
            <xm:f>ISERROR(SEARCH("-",M274))</xm:f>
            <xm:f>"-"</xm:f>
            <x14:dxf>
              <fill>
                <patternFill>
                  <bgColor theme="0" tint="-4.9989318521683403E-2"/>
                </patternFill>
              </fill>
            </x14:dxf>
          </x14:cfRule>
          <xm:sqref>M274:N274</xm:sqref>
        </x14:conditionalFormatting>
        <x14:conditionalFormatting xmlns:xm="http://schemas.microsoft.com/office/excel/2006/main">
          <x14:cfRule type="expression" priority="103" id="{38B4CC48-EC75-4CCA-AB54-686A8E1A794C}">
            <xm:f>I274='[IV2_Seq9 - Notes ver4.6 - Rev0.xlsm]Categories'!#REF!</xm:f>
            <x14:dxf>
              <font>
                <b/>
                <i val="0"/>
              </font>
            </x14:dxf>
          </x14:cfRule>
          <xm:sqref>L274</xm:sqref>
        </x14:conditionalFormatting>
        <x14:conditionalFormatting xmlns:xm="http://schemas.microsoft.com/office/excel/2006/main">
          <x14:cfRule type="expression" priority="102" id="{E38119BD-03E6-45E0-8086-98DE0090DBD8}">
            <xm:f>I274='[IV2_Seq9 - Notes ver4.6 - Rev0.xlsm]Categories'!#REF!</xm:f>
            <x14:dxf>
              <font>
                <b/>
                <i val="0"/>
              </font>
            </x14:dxf>
          </x14:cfRule>
          <xm:sqref>O274</xm:sqref>
        </x14:conditionalFormatting>
        <x14:conditionalFormatting xmlns:xm="http://schemas.microsoft.com/office/excel/2006/main">
          <x14:cfRule type="expression" priority="94" id="{46C18389-8C49-463B-92B4-2E9E80DF0808}">
            <xm:f>I274=Categories!$E$14</xm:f>
            <x14:dxf>
              <font>
                <b/>
                <i val="0"/>
              </font>
            </x14:dxf>
          </x14:cfRule>
          <x14:cfRule type="expression" priority="97" id="{EEBDDFB1-84EC-4DED-BCAD-F4DD55931D68}">
            <xm:f>I274='[IV2_Seq9 - Notes ver4.6 - Rev0.xlsm]Categories'!#REF!</xm:f>
            <x14:dxf>
              <font>
                <b/>
                <i val="0"/>
              </font>
            </x14:dxf>
          </x14:cfRule>
          <xm:sqref>O274</xm:sqref>
        </x14:conditionalFormatting>
        <x14:conditionalFormatting xmlns:xm="http://schemas.microsoft.com/office/excel/2006/main">
          <x14:cfRule type="expression" priority="95" id="{06278A0D-50AF-48AA-B1D9-AEF0BA988499}">
            <xm:f>I274=Categories!$E$9</xm:f>
            <x14:dxf>
              <font>
                <b/>
                <i val="0"/>
              </font>
            </x14:dxf>
          </x14:cfRule>
          <xm:sqref>L274</xm:sqref>
        </x14:conditionalFormatting>
        <x14:conditionalFormatting xmlns:xm="http://schemas.microsoft.com/office/excel/2006/main">
          <x14:cfRule type="containsText" priority="87" operator="containsText" id="{6AF93485-AEFC-4D79-A1FE-4AC376205F3A}">
            <xm:f>NOT(ISERROR(SEARCH("-",G284)))</xm:f>
            <xm:f>"-"</xm:f>
            <x14:dxf>
              <fill>
                <patternFill>
                  <bgColor theme="0" tint="-4.9989318521683403E-2"/>
                </patternFill>
              </fill>
            </x14:dxf>
          </x14:cfRule>
          <xm:sqref>G284:G292</xm:sqref>
        </x14:conditionalFormatting>
        <x14:conditionalFormatting xmlns:xm="http://schemas.microsoft.com/office/excel/2006/main">
          <x14:cfRule type="expression" priority="83" id="{936ED8AF-E9D2-43B2-BAF4-59C90CD604FB}">
            <xm:f>I283='[IV2_Seq9 - Notes ver4.6 - Rev0.xlsm]Categories'!#REF!</xm:f>
            <x14:dxf>
              <font>
                <b/>
                <i val="0"/>
              </font>
            </x14:dxf>
          </x14:cfRule>
          <xm:sqref>L286 L283:L284</xm:sqref>
        </x14:conditionalFormatting>
        <x14:conditionalFormatting xmlns:xm="http://schemas.microsoft.com/office/excel/2006/main">
          <x14:cfRule type="notContainsText" priority="82" operator="notContains" id="{11D250C7-C314-4F5E-A169-45E57BD72257}">
            <xm:f>ISERROR(SEARCH("-",M283))</xm:f>
            <xm:f>"-"</xm:f>
            <x14:dxf>
              <fill>
                <patternFill>
                  <bgColor theme="0" tint="-4.9989318521683403E-2"/>
                </patternFill>
              </fill>
            </x14:dxf>
          </x14:cfRule>
          <xm:sqref>M286:N286 M283:N284</xm:sqref>
        </x14:conditionalFormatting>
        <x14:conditionalFormatting xmlns:xm="http://schemas.microsoft.com/office/excel/2006/main">
          <x14:cfRule type="expression" priority="81" id="{648FCA0C-FB98-427E-9ADA-1644A0FBCA23}">
            <xm:f>I284='[IV2_Seq9 - Notes ver4.6 - Rev0.xlsm]Categories'!#REF!</xm:f>
            <x14:dxf>
              <font>
                <b/>
                <i val="0"/>
              </font>
            </x14:dxf>
          </x14:cfRule>
          <xm:sqref>O284</xm:sqref>
        </x14:conditionalFormatting>
        <x14:conditionalFormatting xmlns:xm="http://schemas.microsoft.com/office/excel/2006/main">
          <x14:cfRule type="containsText" priority="78" operator="containsText" id="{C0CF9CE4-02DF-4E02-9E1E-41D2B5EC0CFA}">
            <xm:f>NOT(ISERROR(SEARCH("-",G283)))</xm:f>
            <xm:f>"-"</xm:f>
            <x14:dxf>
              <fill>
                <patternFill>
                  <bgColor theme="0" tint="-4.9989318521683403E-2"/>
                </patternFill>
              </fill>
            </x14:dxf>
          </x14:cfRule>
          <xm:sqref>G283 G286</xm:sqref>
        </x14:conditionalFormatting>
        <x14:conditionalFormatting xmlns:xm="http://schemas.microsoft.com/office/excel/2006/main">
          <x14:cfRule type="expression" priority="74" id="{AA5E5739-437D-4192-9059-784F28479BCA}">
            <xm:f>I283='[IV2_Seq9 - Notes ver4.6 - Rev0.xlsm]Categories'!#REF!</xm:f>
            <x14:dxf>
              <font>
                <b/>
                <i val="0"/>
              </font>
            </x14:dxf>
          </x14:cfRule>
          <xm:sqref>L283 L286</xm:sqref>
        </x14:conditionalFormatting>
        <x14:conditionalFormatting xmlns:xm="http://schemas.microsoft.com/office/excel/2006/main">
          <x14:cfRule type="expression" priority="73" id="{308EA3DA-8BC3-471C-8AC8-D10DE5BCAC97}">
            <xm:f>I283='[IV2_Seq9 - Notes ver4.6 - Rev0.xlsm]Categories'!#REF!</xm:f>
            <x14:dxf>
              <font>
                <b/>
                <i val="0"/>
              </font>
            </x14:dxf>
          </x14:cfRule>
          <xm:sqref>O283 O286</xm:sqref>
        </x14:conditionalFormatting>
        <x14:conditionalFormatting xmlns:xm="http://schemas.microsoft.com/office/excel/2006/main">
          <x14:cfRule type="expression" priority="69" id="{0FF287D4-2478-4C16-A542-D4FF87F68B1C}">
            <xm:f>I283=Categories!$E$14</xm:f>
            <x14:dxf>
              <font>
                <b/>
                <i val="0"/>
              </font>
            </x14:dxf>
          </x14:cfRule>
          <x14:cfRule type="expression" priority="72" id="{199A17E4-2F83-437F-9447-F939A212B631}">
            <xm:f>I283='[IV2_Seq9 - Notes ver4.6 - Rev0.xlsm]Categories'!#REF!</xm:f>
            <x14:dxf>
              <font>
                <b/>
                <i val="0"/>
              </font>
            </x14:dxf>
          </x14:cfRule>
          <xm:sqref>O286 O283:O284</xm:sqref>
        </x14:conditionalFormatting>
        <x14:conditionalFormatting xmlns:xm="http://schemas.microsoft.com/office/excel/2006/main">
          <x14:cfRule type="expression" priority="71" id="{747DF4C7-11F0-4FD3-B0E6-B1F44D632DD8}">
            <xm:f>I283=Categories!$E$19</xm:f>
            <x14:dxf>
              <font>
                <b/>
                <i val="0"/>
              </font>
            </x14:dxf>
          </x14:cfRule>
          <xm:sqref>K286 K283:K284</xm:sqref>
        </x14:conditionalFormatting>
        <x14:conditionalFormatting xmlns:xm="http://schemas.microsoft.com/office/excel/2006/main">
          <x14:cfRule type="expression" priority="70" id="{C775CD57-2298-48BC-8EA3-0472677D1272}">
            <xm:f>I283=Categories!$E$9</xm:f>
            <x14:dxf>
              <font>
                <b/>
                <i val="0"/>
              </font>
            </x14:dxf>
          </x14:cfRule>
          <xm:sqref>L286 L283:L284</xm:sqref>
        </x14:conditionalFormatting>
        <x14:conditionalFormatting xmlns:xm="http://schemas.microsoft.com/office/excel/2006/main">
          <x14:cfRule type="expression" priority="66" id="{0A3A4991-1D9F-4C29-A1DE-769B63368410}">
            <xm:f>I285='[IV2_Seq9 - Notes ver4.6 - Rev0.xlsm]Categories'!#REF!</xm:f>
            <x14:dxf>
              <font>
                <b/>
                <i val="0"/>
              </font>
            </x14:dxf>
          </x14:cfRule>
          <xm:sqref>L285</xm:sqref>
        </x14:conditionalFormatting>
        <x14:conditionalFormatting xmlns:xm="http://schemas.microsoft.com/office/excel/2006/main">
          <x14:cfRule type="notContainsText" priority="65" operator="notContains" id="{8AD7F77D-81CC-4DB3-9C64-6AEE3769DA8A}">
            <xm:f>ISERROR(SEARCH("-",M285))</xm:f>
            <xm:f>"-"</xm:f>
            <x14:dxf>
              <fill>
                <patternFill>
                  <bgColor theme="0" tint="-4.9989318521683403E-2"/>
                </patternFill>
              </fill>
            </x14:dxf>
          </x14:cfRule>
          <xm:sqref>M285:N285</xm:sqref>
        </x14:conditionalFormatting>
        <x14:conditionalFormatting xmlns:xm="http://schemas.microsoft.com/office/excel/2006/main">
          <x14:cfRule type="expression" priority="64" id="{F98D5A28-FF2A-4C7D-9850-488B62E87C09}">
            <xm:f>I285='[IV2_Seq9 - Notes ver4.6 - Rev0.xlsm]Categories'!#REF!</xm:f>
            <x14:dxf>
              <font>
                <b/>
                <i val="0"/>
              </font>
            </x14:dxf>
          </x14:cfRule>
          <xm:sqref>L285</xm:sqref>
        </x14:conditionalFormatting>
        <x14:conditionalFormatting xmlns:xm="http://schemas.microsoft.com/office/excel/2006/main">
          <x14:cfRule type="expression" priority="63" id="{8E8D3CBE-9E2B-493F-8C4A-B765EAAD0BB8}">
            <xm:f>I285='[IV2_Seq9 - Notes ver4.6 - Rev0.xlsm]Categories'!#REF!</xm:f>
            <x14:dxf>
              <font>
                <b/>
                <i val="0"/>
              </font>
            </x14:dxf>
          </x14:cfRule>
          <xm:sqref>O285</xm:sqref>
        </x14:conditionalFormatting>
        <x14:conditionalFormatting xmlns:xm="http://schemas.microsoft.com/office/excel/2006/main">
          <x14:cfRule type="expression" priority="59" id="{E51111B3-A105-4E09-A4F5-7A05AF0B0452}">
            <xm:f>I285=Categories!$E$14</xm:f>
            <x14:dxf>
              <font>
                <b/>
                <i val="0"/>
              </font>
            </x14:dxf>
          </x14:cfRule>
          <x14:cfRule type="expression" priority="62" id="{E219A064-8275-4071-A214-9D0DEE72C61A}">
            <xm:f>I285='[IV2_Seq9 - Notes ver4.6 - Rev0.xlsm]Categories'!#REF!</xm:f>
            <x14:dxf>
              <font>
                <b/>
                <i val="0"/>
              </font>
            </x14:dxf>
          </x14:cfRule>
          <xm:sqref>O285</xm:sqref>
        </x14:conditionalFormatting>
        <x14:conditionalFormatting xmlns:xm="http://schemas.microsoft.com/office/excel/2006/main">
          <x14:cfRule type="expression" priority="61" id="{1EB58BFB-5A10-49A8-BA5C-5C04225E4657}">
            <xm:f>I285=Categories!$E$19</xm:f>
            <x14:dxf>
              <font>
                <b/>
                <i val="0"/>
              </font>
            </x14:dxf>
          </x14:cfRule>
          <xm:sqref>K285</xm:sqref>
        </x14:conditionalFormatting>
        <x14:conditionalFormatting xmlns:xm="http://schemas.microsoft.com/office/excel/2006/main">
          <x14:cfRule type="expression" priority="60" id="{E363D219-84D3-4976-B949-A889CB47E473}">
            <xm:f>I285=Categories!$E$9</xm:f>
            <x14:dxf>
              <font>
                <b/>
                <i val="0"/>
              </font>
            </x14:dxf>
          </x14:cfRule>
          <xm:sqref>L285</xm:sqref>
        </x14:conditionalFormatting>
        <x14:conditionalFormatting xmlns:xm="http://schemas.microsoft.com/office/excel/2006/main">
          <x14:cfRule type="containsText" priority="56" operator="containsText" id="{52BB9404-0479-48BF-8BD6-1950A2C6EAC0}">
            <xm:f>NOT(ISERROR(SEARCH("-",G285)))</xm:f>
            <xm:f>"-"</xm:f>
            <x14:dxf>
              <fill>
                <patternFill>
                  <bgColor theme="0" tint="-4.9989318521683403E-2"/>
                </patternFill>
              </fill>
            </x14:dxf>
          </x14:cfRule>
          <xm:sqref>G285</xm:sqref>
        </x14:conditionalFormatting>
        <x14:conditionalFormatting xmlns:xm="http://schemas.microsoft.com/office/excel/2006/main">
          <x14:cfRule type="containsText" priority="52" operator="containsText" id="{351C34BC-9B8A-487C-823E-DA94EF612FAE}">
            <xm:f>NOT(ISERROR(SEARCH("-",G295)))</xm:f>
            <xm:f>"-"</xm:f>
            <x14:dxf>
              <fill>
                <patternFill>
                  <bgColor theme="0" tint="-4.9989318521683403E-2"/>
                </patternFill>
              </fill>
            </x14:dxf>
          </x14:cfRule>
          <xm:sqref>G295</xm:sqref>
        </x14:conditionalFormatting>
        <x14:conditionalFormatting xmlns:xm="http://schemas.microsoft.com/office/excel/2006/main">
          <x14:cfRule type="expression" priority="48" id="{F7CEA9CE-9651-40EB-A3B3-69164ADFF31C}">
            <xm:f>I294='[IV2_Seq9 - Notes ver4.6 - Rev0.xlsm]Categories'!#REF!</xm:f>
            <x14:dxf>
              <font>
                <b/>
                <i val="0"/>
              </font>
            </x14:dxf>
          </x14:cfRule>
          <xm:sqref>L297 L294:L295</xm:sqref>
        </x14:conditionalFormatting>
        <x14:conditionalFormatting xmlns:xm="http://schemas.microsoft.com/office/excel/2006/main">
          <x14:cfRule type="notContainsText" priority="47" operator="notContains" id="{4B5DD544-B721-42B0-8356-A22BE627112C}">
            <xm:f>ISERROR(SEARCH("-",M294))</xm:f>
            <xm:f>"-"</xm:f>
            <x14:dxf>
              <fill>
                <patternFill>
                  <bgColor theme="0" tint="-4.9989318521683403E-2"/>
                </patternFill>
              </fill>
            </x14:dxf>
          </x14:cfRule>
          <xm:sqref>M297:N297 M294:N295</xm:sqref>
        </x14:conditionalFormatting>
        <x14:conditionalFormatting xmlns:xm="http://schemas.microsoft.com/office/excel/2006/main">
          <x14:cfRule type="expression" priority="46" id="{42F801FA-1EF8-4026-B0E9-1D491B9FB078}">
            <xm:f>I295='[IV2_Seq9 - Notes ver4.6 - Rev0.xlsm]Categories'!#REF!</xm:f>
            <x14:dxf>
              <font>
                <b/>
                <i val="0"/>
              </font>
            </x14:dxf>
          </x14:cfRule>
          <xm:sqref>O295</xm:sqref>
        </x14:conditionalFormatting>
        <x14:conditionalFormatting xmlns:xm="http://schemas.microsoft.com/office/excel/2006/main">
          <x14:cfRule type="containsText" priority="43" operator="containsText" id="{181899AA-7E77-432A-8135-AFE814FF8DAF}">
            <xm:f>NOT(ISERROR(SEARCH("-",G294)))</xm:f>
            <xm:f>"-"</xm:f>
            <x14:dxf>
              <fill>
                <patternFill>
                  <bgColor theme="0" tint="-4.9989318521683403E-2"/>
                </patternFill>
              </fill>
            </x14:dxf>
          </x14:cfRule>
          <xm:sqref>G294</xm:sqref>
        </x14:conditionalFormatting>
        <x14:conditionalFormatting xmlns:xm="http://schemas.microsoft.com/office/excel/2006/main">
          <x14:cfRule type="expression" priority="39" id="{8E5E2889-BCB0-4901-B27B-85DA8EEDA290}">
            <xm:f>I294='[IV2_Seq9 - Notes ver4.6 - Rev0.xlsm]Categories'!#REF!</xm:f>
            <x14:dxf>
              <font>
                <b/>
                <i val="0"/>
              </font>
            </x14:dxf>
          </x14:cfRule>
          <xm:sqref>L294 L297</xm:sqref>
        </x14:conditionalFormatting>
        <x14:conditionalFormatting xmlns:xm="http://schemas.microsoft.com/office/excel/2006/main">
          <x14:cfRule type="expression" priority="38" id="{AD48445C-71BF-40D8-B14A-8D39D11D8796}">
            <xm:f>I294='[IV2_Seq9 - Notes ver4.6 - Rev0.xlsm]Categories'!#REF!</xm:f>
            <x14:dxf>
              <font>
                <b/>
                <i val="0"/>
              </font>
            </x14:dxf>
          </x14:cfRule>
          <xm:sqref>O294 O297</xm:sqref>
        </x14:conditionalFormatting>
        <x14:conditionalFormatting xmlns:xm="http://schemas.microsoft.com/office/excel/2006/main">
          <x14:cfRule type="expression" priority="34" id="{7FF02F62-9998-429D-B5F9-3D7A7817E646}">
            <xm:f>I294=Categories!$E$14</xm:f>
            <x14:dxf>
              <font>
                <b/>
                <i val="0"/>
              </font>
            </x14:dxf>
          </x14:cfRule>
          <x14:cfRule type="expression" priority="37" id="{F7A43476-7906-46D8-A17A-C084C7169434}">
            <xm:f>I294='[IV2_Seq9 - Notes ver4.6 - Rev0.xlsm]Categories'!#REF!</xm:f>
            <x14:dxf>
              <font>
                <b/>
                <i val="0"/>
              </font>
            </x14:dxf>
          </x14:cfRule>
          <xm:sqref>O297 O294:O295</xm:sqref>
        </x14:conditionalFormatting>
        <x14:conditionalFormatting xmlns:xm="http://schemas.microsoft.com/office/excel/2006/main">
          <x14:cfRule type="expression" priority="36" id="{6C55EE0E-7CCF-47F2-828E-2FE15FFF061E}">
            <xm:f>I294=Categories!$E$19</xm:f>
            <x14:dxf>
              <font>
                <b/>
                <i val="0"/>
              </font>
            </x14:dxf>
          </x14:cfRule>
          <xm:sqref>K297 K294:K295</xm:sqref>
        </x14:conditionalFormatting>
        <x14:conditionalFormatting xmlns:xm="http://schemas.microsoft.com/office/excel/2006/main">
          <x14:cfRule type="expression" priority="35" id="{01733E7A-F0B4-4857-BDE9-8B591BF0679C}">
            <xm:f>I294=Categories!$E$9</xm:f>
            <x14:dxf>
              <font>
                <b/>
                <i val="0"/>
              </font>
            </x14:dxf>
          </x14:cfRule>
          <xm:sqref>L297 L294:L295</xm:sqref>
        </x14:conditionalFormatting>
        <x14:conditionalFormatting xmlns:xm="http://schemas.microsoft.com/office/excel/2006/main">
          <x14:cfRule type="expression" priority="31" id="{C3947A56-3C26-45D4-B6A2-DF3F0F75AEA1}">
            <xm:f>I296='[IV2_Seq9 - Notes ver4.6 - Rev0.xlsm]Categories'!#REF!</xm:f>
            <x14:dxf>
              <font>
                <b/>
                <i val="0"/>
              </font>
            </x14:dxf>
          </x14:cfRule>
          <xm:sqref>L296</xm:sqref>
        </x14:conditionalFormatting>
        <x14:conditionalFormatting xmlns:xm="http://schemas.microsoft.com/office/excel/2006/main">
          <x14:cfRule type="notContainsText" priority="30" operator="notContains" id="{6AF771E7-350E-447F-B96D-78FB5B55BE99}">
            <xm:f>ISERROR(SEARCH("-",M296))</xm:f>
            <xm:f>"-"</xm:f>
            <x14:dxf>
              <fill>
                <patternFill>
                  <bgColor theme="0" tint="-4.9989318521683403E-2"/>
                </patternFill>
              </fill>
            </x14:dxf>
          </x14:cfRule>
          <xm:sqref>M296:N296</xm:sqref>
        </x14:conditionalFormatting>
        <x14:conditionalFormatting xmlns:xm="http://schemas.microsoft.com/office/excel/2006/main">
          <x14:cfRule type="expression" priority="29" id="{549DED38-B0DC-4D38-90A1-82807A05B2DF}">
            <xm:f>I296='[IV2_Seq9 - Notes ver4.6 - Rev0.xlsm]Categories'!#REF!</xm:f>
            <x14:dxf>
              <font>
                <b/>
                <i val="0"/>
              </font>
            </x14:dxf>
          </x14:cfRule>
          <xm:sqref>L296</xm:sqref>
        </x14:conditionalFormatting>
        <x14:conditionalFormatting xmlns:xm="http://schemas.microsoft.com/office/excel/2006/main">
          <x14:cfRule type="expression" priority="28" id="{41AA18DB-5A64-44E2-93FB-6DC80D50CC24}">
            <xm:f>I296='[IV2_Seq9 - Notes ver4.6 - Rev0.xlsm]Categories'!#REF!</xm:f>
            <x14:dxf>
              <font>
                <b/>
                <i val="0"/>
              </font>
            </x14:dxf>
          </x14:cfRule>
          <xm:sqref>O296</xm:sqref>
        </x14:conditionalFormatting>
        <x14:conditionalFormatting xmlns:xm="http://schemas.microsoft.com/office/excel/2006/main">
          <x14:cfRule type="expression" priority="24" id="{DE6B1BC5-0645-449E-B320-C78A00388716}">
            <xm:f>I296=Categories!$E$14</xm:f>
            <x14:dxf>
              <font>
                <b/>
                <i val="0"/>
              </font>
            </x14:dxf>
          </x14:cfRule>
          <x14:cfRule type="expression" priority="27" id="{CBC6E441-2B3B-4B26-851E-AEB4360C2D59}">
            <xm:f>I296='[IV2_Seq9 - Notes ver4.6 - Rev0.xlsm]Categories'!#REF!</xm:f>
            <x14:dxf>
              <font>
                <b/>
                <i val="0"/>
              </font>
            </x14:dxf>
          </x14:cfRule>
          <xm:sqref>O296</xm:sqref>
        </x14:conditionalFormatting>
        <x14:conditionalFormatting xmlns:xm="http://schemas.microsoft.com/office/excel/2006/main">
          <x14:cfRule type="expression" priority="26" id="{B15F3B1F-8CAE-46F9-A232-710412EED985}">
            <xm:f>I296=Categories!$E$19</xm:f>
            <x14:dxf>
              <font>
                <b/>
                <i val="0"/>
              </font>
            </x14:dxf>
          </x14:cfRule>
          <xm:sqref>K296</xm:sqref>
        </x14:conditionalFormatting>
        <x14:conditionalFormatting xmlns:xm="http://schemas.microsoft.com/office/excel/2006/main">
          <x14:cfRule type="expression" priority="25" id="{6DB1DDDB-DCF2-4DC6-9752-896328513F73}">
            <xm:f>I296=Categories!$E$9</xm:f>
            <x14:dxf>
              <font>
                <b/>
                <i val="0"/>
              </font>
            </x14:dxf>
          </x14:cfRule>
          <xm:sqref>L296</xm:sqref>
        </x14:conditionalFormatting>
        <x14:conditionalFormatting xmlns:xm="http://schemas.microsoft.com/office/excel/2006/main">
          <x14:cfRule type="expression" priority="17" id="{D6B0CB2B-91B2-4AE5-AB95-07A384E77D4E}">
            <xm:f>I273=Categories!$E$19</xm:f>
            <x14:dxf>
              <font>
                <b/>
                <i val="0"/>
              </font>
            </x14:dxf>
          </x14:cfRule>
          <xm:sqref>K273:K280</xm:sqref>
        </x14:conditionalFormatting>
        <x14:conditionalFormatting xmlns:xm="http://schemas.microsoft.com/office/excel/2006/main">
          <x14:cfRule type="containsText" priority="14" operator="containsText" id="{41F8E6EA-8515-4896-A3C1-06AB2292353E}">
            <xm:f>NOT(ISERROR(SEARCH("-",G263)))</xm:f>
            <xm:f>"-"</xm:f>
            <x14:dxf>
              <fill>
                <patternFill>
                  <bgColor theme="0" tint="-4.9989318521683403E-2"/>
                </patternFill>
              </fill>
            </x14:dxf>
          </x14:cfRule>
          <xm:sqref>G263:G270</xm:sqref>
        </x14:conditionalFormatting>
        <x14:conditionalFormatting xmlns:xm="http://schemas.microsoft.com/office/excel/2006/main">
          <x14:cfRule type="containsText" priority="12" operator="containsText" id="{76F2AAA8-D3C9-4848-B65A-849071493575}">
            <xm:f>NOT(ISERROR(SEARCH("-",G274)))</xm:f>
            <xm:f>"-"</xm:f>
            <x14:dxf>
              <fill>
                <patternFill>
                  <bgColor theme="0" tint="-4.9989318521683403E-2"/>
                </patternFill>
              </fill>
            </x14:dxf>
          </x14:cfRule>
          <xm:sqref>G274:G281</xm:sqref>
        </x14:conditionalFormatting>
        <x14:conditionalFormatting xmlns:xm="http://schemas.microsoft.com/office/excel/2006/main">
          <x14:cfRule type="containsText" priority="8" operator="containsText" id="{C6DD6306-2419-4EAD-A977-9F9FA01BE699}">
            <xm:f>NOT(ISERROR(SEARCH("-",G296)))</xm:f>
            <xm:f>"-"</xm:f>
            <x14:dxf>
              <fill>
                <patternFill>
                  <bgColor theme="0" tint="-4.9989318521683403E-2"/>
                </patternFill>
              </fill>
            </x14:dxf>
          </x14:cfRule>
          <xm:sqref>G296:G303</xm:sqref>
        </x14:conditionalFormatting>
        <x14:conditionalFormatting xmlns:xm="http://schemas.microsoft.com/office/excel/2006/main">
          <x14:cfRule type="containsText" priority="2" operator="containsText" id="{2F62CDCD-269C-4AAC-A119-985D1C8BD28E}">
            <xm:f>NOT(ISERROR(SEARCH("-",G306)))</xm:f>
            <xm:f>"-"</xm:f>
            <x14:dxf>
              <fill>
                <patternFill>
                  <bgColor theme="0" tint="-4.9989318521683403E-2"/>
                </patternFill>
              </fill>
            </x14:dxf>
          </x14:cfRule>
          <xm:sqref>G306:G311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O4:O324</xm:sqref>
        </x14:dataValidation>
        <x14:dataValidation type="list" allowBlank="1" showInputMessage="1" showErrorMessage="1" xr:uid="{ABCB1213-7C25-4B72-84B6-7716BD65920B}">
          <x14:formula1>
            <xm:f>Categories!$A$4:$A$15</xm:f>
          </x14:formula1>
          <xm:sqref>H4:H324</xm:sqref>
        </x14:dataValidation>
        <x14:dataValidation type="list" allowBlank="1" showInputMessage="1" showErrorMessage="1" xr:uid="{EFA499FA-2081-4DCA-95B8-E73DF2FC3DE1}">
          <x14:formula1>
            <xm:f>Categories!$E$4:$E$27</xm:f>
          </x14:formula1>
          <xm:sqref>I4:I324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2" customWidth="1"/>
    <col min="5" max="5" width="57.21875" style="133" customWidth="1"/>
    <col min="6" max="6" width="28.109375" customWidth="1"/>
    <col min="7" max="7" width="83.33203125" customWidth="1"/>
  </cols>
  <sheetData>
    <row r="1" spans="2:8" s="120" customFormat="1" ht="18" x14ac:dyDescent="0.35">
      <c r="B1" s="206" t="s">
        <v>198</v>
      </c>
      <c r="C1" s="206"/>
      <c r="D1" s="206" t="s">
        <v>198</v>
      </c>
      <c r="E1" s="207" t="s">
        <v>199</v>
      </c>
      <c r="F1" s="206"/>
      <c r="G1" s="206"/>
      <c r="H1" s="99"/>
    </row>
    <row r="2" spans="2:8" s="102" customFormat="1" ht="16.8" customHeight="1" x14ac:dyDescent="0.3">
      <c r="B2" s="121" t="s">
        <v>9</v>
      </c>
      <c r="C2" s="121" t="s">
        <v>200</v>
      </c>
      <c r="D2" s="121" t="s">
        <v>201</v>
      </c>
      <c r="E2" s="122" t="s">
        <v>202</v>
      </c>
      <c r="F2" s="121" t="s">
        <v>203</v>
      </c>
      <c r="G2" s="121" t="s">
        <v>204</v>
      </c>
    </row>
    <row r="3" spans="2:8" s="99" customFormat="1" ht="14.4" customHeight="1" x14ac:dyDescent="0.25">
      <c r="B3" s="208" t="s">
        <v>205</v>
      </c>
      <c r="C3" s="209"/>
      <c r="D3" s="209"/>
      <c r="E3" s="209"/>
      <c r="F3" s="209"/>
      <c r="G3" s="210"/>
    </row>
    <row r="4" spans="2:8" ht="24.6" customHeight="1" x14ac:dyDescent="0.3">
      <c r="B4" s="123"/>
      <c r="C4" s="124"/>
      <c r="D4" s="125"/>
      <c r="E4" s="126"/>
      <c r="F4" s="126" t="s">
        <v>206</v>
      </c>
      <c r="G4" s="127"/>
    </row>
    <row r="5" spans="2:8" ht="24.6" customHeight="1" x14ac:dyDescent="0.3">
      <c r="B5" s="123"/>
      <c r="C5" s="124"/>
      <c r="D5" s="125"/>
      <c r="E5" s="126" t="s">
        <v>207</v>
      </c>
      <c r="F5" s="126"/>
      <c r="G5" s="127"/>
    </row>
    <row r="6" spans="2:8" ht="24.6" customHeight="1" x14ac:dyDescent="0.3">
      <c r="B6" s="123"/>
      <c r="C6" s="124"/>
      <c r="D6" s="125"/>
      <c r="E6" s="126" t="s">
        <v>208</v>
      </c>
      <c r="F6" s="126"/>
      <c r="G6" s="127"/>
    </row>
    <row r="7" spans="2:8" ht="24.6" customHeight="1" x14ac:dyDescent="0.3">
      <c r="B7" s="123"/>
      <c r="C7" s="124"/>
      <c r="D7" s="125"/>
      <c r="E7" s="126" t="s">
        <v>209</v>
      </c>
      <c r="F7" s="126"/>
      <c r="G7" s="127"/>
    </row>
    <row r="8" spans="2:8" ht="24.6" customHeight="1" x14ac:dyDescent="0.3">
      <c r="B8" s="123"/>
      <c r="C8" s="124"/>
      <c r="D8" s="125"/>
      <c r="E8" s="126" t="s">
        <v>210</v>
      </c>
      <c r="F8" s="126"/>
      <c r="G8" s="127" t="s">
        <v>211</v>
      </c>
    </row>
    <row r="9" spans="2:8" ht="24.6" customHeight="1" x14ac:dyDescent="0.3">
      <c r="B9" s="123"/>
      <c r="C9" s="124"/>
      <c r="D9" s="125"/>
      <c r="E9" s="126" t="s">
        <v>212</v>
      </c>
      <c r="F9" s="126"/>
      <c r="G9" s="127"/>
    </row>
    <row r="10" spans="2:8" ht="24.6" customHeight="1" x14ac:dyDescent="0.3">
      <c r="B10" s="123"/>
      <c r="C10" s="124"/>
      <c r="D10" s="125"/>
      <c r="E10" s="126" t="s">
        <v>213</v>
      </c>
      <c r="F10" s="126"/>
      <c r="G10" s="127"/>
    </row>
    <row r="11" spans="2:8" ht="24.6" customHeight="1" x14ac:dyDescent="0.3">
      <c r="B11" s="123"/>
      <c r="C11" s="124"/>
      <c r="D11" s="125"/>
      <c r="E11" s="126" t="s">
        <v>214</v>
      </c>
      <c r="F11" s="126"/>
      <c r="G11" s="127"/>
    </row>
    <row r="12" spans="2:8" ht="24.6" customHeight="1" x14ac:dyDescent="0.3">
      <c r="B12" s="123"/>
      <c r="C12" s="124"/>
      <c r="D12" s="125"/>
      <c r="E12" s="126" t="s">
        <v>215</v>
      </c>
      <c r="F12" s="126"/>
      <c r="G12" s="127"/>
    </row>
    <row r="13" spans="2:8" ht="24.6" customHeight="1" x14ac:dyDescent="0.3">
      <c r="B13" s="123"/>
      <c r="C13" s="124"/>
      <c r="D13" s="125"/>
      <c r="E13" s="126"/>
      <c r="F13" s="126"/>
      <c r="G13" s="127"/>
    </row>
    <row r="14" spans="2:8" ht="24.6" customHeight="1" x14ac:dyDescent="0.3">
      <c r="B14" s="123"/>
      <c r="C14" s="124"/>
      <c r="D14" s="125"/>
      <c r="E14" s="126"/>
      <c r="F14" s="127" t="s">
        <v>216</v>
      </c>
      <c r="G14" s="127"/>
    </row>
    <row r="15" spans="2:8" ht="24.6" customHeight="1" x14ac:dyDescent="0.3">
      <c r="B15" s="123"/>
      <c r="C15" s="124"/>
      <c r="D15" s="125"/>
      <c r="E15" s="126" t="s">
        <v>217</v>
      </c>
      <c r="F15" s="126"/>
      <c r="G15" s="127"/>
    </row>
    <row r="16" spans="2:8" ht="50.4" x14ac:dyDescent="0.3">
      <c r="B16" s="123"/>
      <c r="C16" s="124"/>
      <c r="D16" s="125"/>
      <c r="E16" s="126" t="s">
        <v>218</v>
      </c>
      <c r="F16" s="126"/>
      <c r="G16" s="127"/>
    </row>
    <row r="17" spans="1:7" ht="24.6" customHeight="1" x14ac:dyDescent="0.3">
      <c r="B17" s="123"/>
      <c r="C17" s="124"/>
      <c r="D17" s="125"/>
      <c r="E17" s="126"/>
      <c r="F17" s="126"/>
      <c r="G17" s="127"/>
    </row>
    <row r="18" spans="1:7" ht="24.6" customHeight="1" x14ac:dyDescent="0.3">
      <c r="A18" s="128">
        <v>44013</v>
      </c>
      <c r="B18" s="123"/>
      <c r="C18" s="124"/>
      <c r="D18" s="125"/>
      <c r="E18" s="126" t="s">
        <v>219</v>
      </c>
      <c r="F18" s="126"/>
      <c r="G18" s="127"/>
    </row>
    <row r="19" spans="1:7" ht="24.6" customHeight="1" x14ac:dyDescent="0.3">
      <c r="A19" s="128">
        <v>44013</v>
      </c>
      <c r="B19" s="123"/>
      <c r="C19" s="124"/>
      <c r="D19" s="125"/>
      <c r="E19" s="126" t="s">
        <v>220</v>
      </c>
      <c r="F19" s="126"/>
      <c r="G19" s="127"/>
    </row>
    <row r="20" spans="1:7" ht="21" x14ac:dyDescent="0.3">
      <c r="A20" s="128">
        <v>44013</v>
      </c>
      <c r="B20" s="123"/>
      <c r="C20" s="124"/>
      <c r="D20" s="125"/>
      <c r="E20" s="126"/>
      <c r="F20" s="126"/>
      <c r="G20" s="127"/>
    </row>
    <row r="21" spans="1:7" ht="25.2" x14ac:dyDescent="0.3">
      <c r="A21" s="128">
        <v>44013</v>
      </c>
      <c r="B21" s="123"/>
      <c r="C21" s="124"/>
      <c r="D21" s="125"/>
      <c r="E21" s="126" t="s">
        <v>221</v>
      </c>
      <c r="F21" s="126"/>
      <c r="G21" s="127"/>
    </row>
    <row r="22" spans="1:7" ht="24.6" customHeight="1" x14ac:dyDescent="0.3">
      <c r="A22" s="128">
        <v>44013</v>
      </c>
      <c r="B22" s="123"/>
      <c r="C22" s="124"/>
      <c r="D22" s="125"/>
      <c r="E22" s="126" t="s">
        <v>222</v>
      </c>
      <c r="F22" s="126"/>
      <c r="G22" s="127"/>
    </row>
    <row r="23" spans="1:7" ht="24.6" customHeight="1" x14ac:dyDescent="0.3">
      <c r="B23" s="123"/>
      <c r="C23" s="129"/>
      <c r="D23" s="125"/>
      <c r="E23" s="126" t="s">
        <v>223</v>
      </c>
      <c r="F23" s="126"/>
      <c r="G23" s="130"/>
    </row>
    <row r="24" spans="1:7" ht="24.6" customHeight="1" x14ac:dyDescent="0.3">
      <c r="B24" s="123"/>
      <c r="C24" s="129"/>
      <c r="D24" s="125"/>
      <c r="E24" s="126" t="s">
        <v>224</v>
      </c>
      <c r="F24" s="126"/>
      <c r="G24" s="130"/>
    </row>
    <row r="25" spans="1:7" ht="24.6" customHeight="1" x14ac:dyDescent="0.3">
      <c r="B25" s="123"/>
      <c r="C25" s="129"/>
      <c r="D25" s="125"/>
      <c r="E25" s="126"/>
      <c r="F25" s="126"/>
      <c r="G25" s="130"/>
    </row>
    <row r="26" spans="1:7" ht="24.6" customHeight="1" x14ac:dyDescent="0.3">
      <c r="B26" s="123"/>
      <c r="C26" s="124"/>
      <c r="D26" s="125"/>
      <c r="E26" s="126" t="s">
        <v>225</v>
      </c>
      <c r="F26" s="126"/>
      <c r="G26" s="127"/>
    </row>
    <row r="27" spans="1:7" ht="24.6" customHeight="1" x14ac:dyDescent="0.3">
      <c r="B27" s="123"/>
      <c r="C27" s="124"/>
      <c r="D27" s="125"/>
      <c r="E27" s="126"/>
      <c r="F27" s="127" t="s">
        <v>226</v>
      </c>
      <c r="G27" s="127"/>
    </row>
    <row r="28" spans="1:7" ht="24.6" customHeight="1" x14ac:dyDescent="0.3">
      <c r="B28" s="123"/>
      <c r="C28" s="124"/>
      <c r="D28" s="125"/>
      <c r="E28" s="126"/>
      <c r="F28" s="127"/>
      <c r="G28" s="127"/>
    </row>
    <row r="29" spans="1:7" ht="24.6" customHeight="1" x14ac:dyDescent="0.3">
      <c r="B29" s="123"/>
      <c r="C29" s="124"/>
      <c r="D29" s="125"/>
      <c r="E29" s="126"/>
      <c r="F29" s="127"/>
      <c r="G29" s="127"/>
    </row>
    <row r="30" spans="1:7" ht="24.6" customHeight="1" x14ac:dyDescent="0.3">
      <c r="B30" s="123"/>
      <c r="C30" s="124"/>
      <c r="D30" s="125"/>
      <c r="E30" s="126"/>
      <c r="F30" s="127" t="s">
        <v>227</v>
      </c>
      <c r="G30" s="127"/>
    </row>
    <row r="31" spans="1:7" ht="24.6" customHeight="1" x14ac:dyDescent="0.3">
      <c r="B31" s="123"/>
      <c r="C31" s="124"/>
      <c r="D31" s="125"/>
      <c r="E31" s="126" t="s">
        <v>228</v>
      </c>
      <c r="F31" s="126"/>
      <c r="G31" s="127" t="s">
        <v>330</v>
      </c>
    </row>
    <row r="32" spans="1:7" ht="24.6" customHeight="1" x14ac:dyDescent="0.3">
      <c r="B32" s="123"/>
      <c r="C32" s="124"/>
      <c r="D32" s="125"/>
      <c r="E32" s="126" t="s">
        <v>229</v>
      </c>
      <c r="F32" s="126"/>
      <c r="G32" s="127"/>
    </row>
    <row r="33" spans="2:7" ht="24.6" customHeight="1" x14ac:dyDescent="0.3">
      <c r="B33" s="123"/>
      <c r="C33" s="124"/>
      <c r="D33" s="125"/>
      <c r="E33" s="126" t="s">
        <v>230</v>
      </c>
      <c r="F33" s="126"/>
      <c r="G33" s="127"/>
    </row>
    <row r="34" spans="2:7" ht="24.6" customHeight="1" x14ac:dyDescent="0.3">
      <c r="B34" s="123"/>
      <c r="C34" s="124"/>
      <c r="D34" s="125"/>
      <c r="E34" s="126"/>
      <c r="F34" s="126"/>
      <c r="G34" s="127"/>
    </row>
    <row r="35" spans="2:7" ht="24.6" customHeight="1" x14ac:dyDescent="0.3">
      <c r="B35" s="123"/>
      <c r="C35" s="124"/>
      <c r="D35" s="125"/>
      <c r="E35" s="126"/>
      <c r="F35" s="126"/>
      <c r="G35" s="127"/>
    </row>
    <row r="36" spans="2:7" ht="24.6" customHeight="1" x14ac:dyDescent="0.3">
      <c r="B36" s="123"/>
      <c r="C36" s="124"/>
      <c r="D36" s="125"/>
      <c r="E36" s="126"/>
      <c r="F36" s="126"/>
      <c r="G36" s="127"/>
    </row>
    <row r="37" spans="2:7" ht="24.6" customHeight="1" x14ac:dyDescent="0.3">
      <c r="B37" s="123"/>
      <c r="C37" s="124"/>
      <c r="D37" s="125"/>
      <c r="E37" s="126"/>
      <c r="F37" s="126"/>
      <c r="G37" s="126"/>
    </row>
    <row r="38" spans="2:7" ht="24.6" customHeight="1" x14ac:dyDescent="0.3">
      <c r="B38" s="123"/>
      <c r="C38" s="124"/>
      <c r="D38" s="125"/>
      <c r="E38" s="126"/>
      <c r="F38" s="126"/>
      <c r="G38" s="126"/>
    </row>
    <row r="39" spans="2:7" ht="24.6" customHeight="1" x14ac:dyDescent="0.3">
      <c r="B39" s="123"/>
      <c r="C39" s="124"/>
      <c r="D39" s="125"/>
      <c r="E39" s="126"/>
      <c r="F39" s="126"/>
      <c r="G39" s="127"/>
    </row>
    <row r="40" spans="2:7" ht="15.6" customHeight="1" x14ac:dyDescent="0.3">
      <c r="B40" s="208" t="s">
        <v>231</v>
      </c>
      <c r="C40" s="209"/>
      <c r="D40" s="209"/>
      <c r="E40" s="209"/>
      <c r="F40" s="209"/>
      <c r="G40" s="210"/>
    </row>
    <row r="41" spans="2:7" ht="30" customHeight="1" x14ac:dyDescent="0.3">
      <c r="B41" s="123"/>
      <c r="C41" s="124"/>
      <c r="D41" s="125"/>
      <c r="E41" s="126"/>
      <c r="F41" s="126"/>
      <c r="G41" s="126"/>
    </row>
    <row r="42" spans="2:7" ht="30" customHeight="1" x14ac:dyDescent="0.3">
      <c r="B42" s="123"/>
      <c r="C42" s="131"/>
      <c r="D42" s="125"/>
      <c r="E42" s="126"/>
      <c r="F42" s="126"/>
      <c r="G42" s="126"/>
    </row>
    <row r="43" spans="2:7" ht="30" customHeight="1" x14ac:dyDescent="0.3">
      <c r="B43" s="123"/>
      <c r="C43" s="124"/>
      <c r="D43" s="125"/>
      <c r="E43" s="126"/>
      <c r="F43" s="126"/>
      <c r="G43" s="126"/>
    </row>
    <row r="44" spans="2:7" ht="30" customHeight="1" x14ac:dyDescent="0.3">
      <c r="B44" s="123"/>
      <c r="C44" s="131"/>
      <c r="D44" s="125"/>
      <c r="E44" s="126"/>
      <c r="F44" s="126"/>
      <c r="G44" s="126"/>
    </row>
    <row r="45" spans="2:7" ht="30" customHeight="1" x14ac:dyDescent="0.3">
      <c r="B45" s="123"/>
      <c r="C45" s="131"/>
      <c r="D45" s="125"/>
      <c r="E45" s="126"/>
      <c r="F45" s="126"/>
      <c r="G45" s="126"/>
    </row>
    <row r="46" spans="2:7" ht="30" customHeight="1" x14ac:dyDescent="0.3">
      <c r="B46" s="123"/>
      <c r="C46" s="131"/>
      <c r="D46" s="125"/>
      <c r="E46" s="126"/>
      <c r="F46" s="126"/>
      <c r="G46" s="126"/>
    </row>
    <row r="47" spans="2:7" ht="15.6" customHeight="1" x14ac:dyDescent="0.3">
      <c r="B47" s="208" t="s">
        <v>232</v>
      </c>
      <c r="C47" s="209"/>
      <c r="D47" s="209"/>
      <c r="E47" s="209"/>
      <c r="F47" s="209"/>
      <c r="G47" s="210"/>
    </row>
    <row r="48" spans="2:7" ht="30" customHeight="1" x14ac:dyDescent="0.3">
      <c r="B48" s="123"/>
      <c r="C48" s="131"/>
      <c r="D48" s="125"/>
      <c r="E48" s="126" t="s">
        <v>233</v>
      </c>
      <c r="F48" s="126"/>
      <c r="G48" s="130"/>
    </row>
    <row r="49" spans="2:7" ht="30" customHeight="1" x14ac:dyDescent="0.3">
      <c r="B49" s="123"/>
      <c r="C49" s="131"/>
      <c r="D49" s="125"/>
      <c r="E49" s="126" t="s">
        <v>233</v>
      </c>
      <c r="F49" s="126"/>
      <c r="G49" s="130"/>
    </row>
    <row r="50" spans="2:7" ht="30" customHeight="1" x14ac:dyDescent="0.3">
      <c r="B50" s="123"/>
      <c r="C50" s="131"/>
      <c r="D50" s="125"/>
      <c r="E50" s="126" t="s">
        <v>234</v>
      </c>
      <c r="F50" s="126"/>
      <c r="G50" s="130"/>
    </row>
    <row r="51" spans="2:7" ht="30" customHeight="1" x14ac:dyDescent="0.3">
      <c r="B51" s="123"/>
      <c r="C51" s="131"/>
      <c r="D51" s="125"/>
      <c r="E51" s="126" t="s">
        <v>235</v>
      </c>
      <c r="F51" s="126"/>
      <c r="G51" s="130" t="s">
        <v>236</v>
      </c>
    </row>
    <row r="52" spans="2:7" ht="30" customHeight="1" x14ac:dyDescent="0.3">
      <c r="B52" s="123"/>
      <c r="C52" s="131"/>
      <c r="D52" s="125"/>
      <c r="E52" s="126"/>
      <c r="F52" s="126"/>
      <c r="G52" s="130"/>
    </row>
    <row r="53" spans="2:7" ht="30" customHeight="1" x14ac:dyDescent="0.3">
      <c r="B53" s="123"/>
      <c r="C53" s="131"/>
      <c r="D53" s="125"/>
      <c r="E53" s="126"/>
      <c r="F53" s="126"/>
      <c r="G53" s="130"/>
    </row>
    <row r="54" spans="2:7" ht="30" customHeight="1" x14ac:dyDescent="0.3">
      <c r="B54" s="123"/>
      <c r="C54" s="131"/>
      <c r="D54" s="125"/>
      <c r="E54" s="126"/>
      <c r="F54" s="126"/>
      <c r="G54" s="130"/>
    </row>
    <row r="55" spans="2:7" ht="30" customHeight="1" x14ac:dyDescent="0.3">
      <c r="B55" s="123"/>
      <c r="C55" s="131"/>
      <c r="D55" s="125"/>
      <c r="E55" s="126"/>
      <c r="F55" s="126"/>
      <c r="G55" s="130"/>
    </row>
    <row r="56" spans="2:7" ht="30" customHeight="1" x14ac:dyDescent="0.3">
      <c r="B56" s="123"/>
      <c r="C56" s="131"/>
      <c r="D56" s="125"/>
      <c r="E56" s="126" t="s">
        <v>237</v>
      </c>
      <c r="F56" s="126"/>
      <c r="G56" s="130"/>
    </row>
    <row r="57" spans="2:7" ht="30" customHeight="1" x14ac:dyDescent="0.3">
      <c r="B57" s="123"/>
      <c r="C57" s="131"/>
      <c r="D57" s="125"/>
      <c r="E57" s="126" t="s">
        <v>238</v>
      </c>
      <c r="F57" s="126"/>
      <c r="G57" s="130"/>
    </row>
    <row r="58" spans="2:7" ht="30" customHeight="1" x14ac:dyDescent="0.3">
      <c r="B58" s="132"/>
    </row>
    <row r="59" spans="2:7" ht="30" customHeight="1" x14ac:dyDescent="0.3">
      <c r="B59" s="132"/>
    </row>
    <row r="60" spans="2:7" ht="30" customHeight="1" x14ac:dyDescent="0.3">
      <c r="B60" s="132"/>
    </row>
    <row r="61" spans="2:7" ht="30" customHeight="1" x14ac:dyDescent="0.3">
      <c r="B61" s="132"/>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topLeftCell="B1" workbookViewId="0">
      <selection activeCell="A11" sqref="A11"/>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4" customFormat="1" ht="18" x14ac:dyDescent="0.3">
      <c r="B2" s="211" t="s">
        <v>43</v>
      </c>
      <c r="C2" s="211"/>
      <c r="D2" s="102"/>
      <c r="E2" s="211" t="s">
        <v>239</v>
      </c>
      <c r="F2" s="211"/>
      <c r="G2" s="211"/>
      <c r="H2" s="211"/>
      <c r="I2" s="211"/>
      <c r="J2" s="211"/>
    </row>
    <row r="3" spans="2:10" s="139" customFormat="1" ht="15.6" x14ac:dyDescent="0.3">
      <c r="B3" s="135" t="s">
        <v>240</v>
      </c>
      <c r="C3" s="116" t="s">
        <v>241</v>
      </c>
      <c r="D3" s="136"/>
      <c r="E3" s="137" t="s">
        <v>242</v>
      </c>
      <c r="F3" s="137" t="s">
        <v>116</v>
      </c>
      <c r="G3" s="137" t="s">
        <v>243</v>
      </c>
      <c r="H3" s="137" t="s">
        <v>244</v>
      </c>
      <c r="I3" s="138" t="s">
        <v>245</v>
      </c>
      <c r="J3" s="138" t="s">
        <v>246</v>
      </c>
    </row>
    <row r="4" spans="2:10" s="134" customFormat="1" ht="15.6" x14ac:dyDescent="0.3">
      <c r="B4" s="135" t="s">
        <v>247</v>
      </c>
      <c r="C4" s="107" t="s">
        <v>140</v>
      </c>
      <c r="D4" s="102"/>
      <c r="E4" s="108" t="s">
        <v>3</v>
      </c>
      <c r="F4" s="140" t="s">
        <v>248</v>
      </c>
      <c r="G4" s="141">
        <v>6</v>
      </c>
      <c r="H4" s="141"/>
      <c r="I4" s="108" t="s">
        <v>249</v>
      </c>
      <c r="J4" s="108" t="s">
        <v>58</v>
      </c>
    </row>
    <row r="5" spans="2:10" s="134" customFormat="1" ht="15.6" x14ac:dyDescent="0.3">
      <c r="B5" s="135" t="s">
        <v>250</v>
      </c>
      <c r="C5" s="107" t="s">
        <v>251</v>
      </c>
      <c r="D5" s="102"/>
      <c r="E5" s="108" t="s">
        <v>252</v>
      </c>
      <c r="F5" s="142" t="s">
        <v>253</v>
      </c>
      <c r="G5" s="141">
        <v>1</v>
      </c>
      <c r="H5" s="141"/>
      <c r="I5" s="108" t="s">
        <v>58</v>
      </c>
      <c r="J5" s="108" t="s">
        <v>290</v>
      </c>
    </row>
    <row r="6" spans="2:10" s="134" customFormat="1" ht="15.6" x14ac:dyDescent="0.3">
      <c r="B6" s="135" t="s">
        <v>254</v>
      </c>
      <c r="C6" s="107">
        <v>9</v>
      </c>
      <c r="D6" s="102"/>
      <c r="E6" s="108" t="s">
        <v>255</v>
      </c>
      <c r="F6" s="142" t="s">
        <v>256</v>
      </c>
      <c r="G6" s="141">
        <v>1</v>
      </c>
      <c r="H6" s="141"/>
      <c r="I6" s="108" t="s">
        <v>58</v>
      </c>
      <c r="J6" s="108" t="s">
        <v>58</v>
      </c>
    </row>
    <row r="7" spans="2:10" s="134" customFormat="1" ht="15.6" x14ac:dyDescent="0.3">
      <c r="B7" s="135" t="s">
        <v>257</v>
      </c>
      <c r="C7" s="107" t="s">
        <v>143</v>
      </c>
      <c r="D7" s="102"/>
      <c r="E7" s="108" t="s">
        <v>258</v>
      </c>
      <c r="F7" s="142" t="s">
        <v>259</v>
      </c>
      <c r="G7" s="143">
        <v>3</v>
      </c>
      <c r="H7" s="143"/>
      <c r="I7" s="108" t="s">
        <v>260</v>
      </c>
      <c r="J7" s="108" t="s">
        <v>291</v>
      </c>
    </row>
    <row r="8" spans="2:10" s="134" customFormat="1" ht="15.6" x14ac:dyDescent="0.3">
      <c r="B8" s="135" t="s">
        <v>261</v>
      </c>
      <c r="C8" s="144" t="str">
        <f>"Seq"&amp;LEFT($C$6,10)&amp;" - LVAD"&amp;LEFT($G$4,10) &amp; IF($C$7=Categories!$X$7,""," - "&amp;$C$7)</f>
        <v>Seq9 - LVAD6</v>
      </c>
      <c r="D8" s="102"/>
      <c r="E8" s="108" t="s">
        <v>258</v>
      </c>
      <c r="F8" s="142" t="s">
        <v>259</v>
      </c>
      <c r="G8" s="143">
        <v>2</v>
      </c>
      <c r="H8" s="143"/>
      <c r="I8" s="108" t="s">
        <v>262</v>
      </c>
      <c r="J8" s="108" t="s">
        <v>292</v>
      </c>
    </row>
    <row r="9" spans="2:10" s="139" customFormat="1" ht="16.2" customHeight="1" x14ac:dyDescent="0.3">
      <c r="B9" s="135" t="s">
        <v>263</v>
      </c>
      <c r="C9" s="144" t="str">
        <f>C5&amp;"_Seq"&amp;LEFT(C6,10)</f>
        <v>IV2_Seq9</v>
      </c>
      <c r="D9" s="136"/>
      <c r="E9" s="108" t="s">
        <v>258</v>
      </c>
      <c r="F9" s="142" t="s">
        <v>259</v>
      </c>
      <c r="G9" s="143">
        <v>4</v>
      </c>
      <c r="H9" s="143"/>
      <c r="I9" s="108" t="s">
        <v>264</v>
      </c>
      <c r="J9" s="108" t="s">
        <v>293</v>
      </c>
    </row>
    <row r="10" spans="2:10" s="139" customFormat="1" ht="15.6" x14ac:dyDescent="0.3">
      <c r="B10" s="135" t="s">
        <v>265</v>
      </c>
      <c r="C10" s="107"/>
      <c r="D10" s="136"/>
      <c r="E10" s="116" t="s">
        <v>266</v>
      </c>
      <c r="F10" s="142" t="s">
        <v>267</v>
      </c>
      <c r="G10" s="142">
        <v>1</v>
      </c>
      <c r="H10" s="142"/>
      <c r="I10" s="116" t="s">
        <v>58</v>
      </c>
      <c r="J10" s="108" t="s">
        <v>58</v>
      </c>
    </row>
    <row r="11" spans="2:10" s="139" customFormat="1" ht="15.6" x14ac:dyDescent="0.3">
      <c r="B11" s="145"/>
      <c r="C11" s="146"/>
      <c r="D11" s="136"/>
      <c r="E11" s="108" t="s">
        <v>268</v>
      </c>
      <c r="F11" s="142" t="s">
        <v>269</v>
      </c>
      <c r="G11" s="143">
        <v>1</v>
      </c>
      <c r="H11" s="143"/>
      <c r="I11" s="116" t="s">
        <v>58</v>
      </c>
      <c r="J11" s="108" t="s">
        <v>58</v>
      </c>
    </row>
    <row r="12" spans="2:10" s="139" customFormat="1" ht="15.6" x14ac:dyDescent="0.3">
      <c r="B12" s="136"/>
      <c r="C12" s="136"/>
      <c r="D12" s="136"/>
      <c r="E12" s="116" t="s">
        <v>270</v>
      </c>
      <c r="F12" s="142" t="s">
        <v>271</v>
      </c>
      <c r="G12" s="142">
        <v>1</v>
      </c>
      <c r="H12" s="142"/>
      <c r="I12" s="116" t="s">
        <v>58</v>
      </c>
      <c r="J12" s="116" t="s">
        <v>58</v>
      </c>
    </row>
    <row r="13" spans="2:10" s="139" customFormat="1" ht="15.6" x14ac:dyDescent="0.3">
      <c r="B13" s="136"/>
      <c r="C13" s="136"/>
      <c r="D13" s="136"/>
      <c r="E13" s="116" t="s">
        <v>270</v>
      </c>
      <c r="F13" s="142" t="s">
        <v>271</v>
      </c>
      <c r="G13" s="142">
        <v>2</v>
      </c>
      <c r="H13" s="142"/>
      <c r="I13" s="116" t="s">
        <v>58</v>
      </c>
      <c r="J13" s="116" t="s">
        <v>58</v>
      </c>
    </row>
    <row r="14" spans="2:10" s="139" customFormat="1" ht="15.6" x14ac:dyDescent="0.3">
      <c r="B14" s="136"/>
      <c r="C14" s="136"/>
      <c r="E14" s="116" t="s">
        <v>272</v>
      </c>
      <c r="F14" s="142" t="s">
        <v>273</v>
      </c>
      <c r="G14" s="142">
        <v>1</v>
      </c>
      <c r="H14" s="142"/>
      <c r="I14" s="116" t="s">
        <v>274</v>
      </c>
      <c r="J14" s="116" t="s">
        <v>294</v>
      </c>
    </row>
    <row r="15" spans="2:10" s="139" customFormat="1" ht="15.6" x14ac:dyDescent="0.3">
      <c r="B15" s="136"/>
      <c r="C15" s="136"/>
      <c r="E15" s="116" t="s">
        <v>272</v>
      </c>
      <c r="F15" s="142" t="s">
        <v>273</v>
      </c>
      <c r="G15" s="142">
        <v>2</v>
      </c>
      <c r="H15" s="142"/>
      <c r="I15" s="116" t="s">
        <v>275</v>
      </c>
      <c r="J15" s="116" t="s">
        <v>295</v>
      </c>
    </row>
    <row r="16" spans="2:10" ht="15.6" x14ac:dyDescent="0.3">
      <c r="B16" s="139"/>
      <c r="C16" s="139"/>
      <c r="E16" s="116" t="s">
        <v>276</v>
      </c>
      <c r="F16" s="142" t="s">
        <v>277</v>
      </c>
      <c r="G16" s="142">
        <v>1</v>
      </c>
      <c r="H16" s="142"/>
      <c r="I16" s="116" t="s">
        <v>58</v>
      </c>
      <c r="J16" s="116" t="s">
        <v>58</v>
      </c>
    </row>
    <row r="17" spans="2:10" ht="15.6" x14ac:dyDescent="0.3">
      <c r="B17" s="139"/>
      <c r="C17" s="139"/>
      <c r="E17" s="116" t="s">
        <v>278</v>
      </c>
      <c r="F17" s="142" t="s">
        <v>279</v>
      </c>
      <c r="G17" s="142">
        <v>1</v>
      </c>
      <c r="H17" s="142"/>
      <c r="I17" s="116" t="s">
        <v>58</v>
      </c>
      <c r="J17" s="116" t="s">
        <v>58</v>
      </c>
    </row>
    <row r="18" spans="2:10" ht="15.6" x14ac:dyDescent="0.3">
      <c r="E18" s="108" t="s">
        <v>280</v>
      </c>
      <c r="F18" s="142" t="s">
        <v>281</v>
      </c>
      <c r="G18" s="141">
        <v>2</v>
      </c>
      <c r="H18" s="141"/>
      <c r="I18" s="116" t="s">
        <v>58</v>
      </c>
      <c r="J18" s="116" t="s">
        <v>58</v>
      </c>
    </row>
    <row r="19" spans="2:10" ht="15.6" x14ac:dyDescent="0.3">
      <c r="E19" s="108" t="s">
        <v>282</v>
      </c>
      <c r="F19" s="142" t="s">
        <v>283</v>
      </c>
      <c r="G19" s="141">
        <v>1</v>
      </c>
      <c r="H19" s="141"/>
      <c r="I19" s="116" t="s">
        <v>284</v>
      </c>
      <c r="J19" s="116" t="s">
        <v>296</v>
      </c>
    </row>
    <row r="20" spans="2:10" ht="15.6" x14ac:dyDescent="0.3">
      <c r="E20" s="108" t="s">
        <v>282</v>
      </c>
      <c r="F20" s="142" t="s">
        <v>283</v>
      </c>
      <c r="G20" s="141">
        <v>2</v>
      </c>
      <c r="H20" s="141"/>
      <c r="I20" s="116" t="s">
        <v>285</v>
      </c>
      <c r="J20" s="116" t="s">
        <v>297</v>
      </c>
    </row>
    <row r="21" spans="2:10" ht="15.6" x14ac:dyDescent="0.3">
      <c r="E21" s="108" t="s">
        <v>286</v>
      </c>
      <c r="F21" s="141" t="s">
        <v>287</v>
      </c>
      <c r="G21" s="141">
        <v>1</v>
      </c>
      <c r="H21" s="141"/>
      <c r="I21" s="116" t="s">
        <v>58</v>
      </c>
      <c r="J21" s="116" t="s">
        <v>58</v>
      </c>
    </row>
    <row r="22" spans="2:10" ht="15.6" x14ac:dyDescent="0.3">
      <c r="E22" s="116" t="s">
        <v>288</v>
      </c>
      <c r="F22" s="142" t="s">
        <v>289</v>
      </c>
      <c r="G22" s="142">
        <v>1</v>
      </c>
      <c r="H22" s="142"/>
      <c r="I22" s="116" t="s">
        <v>58</v>
      </c>
      <c r="J22" s="116" t="s">
        <v>58</v>
      </c>
    </row>
    <row r="23" spans="2:10" ht="15.6" x14ac:dyDescent="0.3">
      <c r="E23" s="116" t="s">
        <v>288</v>
      </c>
      <c r="F23" s="142" t="s">
        <v>289</v>
      </c>
      <c r="G23" s="142">
        <v>2</v>
      </c>
      <c r="H23" s="142"/>
      <c r="I23" s="116" t="s">
        <v>58</v>
      </c>
      <c r="J23" s="116"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7"/>
    <col min="2" max="2" width="111" style="149" customWidth="1"/>
    <col min="3" max="16384" width="8.88671875" style="119"/>
  </cols>
  <sheetData>
    <row r="2" spans="1:2" x14ac:dyDescent="0.3">
      <c r="B2" s="148" t="s">
        <v>298</v>
      </c>
    </row>
    <row r="3" spans="1:2" x14ac:dyDescent="0.3">
      <c r="A3" s="147">
        <v>3.1</v>
      </c>
      <c r="B3" s="149" t="s">
        <v>299</v>
      </c>
    </row>
    <row r="4" spans="1:2" x14ac:dyDescent="0.3">
      <c r="B4" s="149" t="s">
        <v>327</v>
      </c>
    </row>
    <row r="6" spans="1:2" x14ac:dyDescent="0.3">
      <c r="B6" s="148" t="s">
        <v>300</v>
      </c>
    </row>
    <row r="7" spans="1:2" x14ac:dyDescent="0.3">
      <c r="A7" s="147">
        <v>4.0999999999999996</v>
      </c>
      <c r="B7" s="149" t="s">
        <v>301</v>
      </c>
    </row>
    <row r="8" spans="1:2" x14ac:dyDescent="0.3">
      <c r="A8" s="147">
        <v>4.2</v>
      </c>
      <c r="B8" s="149" t="s">
        <v>302</v>
      </c>
    </row>
    <row r="9" spans="1:2" x14ac:dyDescent="0.3">
      <c r="A9" s="147">
        <v>4.3</v>
      </c>
      <c r="B9" s="149" t="s">
        <v>303</v>
      </c>
    </row>
    <row r="11" spans="1:2" ht="31.2" x14ac:dyDescent="0.3">
      <c r="B11" s="149" t="s">
        <v>304</v>
      </c>
    </row>
    <row r="13" spans="1:2" x14ac:dyDescent="0.3">
      <c r="B13" s="149" t="s">
        <v>305</v>
      </c>
    </row>
    <row r="15" spans="1:2" ht="46.8" x14ac:dyDescent="0.3">
      <c r="B15" s="149" t="s">
        <v>306</v>
      </c>
    </row>
    <row r="17" spans="1:2" x14ac:dyDescent="0.3">
      <c r="B17" s="148" t="s">
        <v>307</v>
      </c>
    </row>
    <row r="18" spans="1:2" x14ac:dyDescent="0.3">
      <c r="A18" s="147">
        <v>5.0999999999999996</v>
      </c>
      <c r="B18" s="149" t="s">
        <v>308</v>
      </c>
    </row>
    <row r="20" spans="1:2" x14ac:dyDescent="0.3">
      <c r="B20" s="150" t="s">
        <v>309</v>
      </c>
    </row>
    <row r="21" spans="1:2" ht="31.2" x14ac:dyDescent="0.3">
      <c r="B21" s="151" t="s">
        <v>310</v>
      </c>
    </row>
    <row r="22" spans="1:2" x14ac:dyDescent="0.3">
      <c r="B22" s="151" t="s">
        <v>311</v>
      </c>
    </row>
    <row r="24" spans="1:2" x14ac:dyDescent="0.3">
      <c r="B24" s="148" t="s">
        <v>328</v>
      </c>
    </row>
    <row r="25" spans="1:2" ht="31.2" x14ac:dyDescent="0.3">
      <c r="B25" s="149" t="s">
        <v>329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topLeftCell="D1" workbookViewId="0">
      <selection activeCell="K13" sqref="K13"/>
    </sheetView>
  </sheetViews>
  <sheetFormatPr defaultColWidth="9.109375" defaultRowHeight="15.6" x14ac:dyDescent="0.3"/>
  <cols>
    <col min="1" max="1" width="24.109375" style="97" bestFit="1" customWidth="1"/>
    <col min="2" max="2" width="34.21875" style="97" bestFit="1" customWidth="1"/>
    <col min="3" max="3" width="7.6640625" style="97" bestFit="1" customWidth="1"/>
    <col min="4" max="4" width="1.6640625" style="97" customWidth="1"/>
    <col min="5" max="5" width="26.6640625" style="97" bestFit="1" customWidth="1"/>
    <col min="6" max="6" width="29.109375" style="97" bestFit="1" customWidth="1"/>
    <col min="7" max="7" width="7.6640625" style="97" bestFit="1" customWidth="1"/>
    <col min="8" max="8" width="2.109375" style="97" customWidth="1"/>
    <col min="9" max="9" width="28.77734375" customWidth="1"/>
    <col min="10" max="10" width="2.109375" customWidth="1"/>
    <col min="11" max="11" width="29.6640625" style="119" bestFit="1" customWidth="1"/>
    <col min="12" max="12" width="9.88671875" style="119" customWidth="1"/>
    <col min="13" max="17" width="7.21875" customWidth="1"/>
    <col min="18" max="18" width="9.21875" bestFit="1" customWidth="1"/>
    <col min="19" max="19" width="10.21875" bestFit="1" customWidth="1"/>
    <col min="20" max="20" width="11.6640625" bestFit="1" customWidth="1"/>
    <col min="21" max="21" width="11.33203125" bestFit="1" customWidth="1"/>
    <col min="22" max="22" width="10.21875" bestFit="1" customWidth="1"/>
    <col min="23" max="23" width="2.109375" customWidth="1"/>
    <col min="24" max="24" width="29" bestFit="1" customWidth="1"/>
  </cols>
  <sheetData>
    <row r="1" spans="1:24" ht="4.2" customHeight="1" x14ac:dyDescent="0.3">
      <c r="A1" s="96"/>
      <c r="D1" s="96"/>
      <c r="E1" s="96"/>
      <c r="H1" s="96"/>
      <c r="K1"/>
      <c r="L1"/>
    </row>
    <row r="2" spans="1:24" s="99" customFormat="1" ht="19.95" customHeight="1" x14ac:dyDescent="0.3">
      <c r="A2" s="212" t="s">
        <v>107</v>
      </c>
      <c r="B2" s="213"/>
      <c r="C2" s="214"/>
      <c r="D2" s="96"/>
      <c r="E2" s="215" t="s">
        <v>108</v>
      </c>
      <c r="F2" s="216"/>
      <c r="G2" s="217"/>
      <c r="H2" s="96"/>
      <c r="I2" s="98" t="s">
        <v>109</v>
      </c>
      <c r="K2" s="212" t="s">
        <v>110</v>
      </c>
      <c r="L2" s="213"/>
      <c r="M2" s="218" t="s">
        <v>111</v>
      </c>
      <c r="N2" s="219"/>
      <c r="O2" s="219"/>
      <c r="P2" s="219"/>
      <c r="Q2" s="219"/>
      <c r="R2" s="218" t="s">
        <v>112</v>
      </c>
      <c r="S2" s="219"/>
      <c r="T2" s="219"/>
      <c r="U2" s="219"/>
      <c r="V2" s="219"/>
      <c r="X2" s="98" t="s">
        <v>113</v>
      </c>
    </row>
    <row r="3" spans="1:24" s="102" customFormat="1" x14ac:dyDescent="0.3">
      <c r="A3" s="100" t="s">
        <v>114</v>
      </c>
      <c r="B3" s="100" t="s">
        <v>115</v>
      </c>
      <c r="C3" s="100" t="s">
        <v>11</v>
      </c>
      <c r="D3" s="97"/>
      <c r="E3" s="100" t="s">
        <v>114</v>
      </c>
      <c r="F3" s="100" t="s">
        <v>115</v>
      </c>
      <c r="G3" s="100" t="s">
        <v>11</v>
      </c>
      <c r="H3" s="97"/>
      <c r="I3" s="101" t="s">
        <v>114</v>
      </c>
      <c r="K3" s="101" t="s">
        <v>114</v>
      </c>
      <c r="L3" s="103" t="s">
        <v>116</v>
      </c>
      <c r="M3" s="104" t="s">
        <v>117</v>
      </c>
      <c r="N3" s="105" t="s">
        <v>118</v>
      </c>
      <c r="O3" s="105" t="s">
        <v>119</v>
      </c>
      <c r="P3" s="105" t="s">
        <v>120</v>
      </c>
      <c r="Q3" s="106" t="s">
        <v>121</v>
      </c>
      <c r="R3" s="104" t="s">
        <v>117</v>
      </c>
      <c r="S3" s="105" t="s">
        <v>118</v>
      </c>
      <c r="T3" s="105" t="s">
        <v>119</v>
      </c>
      <c r="U3" s="105" t="s">
        <v>120</v>
      </c>
      <c r="V3" s="105" t="s">
        <v>121</v>
      </c>
      <c r="X3" s="101" t="s">
        <v>114</v>
      </c>
    </row>
    <row r="4" spans="1:24" ht="19.95" customHeight="1" x14ac:dyDescent="0.3">
      <c r="A4" s="107" t="s">
        <v>58</v>
      </c>
      <c r="B4" s="107" t="s">
        <v>122</v>
      </c>
      <c r="C4" s="107" t="s">
        <v>58</v>
      </c>
      <c r="E4" s="107" t="s">
        <v>58</v>
      </c>
      <c r="F4" s="107" t="s">
        <v>123</v>
      </c>
      <c r="G4" s="107">
        <v>120</v>
      </c>
      <c r="I4" s="108" t="s">
        <v>124</v>
      </c>
      <c r="K4" s="108" t="s">
        <v>58</v>
      </c>
      <c r="L4" s="109" t="s">
        <v>58</v>
      </c>
      <c r="M4" s="110" t="s">
        <v>58</v>
      </c>
      <c r="N4" s="108" t="s">
        <v>58</v>
      </c>
      <c r="O4" s="108" t="s">
        <v>58</v>
      </c>
      <c r="P4" s="108" t="s">
        <v>58</v>
      </c>
      <c r="Q4" s="109" t="s">
        <v>58</v>
      </c>
      <c r="R4" s="110" t="s">
        <v>58</v>
      </c>
      <c r="S4" s="108" t="s">
        <v>58</v>
      </c>
      <c r="T4" s="108" t="s">
        <v>58</v>
      </c>
      <c r="U4" s="108" t="s">
        <v>58</v>
      </c>
      <c r="V4" s="108" t="s">
        <v>58</v>
      </c>
      <c r="X4" s="108" t="s">
        <v>58</v>
      </c>
    </row>
    <row r="5" spans="1:24" ht="19.95" customHeight="1" x14ac:dyDescent="0.3">
      <c r="A5" s="107" t="s">
        <v>68</v>
      </c>
      <c r="B5" s="107" t="s">
        <v>125</v>
      </c>
      <c r="C5" s="107">
        <v>120</v>
      </c>
      <c r="E5" s="107" t="s">
        <v>97</v>
      </c>
      <c r="F5" s="107"/>
      <c r="G5" s="107">
        <v>60</v>
      </c>
      <c r="I5" s="108" t="s">
        <v>126</v>
      </c>
      <c r="K5" s="108" t="s">
        <v>127</v>
      </c>
      <c r="L5" s="109" t="s">
        <v>128</v>
      </c>
      <c r="M5" s="111">
        <v>1.42</v>
      </c>
      <c r="N5" s="112">
        <v>1.87</v>
      </c>
      <c r="O5" s="112">
        <v>2.14</v>
      </c>
      <c r="P5" s="112" t="s">
        <v>58</v>
      </c>
      <c r="Q5" s="113" t="s">
        <v>58</v>
      </c>
      <c r="R5" s="110" t="s">
        <v>74</v>
      </c>
      <c r="S5" s="108" t="s">
        <v>76</v>
      </c>
      <c r="T5" s="108" t="s">
        <v>129</v>
      </c>
      <c r="U5" s="108" t="s">
        <v>58</v>
      </c>
      <c r="V5" s="108" t="s">
        <v>58</v>
      </c>
      <c r="X5" s="108" t="s">
        <v>130</v>
      </c>
    </row>
    <row r="6" spans="1:24" ht="19.95" customHeight="1" x14ac:dyDescent="0.3">
      <c r="A6" s="107" t="s">
        <v>86</v>
      </c>
      <c r="B6" s="107" t="s">
        <v>131</v>
      </c>
      <c r="C6" s="107">
        <v>60</v>
      </c>
      <c r="E6" s="107" t="s">
        <v>132</v>
      </c>
      <c r="F6" s="107" t="s">
        <v>133</v>
      </c>
      <c r="G6" s="107" t="s">
        <v>58</v>
      </c>
      <c r="I6" s="108" t="s">
        <v>134</v>
      </c>
      <c r="K6" s="108" t="s">
        <v>135</v>
      </c>
      <c r="L6" s="109" t="s">
        <v>128</v>
      </c>
      <c r="M6" s="111">
        <v>1.42</v>
      </c>
      <c r="N6" s="112">
        <v>1.87</v>
      </c>
      <c r="O6" s="112">
        <v>2.19</v>
      </c>
      <c r="P6" s="112" t="s">
        <v>58</v>
      </c>
      <c r="Q6" s="113" t="s">
        <v>58</v>
      </c>
      <c r="R6" s="110" t="s">
        <v>74</v>
      </c>
      <c r="S6" s="108" t="s">
        <v>76</v>
      </c>
      <c r="T6" s="108" t="s">
        <v>136</v>
      </c>
      <c r="U6" s="108" t="s">
        <v>58</v>
      </c>
      <c r="V6" s="108" t="s">
        <v>58</v>
      </c>
      <c r="X6" s="108" t="s">
        <v>137</v>
      </c>
    </row>
    <row r="7" spans="1:24" ht="19.95" customHeight="1" x14ac:dyDescent="0.3">
      <c r="A7" s="107" t="s">
        <v>138</v>
      </c>
      <c r="B7" s="107" t="s">
        <v>139</v>
      </c>
      <c r="C7" s="107" t="s">
        <v>58</v>
      </c>
      <c r="E7" s="107" t="s">
        <v>138</v>
      </c>
      <c r="F7" s="107" t="s">
        <v>347</v>
      </c>
      <c r="G7" s="107" t="s">
        <v>58</v>
      </c>
      <c r="I7" s="108" t="s">
        <v>140</v>
      </c>
      <c r="K7" s="108" t="s">
        <v>141</v>
      </c>
      <c r="L7" s="109" t="s">
        <v>142</v>
      </c>
      <c r="M7" s="111">
        <v>1.42</v>
      </c>
      <c r="N7" s="112">
        <v>2.14</v>
      </c>
      <c r="O7" s="112">
        <v>2.44</v>
      </c>
      <c r="P7" s="112" t="s">
        <v>58</v>
      </c>
      <c r="Q7" s="113" t="s">
        <v>58</v>
      </c>
      <c r="R7" s="110" t="s">
        <v>74</v>
      </c>
      <c r="S7" s="108" t="s">
        <v>76</v>
      </c>
      <c r="T7" s="108" t="s">
        <v>129</v>
      </c>
      <c r="U7" s="108" t="s">
        <v>58</v>
      </c>
      <c r="V7" s="108" t="s">
        <v>58</v>
      </c>
      <c r="X7" s="108" t="s">
        <v>143</v>
      </c>
    </row>
    <row r="8" spans="1:24" ht="19.95" customHeight="1" x14ac:dyDescent="0.3">
      <c r="A8" s="107" t="s">
        <v>144</v>
      </c>
      <c r="B8" s="107" t="s">
        <v>145</v>
      </c>
      <c r="C8" s="107" t="s">
        <v>58</v>
      </c>
      <c r="E8" s="107" t="s">
        <v>345</v>
      </c>
      <c r="F8" s="107"/>
      <c r="G8" s="107">
        <v>30</v>
      </c>
      <c r="I8" s="108" t="s">
        <v>146</v>
      </c>
      <c r="K8" s="108" t="s">
        <v>147</v>
      </c>
      <c r="L8" s="109" t="s">
        <v>148</v>
      </c>
      <c r="M8" s="111">
        <v>0.99</v>
      </c>
      <c r="N8" s="112">
        <v>4</v>
      </c>
      <c r="O8" s="112">
        <v>4.6399999999999997</v>
      </c>
      <c r="P8" s="112" t="s">
        <v>58</v>
      </c>
      <c r="Q8" s="113" t="s">
        <v>58</v>
      </c>
      <c r="R8" s="110" t="s">
        <v>74</v>
      </c>
      <c r="S8" s="108" t="s">
        <v>149</v>
      </c>
      <c r="T8" s="108" t="s">
        <v>150</v>
      </c>
      <c r="U8" s="108" t="s">
        <v>58</v>
      </c>
      <c r="V8" s="108" t="s">
        <v>58</v>
      </c>
      <c r="X8" s="108" t="s">
        <v>151</v>
      </c>
    </row>
    <row r="9" spans="1:24" ht="19.95" customHeight="1" x14ac:dyDescent="0.3">
      <c r="A9" s="107" t="s">
        <v>72</v>
      </c>
      <c r="B9" s="107" t="s">
        <v>152</v>
      </c>
      <c r="C9" s="107" t="s">
        <v>58</v>
      </c>
      <c r="E9" s="107" t="s">
        <v>346</v>
      </c>
      <c r="F9" s="107"/>
      <c r="G9" s="107">
        <v>60</v>
      </c>
      <c r="I9" s="108" t="s">
        <v>153</v>
      </c>
      <c r="K9" s="108" t="s">
        <v>154</v>
      </c>
      <c r="L9" s="109" t="s">
        <v>155</v>
      </c>
      <c r="M9" s="111">
        <v>0.81</v>
      </c>
      <c r="N9" s="112">
        <v>3.69</v>
      </c>
      <c r="O9" s="112">
        <v>4.8</v>
      </c>
      <c r="P9" s="112" t="s">
        <v>58</v>
      </c>
      <c r="Q9" s="113" t="s">
        <v>58</v>
      </c>
      <c r="R9" s="110" t="s">
        <v>74</v>
      </c>
      <c r="S9" s="108" t="s">
        <v>156</v>
      </c>
      <c r="T9" s="108" t="s">
        <v>85</v>
      </c>
      <c r="U9" s="108" t="s">
        <v>58</v>
      </c>
      <c r="V9" s="108" t="s">
        <v>58</v>
      </c>
    </row>
    <row r="10" spans="1:24" ht="19.95" customHeight="1" x14ac:dyDescent="0.3">
      <c r="A10" s="107" t="s">
        <v>62</v>
      </c>
      <c r="B10" s="107" t="s">
        <v>157</v>
      </c>
      <c r="C10" s="107">
        <v>120</v>
      </c>
      <c r="E10" s="107" t="s">
        <v>322</v>
      </c>
      <c r="F10" s="107"/>
      <c r="G10" s="107">
        <v>30</v>
      </c>
      <c r="I10" s="108" t="s">
        <v>159</v>
      </c>
      <c r="K10" s="108" t="s">
        <v>160</v>
      </c>
      <c r="L10" s="109" t="s">
        <v>161</v>
      </c>
      <c r="M10" s="111">
        <v>0.9</v>
      </c>
      <c r="N10" s="112">
        <v>4.3099999999999996</v>
      </c>
      <c r="O10" s="112">
        <v>4.67</v>
      </c>
      <c r="P10" s="112" t="s">
        <v>58</v>
      </c>
      <c r="Q10" s="113" t="s">
        <v>58</v>
      </c>
      <c r="R10" s="110" t="s">
        <v>74</v>
      </c>
      <c r="S10" s="108" t="s">
        <v>76</v>
      </c>
      <c r="T10" s="108" t="s">
        <v>77</v>
      </c>
      <c r="U10" s="108" t="s">
        <v>58</v>
      </c>
      <c r="V10" s="108" t="s">
        <v>58</v>
      </c>
    </row>
    <row r="11" spans="1:24" ht="19.95" customHeight="1" x14ac:dyDescent="0.3">
      <c r="A11" s="107" t="s">
        <v>78</v>
      </c>
      <c r="B11" s="107" t="s">
        <v>157</v>
      </c>
      <c r="C11" s="107">
        <v>60</v>
      </c>
      <c r="E11" s="107" t="s">
        <v>323</v>
      </c>
      <c r="F11" s="107"/>
      <c r="G11" s="107">
        <v>45</v>
      </c>
      <c r="I11" s="108" t="s">
        <v>162</v>
      </c>
      <c r="K11" s="108" t="s">
        <v>75</v>
      </c>
      <c r="L11" s="109" t="s">
        <v>163</v>
      </c>
      <c r="M11" s="111">
        <v>0.9</v>
      </c>
      <c r="N11" s="112">
        <v>4.3099999999999996</v>
      </c>
      <c r="O11" s="112">
        <v>4.7300000000000004</v>
      </c>
      <c r="P11" s="112" t="s">
        <v>58</v>
      </c>
      <c r="Q11" s="113" t="s">
        <v>58</v>
      </c>
      <c r="R11" s="110" t="s">
        <v>74</v>
      </c>
      <c r="S11" s="108" t="s">
        <v>76</v>
      </c>
      <c r="T11" s="108" t="s">
        <v>172</v>
      </c>
      <c r="U11" s="108" t="s">
        <v>58</v>
      </c>
      <c r="V11" s="108" t="s">
        <v>58</v>
      </c>
    </row>
    <row r="12" spans="1:24" ht="19.95" customHeight="1" x14ac:dyDescent="0.3">
      <c r="A12" s="107" t="s">
        <v>66</v>
      </c>
      <c r="B12" s="107" t="s">
        <v>164</v>
      </c>
      <c r="C12" s="107" t="s">
        <v>58</v>
      </c>
      <c r="E12" s="107" t="s">
        <v>158</v>
      </c>
      <c r="F12" s="107" t="s">
        <v>145</v>
      </c>
      <c r="G12" s="107" t="s">
        <v>58</v>
      </c>
      <c r="K12" s="108" t="s">
        <v>165</v>
      </c>
      <c r="L12" s="109" t="s">
        <v>166</v>
      </c>
      <c r="M12" s="111">
        <v>0.94</v>
      </c>
      <c r="N12" s="112">
        <v>5.4</v>
      </c>
      <c r="O12" s="112">
        <v>6.25</v>
      </c>
      <c r="P12" s="112" t="s">
        <v>58</v>
      </c>
      <c r="Q12" s="113" t="s">
        <v>58</v>
      </c>
      <c r="R12" s="110" t="s">
        <v>74</v>
      </c>
      <c r="S12" s="108" t="s">
        <v>167</v>
      </c>
      <c r="T12" s="108" t="s">
        <v>129</v>
      </c>
      <c r="U12" s="108" t="s">
        <v>58</v>
      </c>
      <c r="V12" s="108" t="s">
        <v>58</v>
      </c>
    </row>
    <row r="13" spans="1:24" ht="19.95" customHeight="1" x14ac:dyDescent="0.3">
      <c r="A13" s="107" t="s">
        <v>168</v>
      </c>
      <c r="B13" s="107" t="s">
        <v>169</v>
      </c>
      <c r="C13" s="107" t="s">
        <v>58</v>
      </c>
      <c r="E13" s="107" t="s">
        <v>80</v>
      </c>
      <c r="F13" s="107"/>
      <c r="G13" s="107" t="s">
        <v>58</v>
      </c>
      <c r="K13" s="108" t="s">
        <v>81</v>
      </c>
      <c r="L13" s="109" t="s">
        <v>171</v>
      </c>
      <c r="M13" s="111">
        <v>1.73</v>
      </c>
      <c r="N13" s="112">
        <v>6</v>
      </c>
      <c r="O13" s="112">
        <v>6.6</v>
      </c>
      <c r="P13" s="112" t="s">
        <v>58</v>
      </c>
      <c r="Q13" s="113" t="s">
        <v>58</v>
      </c>
      <c r="R13" s="110" t="s">
        <v>74</v>
      </c>
      <c r="S13" s="108" t="s">
        <v>82</v>
      </c>
      <c r="T13" s="108" t="s">
        <v>342</v>
      </c>
      <c r="U13" s="108" t="s">
        <v>58</v>
      </c>
      <c r="V13" s="108" t="s">
        <v>58</v>
      </c>
    </row>
    <row r="14" spans="1:24" ht="19.95" customHeight="1" x14ac:dyDescent="0.3">
      <c r="A14" s="97" t="s">
        <v>324</v>
      </c>
      <c r="B14" s="97" t="s">
        <v>326</v>
      </c>
      <c r="C14" s="107" t="s">
        <v>58</v>
      </c>
      <c r="E14" s="107" t="s">
        <v>73</v>
      </c>
      <c r="F14" s="107"/>
      <c r="G14" s="107" t="s">
        <v>58</v>
      </c>
      <c r="K14" s="108" t="s">
        <v>174</v>
      </c>
      <c r="L14" s="109" t="s">
        <v>175</v>
      </c>
      <c r="M14" s="114">
        <v>1.3</v>
      </c>
      <c r="N14" s="112">
        <v>5.68</v>
      </c>
      <c r="O14" s="112">
        <v>6.2</v>
      </c>
      <c r="P14" s="112" t="s">
        <v>58</v>
      </c>
      <c r="Q14" s="113" t="s">
        <v>58</v>
      </c>
      <c r="R14" s="110" t="s">
        <v>74</v>
      </c>
      <c r="S14" s="108" t="s">
        <v>156</v>
      </c>
      <c r="T14" s="108" t="s">
        <v>176</v>
      </c>
      <c r="U14" s="108" t="s">
        <v>58</v>
      </c>
      <c r="V14" s="108" t="s">
        <v>58</v>
      </c>
    </row>
    <row r="15" spans="1:24" ht="19.95" customHeight="1" x14ac:dyDescent="0.3">
      <c r="A15" s="97" t="s">
        <v>105</v>
      </c>
      <c r="B15" s="97" t="s">
        <v>325</v>
      </c>
      <c r="C15" s="107" t="s">
        <v>58</v>
      </c>
      <c r="E15" s="107" t="s">
        <v>170</v>
      </c>
      <c r="F15" s="107"/>
      <c r="G15" s="107" t="s">
        <v>58</v>
      </c>
      <c r="K15" s="108" t="s">
        <v>177</v>
      </c>
      <c r="L15" s="109" t="s">
        <v>178</v>
      </c>
      <c r="M15" s="111">
        <v>1.9</v>
      </c>
      <c r="N15" s="112">
        <v>8</v>
      </c>
      <c r="O15" s="112">
        <v>8.5</v>
      </c>
      <c r="P15" s="112" t="s">
        <v>58</v>
      </c>
      <c r="Q15" s="113" t="s">
        <v>58</v>
      </c>
      <c r="R15" s="110" t="s">
        <v>74</v>
      </c>
      <c r="S15" s="108" t="s">
        <v>82</v>
      </c>
      <c r="T15" s="108" t="s">
        <v>179</v>
      </c>
      <c r="U15" s="108" t="s">
        <v>58</v>
      </c>
      <c r="V15" s="108" t="s">
        <v>58</v>
      </c>
    </row>
    <row r="16" spans="1:24" ht="19.95" customHeight="1" x14ac:dyDescent="0.3">
      <c r="E16" s="107" t="s">
        <v>173</v>
      </c>
      <c r="F16" s="107" t="s">
        <v>145</v>
      </c>
      <c r="G16" s="107" t="s">
        <v>58</v>
      </c>
      <c r="K16" s="108" t="s">
        <v>83</v>
      </c>
      <c r="L16" s="109" t="s">
        <v>181</v>
      </c>
      <c r="M16" s="111">
        <v>1.67</v>
      </c>
      <c r="N16" s="112">
        <v>7.3</v>
      </c>
      <c r="O16" s="112">
        <v>8.52</v>
      </c>
      <c r="P16" s="112" t="s">
        <v>58</v>
      </c>
      <c r="Q16" s="113" t="s">
        <v>58</v>
      </c>
      <c r="R16" s="110" t="s">
        <v>74</v>
      </c>
      <c r="S16" s="108" t="s">
        <v>84</v>
      </c>
      <c r="T16" s="108" t="s">
        <v>85</v>
      </c>
      <c r="U16" s="108" t="s">
        <v>58</v>
      </c>
      <c r="V16" s="108" t="s">
        <v>58</v>
      </c>
      <c r="W16" s="115"/>
    </row>
    <row r="17" spans="5:22" ht="19.95" customHeight="1" x14ac:dyDescent="0.3">
      <c r="E17" s="107" t="s">
        <v>103</v>
      </c>
      <c r="F17" s="107"/>
      <c r="G17" s="107">
        <v>60</v>
      </c>
      <c r="K17" s="116" t="s">
        <v>88</v>
      </c>
      <c r="L17" s="109" t="s">
        <v>182</v>
      </c>
      <c r="M17" s="111">
        <v>2.33</v>
      </c>
      <c r="N17" s="117">
        <v>9</v>
      </c>
      <c r="O17" s="117">
        <v>10</v>
      </c>
      <c r="P17" s="117">
        <v>11</v>
      </c>
      <c r="Q17" s="118">
        <v>12</v>
      </c>
      <c r="R17" s="110" t="s">
        <v>87</v>
      </c>
      <c r="S17" s="108" t="s">
        <v>89</v>
      </c>
      <c r="T17" s="108" t="s">
        <v>91</v>
      </c>
      <c r="U17" s="108" t="s">
        <v>355</v>
      </c>
      <c r="V17" s="108" t="s">
        <v>353</v>
      </c>
    </row>
    <row r="18" spans="5:22" ht="19.95" customHeight="1" x14ac:dyDescent="0.3">
      <c r="E18" s="107" t="s">
        <v>180</v>
      </c>
      <c r="F18" s="107" t="s">
        <v>133</v>
      </c>
      <c r="G18" s="107" t="s">
        <v>58</v>
      </c>
      <c r="K18" s="115"/>
      <c r="L18" s="115"/>
    </row>
    <row r="19" spans="5:22" ht="19.95" customHeight="1" x14ac:dyDescent="0.3">
      <c r="E19" s="107" t="s">
        <v>67</v>
      </c>
      <c r="F19" s="107"/>
      <c r="G19" s="107">
        <v>30</v>
      </c>
      <c r="K19" s="115" t="s">
        <v>186</v>
      </c>
      <c r="L19" s="115"/>
    </row>
    <row r="20" spans="5:22" ht="19.95" customHeight="1" x14ac:dyDescent="0.3">
      <c r="E20" s="107" t="s">
        <v>183</v>
      </c>
      <c r="F20" s="107" t="s">
        <v>184</v>
      </c>
      <c r="G20" s="107" t="s">
        <v>58</v>
      </c>
      <c r="K20" s="115" t="s">
        <v>188</v>
      </c>
      <c r="L20" s="115"/>
    </row>
    <row r="21" spans="5:22" ht="19.95" customHeight="1" x14ac:dyDescent="0.3">
      <c r="E21" s="107" t="s">
        <v>59</v>
      </c>
      <c r="F21" s="107" t="s">
        <v>185</v>
      </c>
      <c r="G21" s="107" t="s">
        <v>58</v>
      </c>
      <c r="K21" s="115"/>
      <c r="L21" s="115"/>
    </row>
    <row r="22" spans="5:22" ht="19.95" customHeight="1" x14ac:dyDescent="0.3">
      <c r="E22" s="107" t="s">
        <v>187</v>
      </c>
      <c r="F22" s="107"/>
      <c r="G22" s="107">
        <v>120</v>
      </c>
      <c r="K22" s="115"/>
      <c r="L22" s="115"/>
    </row>
    <row r="23" spans="5:22" ht="19.95" customHeight="1" x14ac:dyDescent="0.3">
      <c r="E23" s="107" t="s">
        <v>189</v>
      </c>
      <c r="F23" s="107" t="s">
        <v>190</v>
      </c>
      <c r="G23" s="107" t="s">
        <v>58</v>
      </c>
      <c r="K23" s="115"/>
      <c r="L23" s="115"/>
    </row>
    <row r="24" spans="5:22" ht="19.95" customHeight="1" x14ac:dyDescent="0.3">
      <c r="E24" s="107" t="s">
        <v>191</v>
      </c>
      <c r="F24" s="107" t="s">
        <v>192</v>
      </c>
      <c r="G24" s="107">
        <f>5*60</f>
        <v>300</v>
      </c>
      <c r="K24" s="115"/>
      <c r="L24" s="115"/>
    </row>
    <row r="25" spans="5:22" ht="19.95" customHeight="1" x14ac:dyDescent="0.3">
      <c r="E25" s="107" t="s">
        <v>193</v>
      </c>
      <c r="F25" s="107" t="s">
        <v>194</v>
      </c>
      <c r="G25" s="107">
        <v>300</v>
      </c>
      <c r="K25" s="115"/>
      <c r="L25" s="115"/>
    </row>
    <row r="26" spans="5:22" ht="19.95" customHeight="1" x14ac:dyDescent="0.3">
      <c r="E26" s="107" t="s">
        <v>195</v>
      </c>
      <c r="F26" s="107"/>
      <c r="G26" s="107" t="s">
        <v>58</v>
      </c>
      <c r="K26" s="115"/>
      <c r="L26" s="115"/>
    </row>
    <row r="27" spans="5:22" ht="19.95" customHeight="1" x14ac:dyDescent="0.3">
      <c r="E27" s="107" t="s">
        <v>196</v>
      </c>
      <c r="F27" s="107"/>
      <c r="G27" s="107" t="s">
        <v>58</v>
      </c>
      <c r="K27" s="115"/>
      <c r="L27" s="115"/>
    </row>
    <row r="28" spans="5:22" ht="19.95" customHeight="1" x14ac:dyDescent="0.3">
      <c r="E28" s="97" t="s">
        <v>197</v>
      </c>
      <c r="K28" s="115"/>
      <c r="L28" s="115"/>
    </row>
    <row r="29" spans="5:22" ht="19.95" customHeight="1" x14ac:dyDescent="0.3">
      <c r="K29" s="115"/>
      <c r="L29" s="115"/>
    </row>
    <row r="30" spans="5:22" ht="19.95" customHeight="1" x14ac:dyDescent="0.3">
      <c r="K30" s="115"/>
      <c r="L30" s="115"/>
    </row>
    <row r="31" spans="5:22" ht="19.95" customHeight="1" x14ac:dyDescent="0.3">
      <c r="K31" s="115"/>
      <c r="L31" s="115"/>
    </row>
    <row r="32" spans="5:22" ht="19.95" customHeight="1" x14ac:dyDescent="0.3">
      <c r="K32" s="115"/>
      <c r="L32" s="115"/>
    </row>
    <row r="33" spans="11:12" ht="19.95" customHeight="1" x14ac:dyDescent="0.3">
      <c r="K33" s="115"/>
      <c r="L33" s="115"/>
    </row>
    <row r="34" spans="11:12" ht="19.95" customHeight="1" x14ac:dyDescent="0.3">
      <c r="K34" s="115"/>
      <c r="L34" s="115"/>
    </row>
    <row r="35" spans="11:12" ht="19.95" customHeight="1" x14ac:dyDescent="0.3">
      <c r="K35" s="115"/>
      <c r="L35" s="115"/>
    </row>
    <row r="36" spans="11:12" ht="19.95" customHeight="1" x14ac:dyDescent="0.3">
      <c r="K36" s="115"/>
      <c r="L36" s="115"/>
    </row>
    <row r="37" spans="11:12" ht="19.95" customHeight="1" x14ac:dyDescent="0.3">
      <c r="K37" s="115"/>
      <c r="L37" s="115"/>
    </row>
    <row r="38" spans="11:12" ht="19.95" customHeight="1" x14ac:dyDescent="0.3">
      <c r="K38" s="115"/>
      <c r="L38" s="115"/>
    </row>
    <row r="39" spans="11:12" ht="19.95" customHeight="1" x14ac:dyDescent="0.3">
      <c r="K39" s="115"/>
      <c r="L39" s="115"/>
    </row>
    <row r="40" spans="11:12" ht="19.95" customHeight="1" x14ac:dyDescent="0.3">
      <c r="K40" s="115"/>
      <c r="L40" s="115"/>
    </row>
    <row r="41" spans="11:12" ht="19.95" customHeight="1" x14ac:dyDescent="0.3">
      <c r="K41" s="115"/>
      <c r="L41" s="115"/>
    </row>
    <row r="42" spans="11:12" ht="19.95" customHeight="1" x14ac:dyDescent="0.3">
      <c r="K42" s="115"/>
      <c r="L42" s="115"/>
    </row>
    <row r="43" spans="11:12" ht="19.95" customHeight="1" x14ac:dyDescent="0.3">
      <c r="K43" s="115"/>
      <c r="L43" s="115"/>
    </row>
    <row r="44" spans="11:12" ht="19.95" customHeight="1" x14ac:dyDescent="0.3">
      <c r="K44" s="115"/>
      <c r="L44" s="115"/>
    </row>
    <row r="45" spans="11:12" ht="19.95" customHeight="1" x14ac:dyDescent="0.3">
      <c r="K45" s="115"/>
      <c r="L45" s="115"/>
    </row>
    <row r="46" spans="11:12" ht="19.95" customHeight="1" x14ac:dyDescent="0.3">
      <c r="K46" s="115"/>
      <c r="L46" s="115"/>
    </row>
    <row r="47" spans="11:12" ht="19.95" customHeight="1" x14ac:dyDescent="0.3">
      <c r="K47" s="115"/>
      <c r="L47" s="115"/>
    </row>
    <row r="48" spans="11:12" ht="19.95" customHeight="1" x14ac:dyDescent="0.3">
      <c r="K48" s="115"/>
      <c r="L48" s="115"/>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pageSetUpPr fitToPage="1"/>
  </sheetPr>
  <dimension ref="B1:M19"/>
  <sheetViews>
    <sheetView showGridLines="0" topLeftCell="A10" zoomScale="50" zoomScaleNormal="50" workbookViewId="0">
      <selection activeCell="I9" sqref="I9"/>
    </sheetView>
  </sheetViews>
  <sheetFormatPr defaultColWidth="8.88671875" defaultRowHeight="21" x14ac:dyDescent="0.3"/>
  <cols>
    <col min="1" max="1" width="1.6640625" style="58" customWidth="1"/>
    <col min="2" max="2" width="23.77734375" style="58" customWidth="1"/>
    <col min="3" max="3" width="7.6640625" style="188" bestFit="1" customWidth="1"/>
    <col min="4" max="4" width="9.44140625" style="188" bestFit="1" customWidth="1"/>
    <col min="5" max="5" width="13.109375" style="188" bestFit="1" customWidth="1"/>
    <col min="6" max="7" width="42.44140625" style="88" customWidth="1"/>
    <col min="8" max="9" width="25" style="88" customWidth="1"/>
    <col min="10" max="10" width="25" style="188" customWidth="1"/>
    <col min="11" max="11" width="25" style="88" customWidth="1"/>
    <col min="12" max="12" width="39.77734375" style="188" customWidth="1"/>
    <col min="13" max="13" width="17.6640625" style="58" customWidth="1"/>
    <col min="14" max="16384" width="8.88671875" style="58"/>
  </cols>
  <sheetData>
    <row r="1" spans="2:13" s="155" customFormat="1" ht="49.2" customHeight="1" x14ac:dyDescent="0.3">
      <c r="B1" s="152" t="s">
        <v>312</v>
      </c>
      <c r="C1" s="220" t="str">
        <f>LEFT(Description!C9,10)&amp;" - "&amp;LEFT(Description!C3,256)</f>
        <v>IV2_Seq9 - Simulated pre-pump thrombosis in glucose solution</v>
      </c>
      <c r="D1" s="220"/>
      <c r="E1" s="220"/>
      <c r="F1" s="220"/>
      <c r="G1" s="220"/>
      <c r="H1" s="220"/>
      <c r="I1" s="220"/>
      <c r="J1" s="220"/>
      <c r="K1" s="220"/>
      <c r="L1" s="153" t="s">
        <v>313</v>
      </c>
      <c r="M1" s="154"/>
    </row>
    <row r="2" spans="2:13" s="156" customFormat="1" ht="21.6" customHeight="1" x14ac:dyDescent="0.3">
      <c r="C2" s="206" t="s">
        <v>252</v>
      </c>
      <c r="D2" s="206"/>
      <c r="E2" s="157" t="s">
        <v>4</v>
      </c>
      <c r="F2" s="221" t="s">
        <v>314</v>
      </c>
      <c r="G2" s="221"/>
      <c r="H2" s="221"/>
      <c r="I2" s="221"/>
      <c r="J2" s="222" t="s">
        <v>6</v>
      </c>
      <c r="K2" s="223"/>
      <c r="L2" s="158"/>
    </row>
    <row r="3" spans="2:13" s="167" customFormat="1" ht="30" customHeight="1" x14ac:dyDescent="0.4">
      <c r="B3" s="159" t="s">
        <v>315</v>
      </c>
      <c r="C3" s="160" t="s">
        <v>31</v>
      </c>
      <c r="D3" s="161" t="s">
        <v>30</v>
      </c>
      <c r="E3" s="162" t="s">
        <v>31</v>
      </c>
      <c r="F3" s="163" t="s">
        <v>316</v>
      </c>
      <c r="G3" s="163" t="s">
        <v>317</v>
      </c>
      <c r="H3" s="164" t="s">
        <v>38</v>
      </c>
      <c r="I3" s="164" t="s">
        <v>39</v>
      </c>
      <c r="J3" s="165" t="s">
        <v>318</v>
      </c>
      <c r="K3" s="165" t="s">
        <v>41</v>
      </c>
      <c r="L3" s="166" t="s">
        <v>265</v>
      </c>
    </row>
    <row r="4" spans="2:13" s="176" customFormat="1" ht="23.4" customHeight="1" x14ac:dyDescent="0.3">
      <c r="B4" s="168" t="s">
        <v>319</v>
      </c>
      <c r="C4" s="169" t="s">
        <v>54</v>
      </c>
      <c r="D4" s="170" t="s">
        <v>56</v>
      </c>
      <c r="E4" s="171" t="s">
        <v>54</v>
      </c>
      <c r="F4" s="172" t="s">
        <v>320</v>
      </c>
      <c r="G4" s="172" t="s">
        <v>320</v>
      </c>
      <c r="H4" s="173" t="s">
        <v>57</v>
      </c>
      <c r="I4" s="173" t="s">
        <v>321</v>
      </c>
      <c r="J4" s="171" t="s">
        <v>54</v>
      </c>
      <c r="K4" s="174" t="s">
        <v>53</v>
      </c>
      <c r="L4" s="175"/>
    </row>
    <row r="5" spans="2:13" ht="59.4" customHeight="1" x14ac:dyDescent="0.3">
      <c r="B5" s="177"/>
      <c r="C5" s="178"/>
      <c r="D5" s="179"/>
      <c r="E5" s="179"/>
      <c r="F5" s="180"/>
      <c r="G5" s="180"/>
      <c r="H5" s="180"/>
      <c r="I5" s="180"/>
      <c r="J5" s="179"/>
      <c r="K5" s="181"/>
      <c r="L5" s="182"/>
    </row>
    <row r="6" spans="2:13" ht="59.4" customHeight="1" x14ac:dyDescent="0.3">
      <c r="B6" s="183"/>
      <c r="C6" s="178"/>
      <c r="D6" s="178"/>
      <c r="E6" s="178"/>
      <c r="F6" s="184"/>
      <c r="G6" s="184"/>
      <c r="H6" s="184"/>
      <c r="I6" s="184"/>
      <c r="J6" s="178"/>
      <c r="K6" s="185"/>
      <c r="L6" s="182"/>
    </row>
    <row r="7" spans="2:13" ht="59.4" customHeight="1" x14ac:dyDescent="0.3">
      <c r="B7" s="183"/>
      <c r="C7" s="178"/>
      <c r="D7" s="178"/>
      <c r="E7" s="178"/>
      <c r="F7" s="184"/>
      <c r="G7" s="184"/>
      <c r="H7" s="184"/>
      <c r="I7" s="184"/>
      <c r="J7" s="178"/>
      <c r="K7" s="185"/>
      <c r="L7" s="186"/>
    </row>
    <row r="8" spans="2:13" ht="59.4" customHeight="1" x14ac:dyDescent="0.3">
      <c r="B8" s="183"/>
      <c r="C8" s="178"/>
      <c r="D8" s="178"/>
      <c r="E8" s="178"/>
      <c r="F8" s="184"/>
      <c r="G8" s="184"/>
      <c r="H8" s="184"/>
      <c r="I8" s="184"/>
      <c r="J8" s="178"/>
      <c r="K8" s="185"/>
      <c r="L8" s="182"/>
    </row>
    <row r="9" spans="2:13" ht="59.4" customHeight="1" x14ac:dyDescent="0.3">
      <c r="B9" s="183"/>
      <c r="C9" s="178"/>
      <c r="D9" s="178"/>
      <c r="E9" s="178"/>
      <c r="F9" s="184"/>
      <c r="G9" s="184"/>
      <c r="H9" s="184"/>
      <c r="I9" s="184"/>
      <c r="J9" s="178"/>
      <c r="K9" s="185"/>
      <c r="L9" s="182"/>
    </row>
    <row r="10" spans="2:13" ht="59.4" customHeight="1" x14ac:dyDescent="0.3">
      <c r="B10" s="187"/>
      <c r="C10" s="178"/>
      <c r="D10" s="179"/>
      <c r="E10" s="179"/>
      <c r="F10" s="184"/>
      <c r="G10" s="180"/>
      <c r="H10" s="180"/>
      <c r="I10" s="180"/>
      <c r="J10" s="179"/>
      <c r="K10" s="181"/>
      <c r="L10" s="182"/>
    </row>
    <row r="11" spans="2:13" ht="59.4" customHeight="1" x14ac:dyDescent="0.3">
      <c r="B11" s="183"/>
      <c r="C11" s="178"/>
      <c r="D11" s="178"/>
      <c r="E11" s="178"/>
      <c r="F11" s="184"/>
      <c r="G11" s="184"/>
      <c r="H11" s="184"/>
      <c r="I11" s="184"/>
      <c r="J11" s="178"/>
      <c r="K11" s="185"/>
      <c r="L11" s="182"/>
    </row>
    <row r="12" spans="2:13" ht="59.4" customHeight="1" x14ac:dyDescent="0.3">
      <c r="B12" s="183"/>
      <c r="C12" s="178"/>
      <c r="D12" s="178"/>
      <c r="E12" s="178"/>
      <c r="F12" s="184"/>
      <c r="G12" s="184"/>
      <c r="H12" s="184"/>
      <c r="I12" s="184"/>
      <c r="J12" s="178"/>
      <c r="K12" s="185"/>
      <c r="L12" s="182"/>
    </row>
    <row r="13" spans="2:13" ht="59.4" customHeight="1" x14ac:dyDescent="0.3">
      <c r="B13" s="183"/>
      <c r="C13" s="178"/>
      <c r="D13" s="178"/>
      <c r="E13" s="178"/>
      <c r="F13" s="184"/>
      <c r="G13" s="184"/>
      <c r="H13" s="184"/>
      <c r="I13" s="184"/>
      <c r="J13" s="178"/>
      <c r="K13" s="185"/>
      <c r="L13" s="182"/>
    </row>
    <row r="14" spans="2:13" ht="59.4" customHeight="1" x14ac:dyDescent="0.3">
      <c r="B14" s="183"/>
      <c r="C14" s="178"/>
      <c r="D14" s="178"/>
      <c r="E14" s="178"/>
      <c r="F14" s="184"/>
      <c r="G14" s="184"/>
      <c r="H14" s="184"/>
      <c r="I14" s="184"/>
      <c r="J14" s="178"/>
      <c r="K14" s="185"/>
      <c r="L14" s="182"/>
    </row>
    <row r="15" spans="2:13" ht="59.4" customHeight="1" x14ac:dyDescent="0.3">
      <c r="B15" s="183"/>
      <c r="C15" s="178"/>
      <c r="D15" s="178"/>
      <c r="E15" s="178"/>
      <c r="F15" s="184"/>
      <c r="G15" s="184"/>
      <c r="H15" s="184"/>
      <c r="I15" s="184"/>
      <c r="J15" s="178"/>
      <c r="K15" s="185"/>
      <c r="L15" s="182"/>
    </row>
    <row r="16" spans="2:13" ht="59.4" customHeight="1" x14ac:dyDescent="0.3">
      <c r="B16" s="183"/>
      <c r="C16" s="178"/>
      <c r="D16" s="178"/>
      <c r="E16" s="178"/>
      <c r="F16" s="184"/>
      <c r="G16" s="184"/>
      <c r="H16" s="184"/>
      <c r="I16" s="184"/>
      <c r="J16" s="178"/>
      <c r="K16" s="185"/>
      <c r="L16" s="182"/>
    </row>
    <row r="17" spans="2:12" ht="59.4" customHeight="1" x14ac:dyDescent="0.3">
      <c r="B17" s="183"/>
      <c r="C17" s="178"/>
      <c r="D17" s="178"/>
      <c r="E17" s="178"/>
      <c r="F17" s="184"/>
      <c r="G17" s="184"/>
      <c r="H17" s="184"/>
      <c r="I17" s="184"/>
      <c r="J17" s="178"/>
      <c r="K17" s="185"/>
      <c r="L17" s="182"/>
    </row>
    <row r="18" spans="2:12" ht="59.4" customHeight="1" x14ac:dyDescent="0.3">
      <c r="B18" s="183"/>
      <c r="C18" s="178"/>
      <c r="D18" s="178"/>
      <c r="E18" s="178"/>
      <c r="F18" s="184"/>
      <c r="G18" s="184"/>
      <c r="H18" s="184"/>
      <c r="I18" s="184"/>
      <c r="J18" s="178"/>
      <c r="K18" s="185"/>
      <c r="L18" s="182"/>
    </row>
    <row r="19" spans="2:12" ht="59.4" customHeight="1" x14ac:dyDescent="0.3">
      <c r="B19" s="183"/>
      <c r="C19" s="178"/>
      <c r="D19" s="178"/>
      <c r="E19" s="178"/>
      <c r="F19" s="184"/>
      <c r="G19" s="184"/>
      <c r="H19" s="184"/>
      <c r="I19" s="184"/>
      <c r="J19" s="178"/>
      <c r="K19" s="185"/>
      <c r="L19" s="182"/>
    </row>
  </sheetData>
  <mergeCells count="4">
    <mergeCell ref="C1:K1"/>
    <mergeCell ref="C2:D2"/>
    <mergeCell ref="F2:I2"/>
    <mergeCell ref="J2:K2"/>
  </mergeCells>
  <pageMargins left="0.23622047244094491" right="0.23622047244094491" top="0.74803149606299213" bottom="0.74803149606299213" header="0.31496062992125984" footer="0.31496062992125984"/>
  <pageSetup paperSize="9" scale="4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Recording notes</vt:lpstr>
      <vt:lpstr>Procedures</vt:lpstr>
      <vt:lpstr>Description</vt:lpstr>
      <vt:lpstr>Usage</vt:lpstr>
      <vt:lpstr>Categories</vt:lpstr>
      <vt:lpstr>Hand notes scheme</vt:lpstr>
      <vt:lpstr>Controlled_VarNames</vt:lpstr>
      <vt:lpstr>Experiment_Info</vt:lpstr>
      <vt:lpstr>Header_VarNames</vt:lpstr>
      <vt:lpstr>Header_VarUnits</vt:lpstr>
      <vt:lpstr>Measured_VarNames</vt:lpstr>
      <vt:lpstr>'Recording notes'!Notes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2020-09-02T12:46:27Z</cp:lastPrinted>
  <dcterms:created xsi:type="dcterms:W3CDTF">2020-08-27T08:34:57Z</dcterms:created>
  <dcterms:modified xsi:type="dcterms:W3CDTF">2020-09-03T16:03:34Z</dcterms:modified>
</cp:coreProperties>
</file>