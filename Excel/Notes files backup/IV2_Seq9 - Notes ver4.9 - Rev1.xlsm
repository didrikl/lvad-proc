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9 - LVAD6\Noted\"/>
    </mc:Choice>
  </mc:AlternateContent>
  <xr:revisionPtr revIDLastSave="0" documentId="13_ncr:1_{D2C93B42-83E4-4C72-813D-E789A74F164B}"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Categories" sheetId="2" r:id="rId4"/>
    <sheet name="Hand notes scheme" sheetId="6" r:id="rId5"/>
    <sheet name="Usage" sheetId="5" r:id="rId6"/>
  </sheets>
  <functionGroups builtInGroupCount="19"/>
  <externalReferences>
    <externalReference r:id="rId7"/>
    <externalReference r:id="rId8"/>
  </externalReferences>
  <definedNames>
    <definedName name="Controlled_VarNames">'Recording notes'!$J$2:$Q$2</definedName>
    <definedName name="Experiment_Info">Description!$B$3:$C$10</definedName>
    <definedName name="Header_VarNames">'Recording notes'!$A$2:$AL$2</definedName>
    <definedName name="Header_VarUnits">'Recording notes'!$A$3:$AL$3</definedName>
    <definedName name="Measured_VarNames">'Recording notes'!$R$2:$AL$2</definedName>
    <definedName name="Notes">'Recording notes'!$A$4:$AL$323</definedName>
    <definedName name="_xlnm.Print_Titles" localSheetId="0">'Recording notes'!$1:$3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4" l="1"/>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4"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<sst xmlns="http://schemas.openxmlformats.org/spreadsheetml/2006/main" count="2792" uniqueCount="370">
  <si>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</si>
  <si>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</si>
  <si>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</si>
  <si>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</si>
  <si>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</si>
  <si>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</si>
  <si>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</si>
  <si>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</si>
  <si>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</si>
  <si>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</si>
  <si>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</si>
  <si>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</si>
  <si>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</si>
  <si>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</si>
  <si>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</si>
  <si>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</si>
  <si>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</si>
  <si>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</si>
  <si>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</si>
  <si>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</si>
  <si>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</si>
  <si>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</si>
  <si>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</si>
  <si>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</si>
  <si>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</si>
  <si>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</si>
  <si>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</si>
  <si>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</si>
  <si>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</si>
  <si>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</si>
  <si>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</si>
  <si>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</si>
  <si>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</si>
  <si>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</si>
  <si>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</si>
  <si>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</si>
  <si>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</si>
  <si>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</si>
  <si>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</si>
  <si>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</si>
  <si>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</si>
  <si>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</si>
  <si>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</si>
  <si>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</si>
  <si>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</si>
  <si>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</si>
  <si>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</si>
  <si>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</si>
  <si>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</si>
  <si>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</si>
  <si>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</si>
  <si>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</si>
  <si>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</si>
  <si>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</si>
  <si>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</si>
  <si>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</si>
  <si>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</si>
  <si>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</si>
  <si>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</si>
  <si>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</si>
  <si>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</si>
  <si>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</si>
  <si>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</si>
  <si>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</si>
  <si>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</si>
  <si>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</si>
  <si>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</si>
  <si>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</si>
  <si>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</si>
  <si>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</si>
  <si>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</si>
  <si>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</si>
  <si>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</si>
  <si>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</si>
  <si>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</si>
  <si>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</si>
  <si>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</si>
  <si>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</si>
  <si>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</si>
  <si>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</si>
  <si>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</si>
  <si>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</si>
  <si>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</si>
  <si>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</si>
  <si>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</si>
  <si>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</si>
  <si>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</si>
  <si>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</si>
  <si>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</si>
  <si>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</si>
  <si>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</si>
  <si>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</si>
  <si>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</si>
  <si>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</si>
  <si>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</si>
  <si>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</si>
  <si>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</si>
  <si>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</si>
  <si>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</si>
  <si>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</si>
  <si>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</si>
  <si>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</si>
  <si>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</si>
  <si>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</si>
  <si>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</si>
  <si>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</si>
  <si>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</si>
  <si>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</si>
  <si>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</si>
  <si>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</si>
  <si>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</si>
  <si>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</si>
  <si>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</si>
  <si>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</si>
  <si>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</si>
  <si>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</si>
  <si>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</si>
  <si>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</si>
  <si>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</si>
  <si>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</si>
  <si>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</si>
  <si>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</si>
  <si>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</si>
  <si>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</si>
  <si>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</si>
  <si>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</si>
  <si>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</si>
  <si>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</si>
  <si>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</si>
  <si>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</si>
  <si>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</si>
  <si>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</si>
  <si>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</si>
  <si>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</si>
  <si>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</si>
  <si>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</si>
  <si>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</si>
  <si>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</si>
  <si>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</si>
  <si>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</si>
  <si>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</si>
  <si>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</si>
  <si>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</si>
  <si>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</si>
  <si>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</si>
  <si>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</si>
  <si>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</si>
  <si>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</si>
  <si>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</si>
  <si>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</si>
  <si>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</si>
  <si>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</si>
  <si>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</si>
  <si>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</si>
  <si>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</si>
  <si>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</si>
  <si>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</si>
  <si>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</si>
  <si>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</si>
  <si>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</si>
  <si>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</si>
  <si>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</si>
  <si>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</si>
  <si>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</si>
  <si>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</si>
  <si>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</si>
  <si>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</si>
  <si>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</si>
  <si>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</si>
  <si>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</si>
  <si>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</si>
  <si>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</si>
  <si>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</si>
  <si>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</si>
  <si>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</si>
  <si>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</si>
  <si>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</si>
  <si>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</si>
  <si>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</si>
  <si>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</si>
  <si>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</si>
  <si>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</si>
  <si>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</si>
  <si>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</si>
  <si>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</si>
  <si>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</si>
  <si>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</si>
  <si>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</si>
  <si>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</si>
  <si>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</si>
  <si>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</si>
  <si>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</si>
  <si>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</si>
  <si>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</si>
  <si>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</si>
  <si>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</si>
  <si>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</si>
  <si>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</si>
  <si>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</si>
  <si>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</si>
  <si>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</si>
  <si>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</si>
  <si>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</si>
  <si>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</si>
  <si>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</si>
  <si>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</si>
  <si>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</si>
  <si>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</si>
  <si>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</si>
  <si>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</si>
  <si>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</si>
  <si>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</si>
  <si>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</si>
  <si>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</si>
  <si>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</si>
  <si>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</si>
  <si>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</si>
  <si>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</si>
  <si>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</si>
  <si>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</si>
  <si>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</si>
  <si>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</si>
  <si>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</si>
  <si>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</si>
  <si>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</si>
  <si>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</si>
  <si>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</si>
  <si>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</si>
  <si>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</si>
  <si>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</si>
  <si>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</si>
  <si>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</si>
  <si>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</si>
  <si>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</si>
  <si>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</si>
  <si>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</si>
  <si>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</si>
  <si>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</si>
  <si>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</si>
  <si>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</si>
  <si>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</si>
  <si>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</si>
  <si>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</si>
  <si>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</si>
  <si>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</si>
  <si>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</si>
  <si>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</si>
  <si>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</si>
  <si>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</si>
  <si>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</si>
  <si>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</si>
  <si>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</si>
  <si>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</si>
  <si>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</si>
  <si>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</si>
  <si>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</si>
  <si>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</si>
  <si>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</si>
  <si>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</si>
  <si>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</si>
  <si>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</si>
  <si>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</si>
  <si>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</si>
  <si>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</si>
  <si>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</si>
  <si>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</si>
  <si>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</si>
  <si>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</si>
  <si>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</si>
  <si>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</si>
  <si>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</si>
  <si>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</si>
  <si>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</si>
  <si>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</si>
  <si>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</si>
  <si>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</si>
  <si>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</si>
  <si>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</si>
  <si>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</si>
  <si>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</si>
  <si>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</si>
  <si>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</si>
  <si>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</si>
  <si>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</si>
  <si>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</si>
  <si>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</si>
  <si>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</si>
  <si>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</si>
  <si>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</si>
  <si>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</si>
  <si>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</si>
  <si>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</si>
  <si>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</si>
  <si>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</si>
  <si>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</si>
  <si>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</si>
  <si>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</si>
  <si>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</si>
  <si>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</si>
  <si>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</si>
  <si>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</si>
  <si>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</si>
  <si>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</si>
  <si>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</si>
  <si>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</si>
  <si>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</si>
  <si>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</si>
  <si>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</si>
  <si>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</si>
  <si>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</si>
  <si>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</si>
  <si>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</si>
  <si>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</si>
  <si>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</si>
  <si>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</si>
  <si>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</si>
  <si>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</si>
  <si>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</si>
  <si>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</si>
  <si>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</si>
  <si>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</si>
  <si>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</si>
  <si>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</si>
  <si>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</si>
  <si>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</si>
  <si>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Hand on, not categorized</t>
  </si>
  <si>
    <t>Inflation, rapid</t>
  </si>
  <si>
    <t>Inflation, slow</t>
  </si>
  <si>
    <t>Recording start in LabChart</t>
  </si>
  <si>
    <t>Recording end in LabChart</t>
  </si>
  <si>
    <t>19 ATM</t>
  </si>
  <si>
    <t>PCI, 4mm x 20mm</t>
  </si>
  <si>
    <t>File tag: F2</t>
  </si>
  <si>
    <t>Sequence start</t>
  </si>
  <si>
    <t>Some tiny hands on</t>
  </si>
  <si>
    <t>Flow and power are interpolation</t>
  </si>
  <si>
    <t>Was actually 18 ATM</t>
  </si>
  <si>
    <t>Tiny hands on at ~48 sec</t>
  </si>
  <si>
    <t>Not recorded on film</t>
  </si>
  <si>
    <t>Drift down to 19 ATM</t>
  </si>
  <si>
    <t>File tag: F3</t>
  </si>
  <si>
    <t>Small adjustmed in position</t>
  </si>
  <si>
    <t>Small hands on 30-40 sec</t>
  </si>
  <si>
    <t>Catheter bursted</t>
  </si>
  <si>
    <t>File tag: F4</t>
  </si>
  <si>
    <t>File tag: F5</t>
  </si>
  <si>
    <t>File tag: F6</t>
  </si>
  <si>
    <t>Check calibration and  that balloon is empty</t>
  </si>
  <si>
    <t>Hands on to move catheter slightly further out</t>
  </si>
  <si>
    <t>SystemM time: 37 sec ahead</t>
  </si>
  <si>
    <t>File tag: F7
SystemM time in sync</t>
  </si>
  <si>
    <t>Some hands on</t>
  </si>
  <si>
    <t>Retake segment</t>
  </si>
  <si>
    <t>File tag: F8</t>
  </si>
  <si>
    <t>File tag: F9</t>
  </si>
  <si>
    <t>Some minor hands on at the end of interval</t>
  </si>
  <si>
    <t>File tag: F10</t>
  </si>
  <si>
    <t>drift down to 0.88 L/min</t>
  </si>
  <si>
    <t>File tag: F11</t>
  </si>
  <si>
    <t>File tag: F12</t>
  </si>
  <si>
    <t>~10% Q red.</t>
  </si>
  <si>
    <t>Possible hands on at approx. 1 min 40 sec</t>
  </si>
  <si>
    <t>File tag: F13</t>
  </si>
  <si>
    <t>Had to use strips to avoid air comming in at inlet tube</t>
  </si>
  <si>
    <t>Reference, in vitro</t>
  </si>
  <si>
    <t>Sequence end</t>
  </si>
  <si>
    <t>System M time: 45 sec ahead</t>
  </si>
  <si>
    <t>2.0 Rev</t>
  </si>
  <si>
    <t>preload decr..</t>
  </si>
  <si>
    <t>~80% Q red. (suction)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</si>
</sst>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8"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color theme="3"/>
      <name val="Calibri"/>
      <family val="2"/>
      <scheme val="minor"/>
    </font>
    <font>
      <sz val="14"/>
      <color theme="5" tint="-0.249977111117893"/>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rgb="FF000000"/>
      <name val="Calibri"/>
      <family val="2"/>
    </font>
    <font>
      <sz val="14"/>
      <color rgb="FF000000"/>
      <name val="Calibri"/>
      <family val="2"/>
    </font>
    <font>
      <sz val="14"/>
      <name val="Calibri"/>
      <family val="2"/>
    </font>
    <font>
      <sz val="14"/>
      <color rgb="FF44546A"/>
      <name val="Calibri"/>
      <family val="2"/>
    </font>
    <font>
      <sz val="14"/>
      <color rgb="FFC65911"/>
      <name val="Calibri"/>
      <family val="2"/>
    </font>
    <font>
      <sz val="10"/>
      <color rgb="FF000000"/>
      <name val="Calibri"/>
      <family val="2"/>
    </font>
    <font>
      <b/>
      <sz val="10"/>
      <color rgb="FF000000"/>
      <name val="Calibri"/>
      <family val="2"/>
    </font>
    <font>
      <b/>
      <sz val="14"/>
      <color rgb="FF000000"/>
      <name val="Calibri"/>
      <family val="2"/>
    </font>
  </fonts>
  <fills count="13">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F2F2F2"/>
        <bgColor rgb="FF000000"/>
      </patternFill>
    </fill>
    <fill>
      <patternFill patternType="solid">
        <fgColor rgb="FFFFFFFF"/>
        <bgColor rgb="FF000000"/>
      </patternFill>
    </fill>
    <fill>
      <patternFill patternType="solid">
        <fgColor theme="7" tint="0.79998168889431442"/>
        <bgColor indexed="64"/>
      </patternFill>
    </fill>
  </fills>
  <borders count="59">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indexed="64"/>
      </left>
      <right/>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rgb="FF808080"/>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top/>
      <bottom style="thin">
        <color rgb="FFBFBFBF"/>
      </bottom>
      <diagonal/>
    </border>
    <border>
      <left style="thin">
        <color rgb="FFBFBFBF"/>
      </left>
      <right style="thin">
        <color indexed="64"/>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indexed="64"/>
      </left>
      <right/>
      <top/>
      <bottom style="thin">
        <color rgb="FFBFBFBF"/>
      </bottom>
      <diagonal/>
    </border>
    <border>
      <left/>
      <right style="thin">
        <color rgb="FFBFBFBF"/>
      </right>
      <top/>
      <bottom style="thin">
        <color rgb="FFBFBFBF"/>
      </bottom>
      <diagonal/>
    </border>
    <border>
      <left style="thin">
        <color rgb="FF808080"/>
      </left>
      <right style="thin">
        <color rgb="FFBFBFBF"/>
      </right>
      <top style="thin">
        <color rgb="FFBFBFBF"/>
      </top>
      <bottom style="thin">
        <color rgb="FFBFBFBF"/>
      </bottom>
      <diagonal/>
    </border>
    <border>
      <left style="medium">
        <color rgb="FF833C0C"/>
      </left>
      <right style="medium">
        <color rgb="FF833C0C"/>
      </right>
      <top style="medium">
        <color rgb="FF833C0C"/>
      </top>
      <bottom style="medium">
        <color rgb="FF833C0C"/>
      </bottom>
      <diagonal/>
    </border>
    <border>
      <left style="thin">
        <color indexed="64"/>
      </left>
      <right/>
      <top style="thin">
        <color rgb="FFBFBFBF"/>
      </top>
      <bottom style="thin">
        <color rgb="FFBFBFBF"/>
      </bottom>
      <diagonal/>
    </border>
  </borders>
  <cellStyleXfs count="1">
    <xf numFmtId="0" fontId="0" fillId="0" borderId="0"/>
  </cellStyleXfs>
  <cellXfs count="220">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0" fontId="9" fillId="0" borderId="0" xfId="0" applyFont="1" applyAlignment="1">
      <alignment horizontal="center" vertical="center"/>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2" fillId="0" borderId="0" xfId="0" applyNumberFormat="1" applyFont="1" applyAlignment="1">
      <alignment horizontal="center" vertical="center"/>
    </xf>
    <xf numFmtId="2" fontId="13" fillId="0" borderId="0" xfId="0" applyNumberFormat="1" applyFont="1" applyAlignment="1">
      <alignment horizontal="center" vertical="center"/>
    </xf>
    <xf numFmtId="1" fontId="14" fillId="0" borderId="0" xfId="0" applyNumberFormat="1" applyFont="1" applyAlignment="1">
      <alignment horizontal="center" vertical="center"/>
    </xf>
    <xf numFmtId="2" fontId="15" fillId="0" borderId="0" xfId="0" applyNumberFormat="1" applyFont="1" applyAlignment="1">
      <alignment horizontal="center" vertical="center"/>
    </xf>
    <xf numFmtId="1" fontId="15"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6" fillId="0" borderId="0" xfId="0" applyFont="1" applyAlignment="1">
      <alignment horizontal="left" vertical="center" indent="1"/>
    </xf>
    <xf numFmtId="164" fontId="17" fillId="3" borderId="25" xfId="0" applyNumberFormat="1" applyFont="1" applyFill="1" applyBorder="1" applyAlignment="1">
      <alignment horizontal="center" vertical="center"/>
    </xf>
    <xf numFmtId="0" fontId="0" fillId="0" borderId="0" xfId="0" applyAlignment="1">
      <alignment vertical="center"/>
    </xf>
    <xf numFmtId="2" fontId="18" fillId="7" borderId="2" xfId="0" applyNumberFormat="1" applyFont="1" applyFill="1" applyBorder="1" applyAlignment="1">
      <alignment horizontal="left" vertical="center" wrapText="1" indent="1"/>
    </xf>
    <xf numFmtId="2" fontId="18" fillId="7" borderId="2" xfId="0" applyNumberFormat="1" applyFont="1" applyFill="1" applyBorder="1" applyAlignment="1">
      <alignment horizontal="center" vertical="center" wrapText="1"/>
    </xf>
    <xf numFmtId="0" fontId="16" fillId="0" borderId="0" xfId="0" applyFont="1" applyAlignment="1">
      <alignment vertical="center"/>
    </xf>
    <xf numFmtId="2" fontId="18" fillId="7" borderId="3" xfId="0" applyNumberFormat="1" applyFont="1" applyFill="1" applyBorder="1" applyAlignment="1">
      <alignment horizontal="center" vertical="center" wrapText="1"/>
    </xf>
    <xf numFmtId="1" fontId="18" fillId="7" borderId="27" xfId="0" applyNumberFormat="1" applyFont="1" applyFill="1" applyBorder="1" applyAlignment="1">
      <alignment horizontal="center" vertical="center" wrapText="1"/>
    </xf>
    <xf numFmtId="1" fontId="18" fillId="7" borderId="2" xfId="0" applyNumberFormat="1" applyFont="1" applyFill="1" applyBorder="1" applyAlignment="1">
      <alignment horizontal="center" vertical="center" wrapText="1"/>
    </xf>
    <xf numFmtId="1" fontId="18" fillId="7" borderId="3" xfId="0" applyNumberFormat="1" applyFont="1" applyFill="1" applyBorder="1" applyAlignment="1">
      <alignment horizontal="center" vertical="center" wrapText="1"/>
    </xf>
    <xf numFmtId="0" fontId="16" fillId="0" borderId="2" xfId="0" applyFont="1" applyBorder="1" applyAlignment="1">
      <alignment horizontal="left" vertical="center" indent="1"/>
    </xf>
    <xf numFmtId="0" fontId="18" fillId="0" borderId="2" xfId="0" applyFont="1" applyBorder="1" applyAlignment="1">
      <alignment horizontal="left" vertical="center" wrapText="1" indent="1"/>
    </xf>
    <xf numFmtId="0" fontId="18" fillId="0" borderId="3" xfId="0" applyFont="1" applyBorder="1" applyAlignment="1">
      <alignment horizontal="left" vertical="center" wrapText="1" indent="1"/>
    </xf>
    <xf numFmtId="0" fontId="18" fillId="0" borderId="27" xfId="0" applyFont="1" applyBorder="1" applyAlignment="1">
      <alignment horizontal="left" vertical="center" wrapText="1" indent="1"/>
    </xf>
    <xf numFmtId="2" fontId="18" fillId="0" borderId="27" xfId="0" applyNumberFormat="1" applyFont="1" applyBorder="1" applyAlignment="1">
      <alignment horizontal="left" vertical="center" wrapText="1" indent="1"/>
    </xf>
    <xf numFmtId="2" fontId="18" fillId="0" borderId="2" xfId="0" applyNumberFormat="1" applyFont="1" applyBorder="1" applyAlignment="1">
      <alignment horizontal="left" vertical="center" wrapText="1" indent="1"/>
    </xf>
    <xf numFmtId="2" fontId="18" fillId="0" borderId="3" xfId="0" applyNumberFormat="1" applyFont="1" applyBorder="1" applyAlignment="1">
      <alignment horizontal="left" vertical="center" wrapText="1" indent="1"/>
    </xf>
    <xf numFmtId="2" fontId="18" fillId="9" borderId="27" xfId="0" applyNumberFormat="1" applyFont="1" applyFill="1" applyBorder="1" applyAlignment="1">
      <alignment horizontal="left" vertical="center" wrapText="1" indent="1"/>
    </xf>
    <xf numFmtId="0" fontId="16" fillId="0" borderId="0" xfId="0" applyFont="1" applyAlignment="1">
      <alignment horizontal="left" indent="1"/>
    </xf>
    <xf numFmtId="0" fontId="16" fillId="0" borderId="2" xfId="0" applyFont="1" applyBorder="1" applyAlignment="1">
      <alignment horizontal="left" vertical="center" wrapText="1" indent="1"/>
    </xf>
    <xf numFmtId="2" fontId="18" fillId="9" borderId="2" xfId="0" applyNumberFormat="1" applyFont="1" applyFill="1" applyBorder="1" applyAlignment="1">
      <alignment horizontal="left" vertical="center" wrapText="1" indent="1"/>
    </xf>
    <xf numFmtId="2" fontId="18" fillId="9" borderId="3" xfId="0" applyNumberFormat="1" applyFont="1" applyFill="1" applyBorder="1" applyAlignment="1">
      <alignment horizontal="left" vertical="center" wrapText="1" indent="1"/>
    </xf>
    <xf numFmtId="0" fontId="16" fillId="0" borderId="0" xfId="0" applyFont="1"/>
    <xf numFmtId="0" fontId="10" fillId="0" borderId="0" xfId="0" applyFont="1"/>
    <xf numFmtId="0" fontId="16" fillId="7" borderId="29" xfId="0" applyFont="1" applyFill="1" applyBorder="1" applyAlignment="1">
      <alignment horizontal="center" vertical="center" wrapText="1"/>
    </xf>
    <xf numFmtId="0" fontId="16" fillId="7" borderId="29"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2" fillId="0" borderId="2" xfId="0" applyFont="1" applyBorder="1" applyAlignment="1">
      <alignment horizontal="center" vertical="center"/>
    </xf>
    <xf numFmtId="2" fontId="7" fillId="0" borderId="24"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3"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6" fillId="0" borderId="0" xfId="0" applyFont="1" applyAlignment="1">
      <alignment horizontal="left" vertical="center"/>
    </xf>
    <xf numFmtId="0" fontId="1" fillId="0" borderId="2" xfId="0" applyFont="1" applyBorder="1" applyAlignment="1">
      <alignment horizontal="left" vertical="center" wrapText="1" indent="1"/>
    </xf>
    <xf numFmtId="0" fontId="16" fillId="0" borderId="0" xfId="0" applyFont="1" applyAlignment="1">
      <alignment vertical="center" wrapText="1"/>
    </xf>
    <xf numFmtId="2" fontId="25" fillId="7" borderId="9" xfId="0" applyNumberFormat="1" applyFont="1" applyFill="1" applyBorder="1" applyAlignment="1">
      <alignment horizontal="center" wrapText="1"/>
    </xf>
    <xf numFmtId="2" fontId="25" fillId="7" borderId="9" xfId="0" applyNumberFormat="1" applyFont="1" applyFill="1" applyBorder="1" applyAlignment="1">
      <alignment horizontal="left" wrapText="1" indent="1"/>
    </xf>
    <xf numFmtId="0" fontId="16" fillId="0" borderId="0" xfId="0" applyFont="1" applyAlignment="1">
      <alignment horizontal="left" vertical="center" wrapText="1"/>
    </xf>
    <xf numFmtId="0" fontId="16" fillId="9" borderId="2" xfId="0" applyFont="1" applyFill="1" applyBorder="1" applyAlignment="1">
      <alignment horizontal="center" vertical="center" wrapText="1"/>
    </xf>
    <xf numFmtId="0" fontId="18"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8" fillId="9" borderId="2" xfId="0" applyFont="1" applyFill="1" applyBorder="1" applyAlignment="1">
      <alignment horizontal="center" vertical="center" wrapText="1"/>
    </xf>
    <xf numFmtId="0" fontId="16"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6" fillId="0" borderId="0" xfId="0" applyFont="1" applyAlignment="1">
      <alignment horizontal="left" vertical="center" wrapText="1" indent="1"/>
    </xf>
    <xf numFmtId="0" fontId="16" fillId="0" borderId="0" xfId="0" applyFont="1" applyAlignment="1">
      <alignment horizontal="right" vertical="top" wrapText="1" indent="1"/>
    </xf>
    <xf numFmtId="0" fontId="27" fillId="0" borderId="0" xfId="0" applyFont="1" applyAlignment="1">
      <alignment wrapText="1"/>
    </xf>
    <xf numFmtId="0" fontId="16" fillId="0" borderId="0" xfId="0" applyFont="1" applyAlignment="1">
      <alignment wrapText="1"/>
    </xf>
    <xf numFmtId="0" fontId="27" fillId="7" borderId="0" xfId="0" applyFont="1" applyFill="1" applyAlignment="1">
      <alignment wrapText="1"/>
    </xf>
    <xf numFmtId="0" fontId="16"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28" fillId="0" borderId="0" xfId="0" applyNumberFormat="1" applyFont="1" applyAlignment="1">
      <alignment vertical="top"/>
    </xf>
    <xf numFmtId="0" fontId="28" fillId="0" borderId="0" xfId="0" applyFont="1" applyAlignment="1">
      <alignment horizontal="center" vertical="center"/>
    </xf>
    <xf numFmtId="0" fontId="29" fillId="0" borderId="0" xfId="0" applyFont="1" applyAlignment="1">
      <alignment horizontal="center" vertical="center"/>
    </xf>
    <xf numFmtId="164" fontId="21" fillId="4" borderId="32" xfId="0" applyNumberFormat="1" applyFont="1" applyFill="1" applyBorder="1" applyAlignment="1">
      <alignment horizontal="center" vertical="center"/>
    </xf>
    <xf numFmtId="0" fontId="11" fillId="0" borderId="0" xfId="0" applyFont="1" applyAlignment="1">
      <alignment horizontal="center" vertical="center"/>
    </xf>
    <xf numFmtId="0" fontId="28" fillId="5" borderId="0" xfId="0" applyFont="1" applyFill="1" applyAlignment="1">
      <alignment horizontal="center" wrapText="1"/>
    </xf>
    <xf numFmtId="2" fontId="23" fillId="7" borderId="36" xfId="0" applyNumberFormat="1" applyFont="1" applyFill="1" applyBorder="1" applyAlignment="1">
      <alignment horizontal="center" wrapText="1"/>
    </xf>
    <xf numFmtId="2" fontId="23" fillId="7" borderId="37" xfId="0" applyNumberFormat="1" applyFont="1" applyFill="1" applyBorder="1" applyAlignment="1">
      <alignment horizontal="center" wrapText="1"/>
    </xf>
    <xf numFmtId="2" fontId="23" fillId="8" borderId="37" xfId="0" applyNumberFormat="1" applyFont="1" applyFill="1" applyBorder="1" applyAlignment="1">
      <alignment horizontal="center" wrapText="1"/>
    </xf>
    <xf numFmtId="164" fontId="23" fillId="7" borderId="37" xfId="0" applyNumberFormat="1" applyFont="1" applyFill="1" applyBorder="1" applyAlignment="1">
      <alignment horizontal="center" wrapText="1"/>
    </xf>
    <xf numFmtId="1" fontId="23" fillId="7" borderId="37" xfId="0" applyNumberFormat="1" applyFont="1" applyFill="1" applyBorder="1" applyAlignment="1">
      <alignment horizontal="center" wrapText="1"/>
    </xf>
    <xf numFmtId="1" fontId="23" fillId="8" borderId="38" xfId="0" applyNumberFormat="1" applyFont="1" applyFill="1" applyBorder="1" applyAlignment="1">
      <alignment horizontal="center" wrapText="1"/>
    </xf>
    <xf numFmtId="0" fontId="28" fillId="5" borderId="39" xfId="0" applyFont="1" applyFill="1" applyBorder="1" applyAlignment="1">
      <alignment horizontal="center" wrapText="1"/>
    </xf>
    <xf numFmtId="0" fontId="28" fillId="0" borderId="0" xfId="0" applyFont="1" applyAlignment="1">
      <alignment horizontal="center" wrapText="1"/>
    </xf>
    <xf numFmtId="0" fontId="16" fillId="5" borderId="40" xfId="0" applyFont="1" applyFill="1" applyBorder="1" applyAlignment="1">
      <alignment horizontal="center" vertical="center" wrapText="1"/>
    </xf>
    <xf numFmtId="2" fontId="18" fillId="7" borderId="41" xfId="0" applyNumberFormat="1" applyFont="1" applyFill="1" applyBorder="1" applyAlignment="1">
      <alignment horizontal="center" vertical="center" wrapText="1"/>
    </xf>
    <xf numFmtId="2" fontId="18" fillId="7" borderId="42" xfId="0" applyNumberFormat="1" applyFont="1" applyFill="1" applyBorder="1" applyAlignment="1">
      <alignment horizontal="center" vertical="center" wrapText="1"/>
    </xf>
    <xf numFmtId="2" fontId="18" fillId="8" borderId="42" xfId="0" applyNumberFormat="1" applyFont="1" applyFill="1" applyBorder="1" applyAlignment="1">
      <alignment horizontal="center" vertical="center" wrapText="1"/>
    </xf>
    <xf numFmtId="164" fontId="18" fillId="7" borderId="42" xfId="0" applyNumberFormat="1" applyFont="1" applyFill="1" applyBorder="1" applyAlignment="1">
      <alignment horizontal="center" vertical="center" wrapText="1"/>
    </xf>
    <xf numFmtId="1" fontId="18" fillId="7" borderId="42" xfId="0" applyNumberFormat="1" applyFont="1" applyFill="1" applyBorder="1" applyAlignment="1">
      <alignment horizontal="center" vertical="center" wrapText="1"/>
    </xf>
    <xf numFmtId="1" fontId="18" fillId="8" borderId="43" xfId="0" applyNumberFormat="1" applyFont="1" applyFill="1" applyBorder="1" applyAlignment="1">
      <alignment horizontal="center" vertical="center" wrapText="1"/>
    </xf>
    <xf numFmtId="0" fontId="16" fillId="5" borderId="44" xfId="0" applyFont="1" applyFill="1" applyBorder="1" applyAlignment="1">
      <alignment horizontal="center" vertical="center" wrapText="1"/>
    </xf>
    <xf numFmtId="0" fontId="16" fillId="0" borderId="0" xfId="0" applyFont="1" applyAlignment="1">
      <alignment horizontal="center" vertical="center" wrapText="1"/>
    </xf>
    <xf numFmtId="21" fontId="9" fillId="0" borderId="40" xfId="0" applyNumberFormat="1" applyFont="1" applyBorder="1" applyAlignment="1">
      <alignment horizontal="center" vertical="center"/>
    </xf>
    <xf numFmtId="2" fontId="9" fillId="0" borderId="33" xfId="0" applyNumberFormat="1" applyFont="1" applyBorder="1" applyAlignment="1">
      <alignment horizontal="center" vertical="center"/>
    </xf>
    <xf numFmtId="2" fontId="9" fillId="0" borderId="42" xfId="0" applyNumberFormat="1" applyFont="1" applyBorder="1" applyAlignment="1">
      <alignment horizontal="center" vertical="center"/>
    </xf>
    <xf numFmtId="1" fontId="9" fillId="0" borderId="42" xfId="0" applyNumberFormat="1" applyFont="1" applyBorder="1" applyAlignment="1">
      <alignment horizontal="center" vertical="center"/>
    </xf>
    <xf numFmtId="1" fontId="9" fillId="0" borderId="43" xfId="0" applyNumberFormat="1" applyFont="1" applyBorder="1" applyAlignment="1">
      <alignment horizontal="center" vertical="center"/>
    </xf>
    <xf numFmtId="2" fontId="9" fillId="0" borderId="43" xfId="0" applyNumberFormat="1" applyFont="1" applyBorder="1" applyAlignment="1">
      <alignment horizontal="center" vertical="center"/>
    </xf>
    <xf numFmtId="21" fontId="9" fillId="9" borderId="45" xfId="0" applyNumberFormat="1" applyFont="1" applyFill="1" applyBorder="1" applyAlignment="1">
      <alignment horizontal="center" vertical="center"/>
    </xf>
    <xf numFmtId="1" fontId="9" fillId="0" borderId="33" xfId="0" applyNumberFormat="1" applyFont="1" applyBorder="1" applyAlignment="1">
      <alignment horizontal="center" vertical="center"/>
    </xf>
    <xf numFmtId="1" fontId="9" fillId="0" borderId="46" xfId="0" applyNumberFormat="1" applyFont="1" applyBorder="1" applyAlignment="1">
      <alignment horizontal="center" vertical="center"/>
    </xf>
    <xf numFmtId="2" fontId="9" fillId="0" borderId="46" xfId="0" applyNumberFormat="1" applyFont="1" applyBorder="1" applyAlignment="1">
      <alignment horizontal="center" vertical="center"/>
    </xf>
    <xf numFmtId="21" fontId="9" fillId="9" borderId="40" xfId="0" applyNumberFormat="1" applyFont="1" applyFill="1" applyBorder="1" applyAlignment="1">
      <alignment horizontal="center" vertical="center"/>
    </xf>
    <xf numFmtId="2" fontId="9" fillId="0" borderId="0" xfId="0" applyNumberFormat="1" applyFont="1" applyAlignment="1">
      <alignment horizontal="center" vertical="center"/>
    </xf>
    <xf numFmtId="0" fontId="16" fillId="0" borderId="0" xfId="0" applyFont="1" applyBorder="1" applyAlignment="1">
      <alignment horizontal="left" vertical="center" indent="1"/>
    </xf>
    <xf numFmtId="165" fontId="30" fillId="0" borderId="47" xfId="0" applyNumberFormat="1" applyFont="1" applyBorder="1" applyAlignment="1">
      <alignment horizontal="center" vertical="center"/>
    </xf>
    <xf numFmtId="21" fontId="30" fillId="0" borderId="48" xfId="0" applyNumberFormat="1" applyFont="1" applyBorder="1" applyAlignment="1">
      <alignment horizontal="center" vertical="center"/>
    </xf>
    <xf numFmtId="3" fontId="31" fillId="0" borderId="48" xfId="0" applyNumberFormat="1" applyFont="1" applyBorder="1" applyAlignment="1">
      <alignment horizontal="center" vertical="center"/>
    </xf>
    <xf numFmtId="1" fontId="31" fillId="10" borderId="49" xfId="0" applyNumberFormat="1" applyFont="1" applyFill="1" applyBorder="1" applyAlignment="1">
      <alignment horizontal="center" vertical="center"/>
    </xf>
    <xf numFmtId="0" fontId="31" fillId="11" borderId="48" xfId="0" applyFont="1" applyFill="1" applyBorder="1" applyAlignment="1">
      <alignment horizontal="left" vertical="center" wrapText="1" indent="1"/>
    </xf>
    <xf numFmtId="2" fontId="31" fillId="11" borderId="48" xfId="0" applyNumberFormat="1" applyFont="1" applyFill="1" applyBorder="1" applyAlignment="1">
      <alignment horizontal="center" vertical="center"/>
    </xf>
    <xf numFmtId="1" fontId="31" fillId="11" borderId="48" xfId="0" applyNumberFormat="1" applyFont="1" applyFill="1" applyBorder="1" applyAlignment="1">
      <alignment horizontal="center" vertical="center"/>
    </xf>
    <xf numFmtId="1" fontId="31" fillId="0" borderId="50" xfId="0" applyNumberFormat="1" applyFont="1" applyBorder="1" applyAlignment="1">
      <alignment horizontal="center" vertical="center"/>
    </xf>
    <xf numFmtId="2" fontId="31" fillId="11" borderId="50" xfId="0" applyNumberFormat="1" applyFont="1" applyFill="1" applyBorder="1" applyAlignment="1">
      <alignment horizontal="center" vertical="center"/>
    </xf>
    <xf numFmtId="2" fontId="31" fillId="0" borderId="50" xfId="0" applyNumberFormat="1" applyFont="1" applyBorder="1" applyAlignment="1">
      <alignment horizontal="left" vertical="center" wrapText="1" indent="1"/>
    </xf>
    <xf numFmtId="1" fontId="31" fillId="0" borderId="48" xfId="0" applyNumberFormat="1" applyFont="1" applyBorder="1" applyAlignment="1">
      <alignment horizontal="center" vertical="center"/>
    </xf>
    <xf numFmtId="2" fontId="32" fillId="11" borderId="51" xfId="0" applyNumberFormat="1" applyFont="1" applyFill="1" applyBorder="1" applyAlignment="1">
      <alignment horizontal="center" vertical="center"/>
    </xf>
    <xf numFmtId="1" fontId="30" fillId="0" borderId="49" xfId="0" applyNumberFormat="1" applyFont="1" applyBorder="1" applyAlignment="1">
      <alignment horizontal="center" vertical="center"/>
    </xf>
    <xf numFmtId="1" fontId="31" fillId="0" borderId="52" xfId="0" applyNumberFormat="1" applyFont="1" applyBorder="1" applyAlignment="1">
      <alignment horizontal="center" vertical="center"/>
    </xf>
    <xf numFmtId="2" fontId="33" fillId="11" borderId="49" xfId="0" applyNumberFormat="1" applyFont="1" applyFill="1" applyBorder="1" applyAlignment="1">
      <alignment horizontal="center" vertical="center"/>
    </xf>
    <xf numFmtId="2" fontId="34" fillId="11" borderId="48" xfId="0" applyNumberFormat="1" applyFont="1" applyFill="1" applyBorder="1" applyAlignment="1">
      <alignment horizontal="center" vertical="center"/>
    </xf>
    <xf numFmtId="1" fontId="33" fillId="11" borderId="49" xfId="0" applyNumberFormat="1" applyFont="1" applyFill="1" applyBorder="1" applyAlignment="1">
      <alignment horizontal="center" vertical="center"/>
    </xf>
    <xf numFmtId="2" fontId="34" fillId="11" borderId="49" xfId="0" applyNumberFormat="1" applyFont="1" applyFill="1" applyBorder="1" applyAlignment="1">
      <alignment horizontal="center" vertical="center"/>
    </xf>
    <xf numFmtId="1" fontId="34" fillId="11" borderId="53" xfId="0" applyNumberFormat="1" applyFont="1" applyFill="1" applyBorder="1" applyAlignment="1">
      <alignment horizontal="center" vertical="center"/>
    </xf>
    <xf numFmtId="2" fontId="35" fillId="0" borderId="54" xfId="0" applyNumberFormat="1" applyFont="1" applyBorder="1" applyAlignment="1">
      <alignment horizontal="left" vertical="center" wrapText="1" indent="1"/>
    </xf>
    <xf numFmtId="2" fontId="35" fillId="0" borderId="53" xfId="0" applyNumberFormat="1" applyFont="1" applyBorder="1" applyAlignment="1">
      <alignment horizontal="left" vertical="center" wrapText="1" indent="1"/>
    </xf>
    <xf numFmtId="2" fontId="35" fillId="0" borderId="50" xfId="0" applyNumberFormat="1" applyFont="1" applyBorder="1" applyAlignment="1">
      <alignment horizontal="left" vertical="center" wrapText="1" indent="1"/>
    </xf>
    <xf numFmtId="21" fontId="30" fillId="0" borderId="48" xfId="0" applyNumberFormat="1" applyFont="1" applyBorder="1" applyAlignment="1">
      <alignment horizontal="center" vertical="center" wrapText="1"/>
    </xf>
    <xf numFmtId="0" fontId="31" fillId="11" borderId="50" xfId="0" applyFont="1" applyFill="1" applyBorder="1" applyAlignment="1">
      <alignment horizontal="left" vertical="center" wrapText="1" indent="1"/>
    </xf>
    <xf numFmtId="1" fontId="30" fillId="0" borderId="48" xfId="0" applyNumberFormat="1" applyFont="1" applyBorder="1" applyAlignment="1">
      <alignment horizontal="center" vertical="center"/>
    </xf>
    <xf numFmtId="1" fontId="31" fillId="0" borderId="55" xfId="0" applyNumberFormat="1" applyFont="1" applyBorder="1" applyAlignment="1">
      <alignment horizontal="center" vertical="center"/>
    </xf>
    <xf numFmtId="2" fontId="33" fillId="11" borderId="48" xfId="0" applyNumberFormat="1" applyFont="1" applyFill="1" applyBorder="1" applyAlignment="1">
      <alignment horizontal="center" vertical="center"/>
    </xf>
    <xf numFmtId="1" fontId="33" fillId="11" borderId="48" xfId="0" applyNumberFormat="1" applyFont="1" applyFill="1" applyBorder="1" applyAlignment="1">
      <alignment horizontal="center" vertical="center"/>
    </xf>
    <xf numFmtId="1" fontId="34" fillId="11" borderId="50" xfId="0" applyNumberFormat="1" applyFont="1" applyFill="1" applyBorder="1" applyAlignment="1">
      <alignment horizontal="center" vertical="center"/>
    </xf>
    <xf numFmtId="165" fontId="30" fillId="0" borderId="56" xfId="0" applyNumberFormat="1" applyFont="1" applyBorder="1" applyAlignment="1">
      <alignment horizontal="center" vertical="center"/>
    </xf>
    <xf numFmtId="21" fontId="30" fillId="0" borderId="49" xfId="0" applyNumberFormat="1" applyFont="1" applyBorder="1" applyAlignment="1">
      <alignment horizontal="center" vertical="center"/>
    </xf>
    <xf numFmtId="0" fontId="31" fillId="0" borderId="53" xfId="0" applyFont="1" applyBorder="1" applyAlignment="1">
      <alignment horizontal="left" vertical="center" wrapText="1" indent="1"/>
    </xf>
    <xf numFmtId="2" fontId="36" fillId="0" borderId="50" xfId="0" applyNumberFormat="1" applyFont="1" applyBorder="1" applyAlignment="1">
      <alignment horizontal="left" vertical="center" wrapText="1" indent="1"/>
    </xf>
    <xf numFmtId="1" fontId="37" fillId="11" borderId="48" xfId="0" applyNumberFormat="1" applyFont="1" applyFill="1" applyBorder="1" applyAlignment="1">
      <alignment horizontal="center" vertical="center"/>
    </xf>
    <xf numFmtId="21" fontId="30" fillId="0" borderId="56" xfId="0" applyNumberFormat="1" applyFont="1" applyBorder="1" applyAlignment="1">
      <alignment horizontal="center" vertical="center"/>
    </xf>
    <xf numFmtId="2" fontId="34" fillId="11" borderId="57" xfId="0" applyNumberFormat="1" applyFont="1" applyFill="1" applyBorder="1" applyAlignment="1">
      <alignment horizontal="center" vertical="center"/>
    </xf>
    <xf numFmtId="1" fontId="37" fillId="0" borderId="48" xfId="0" applyNumberFormat="1" applyFont="1" applyBorder="1" applyAlignment="1">
      <alignment horizontal="center" vertical="center"/>
    </xf>
    <xf numFmtId="3" fontId="31" fillId="0" borderId="49" xfId="0" applyNumberFormat="1" applyFont="1" applyBorder="1" applyAlignment="1">
      <alignment horizontal="center" vertical="center"/>
    </xf>
    <xf numFmtId="0" fontId="31" fillId="0" borderId="49" xfId="0" applyFont="1" applyBorder="1" applyAlignment="1">
      <alignment horizontal="left" vertical="center" wrapText="1" indent="1"/>
    </xf>
    <xf numFmtId="2" fontId="31" fillId="11" borderId="49" xfId="0" applyNumberFormat="1" applyFont="1" applyFill="1" applyBorder="1" applyAlignment="1">
      <alignment horizontal="center" vertical="center"/>
    </xf>
    <xf numFmtId="1" fontId="31" fillId="0" borderId="49" xfId="0" applyNumberFormat="1" applyFont="1" applyBorder="1" applyAlignment="1">
      <alignment horizontal="center" vertical="center"/>
    </xf>
    <xf numFmtId="2" fontId="33" fillId="0" borderId="49" xfId="0" applyNumberFormat="1" applyFont="1" applyBorder="1" applyAlignment="1">
      <alignment horizontal="center" vertical="center"/>
    </xf>
    <xf numFmtId="2" fontId="34" fillId="0" borderId="49" xfId="0" applyNumberFormat="1" applyFont="1" applyBorder="1" applyAlignment="1">
      <alignment horizontal="center" vertical="center"/>
    </xf>
    <xf numFmtId="1" fontId="33" fillId="0" borderId="49" xfId="0" applyNumberFormat="1" applyFont="1" applyBorder="1" applyAlignment="1">
      <alignment horizontal="center" vertical="center"/>
    </xf>
    <xf numFmtId="1" fontId="34" fillId="0" borderId="53" xfId="0" applyNumberFormat="1" applyFont="1" applyBorder="1" applyAlignment="1">
      <alignment horizontal="center" vertical="center"/>
    </xf>
    <xf numFmtId="2" fontId="35" fillId="0" borderId="58" xfId="0" applyNumberFormat="1" applyFont="1" applyBorder="1" applyAlignment="1">
      <alignment horizontal="left" vertical="center" wrapText="1" indent="1"/>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1" fillId="3" borderId="0" xfId="0" applyNumberFormat="1" applyFont="1" applyFill="1" applyAlignment="1">
      <alignment horizontal="center" vertical="center"/>
    </xf>
    <xf numFmtId="164" fontId="21" fillId="3" borderId="28" xfId="0" applyNumberFormat="1" applyFont="1" applyFill="1" applyBorder="1" applyAlignment="1">
      <alignment horizontal="center" vertical="center"/>
    </xf>
    <xf numFmtId="2" fontId="8" fillId="6" borderId="30"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1" xfId="0" applyNumberFormat="1" applyFont="1" applyFill="1" applyBorder="1" applyAlignment="1">
      <alignment horizontal="left" wrapText="1" indent="1"/>
    </xf>
    <xf numFmtId="164" fontId="17" fillId="3" borderId="32" xfId="0" applyNumberFormat="1" applyFont="1" applyFill="1" applyBorder="1" applyAlignment="1">
      <alignment horizontal="center" vertical="center"/>
    </xf>
    <xf numFmtId="164" fontId="17" fillId="3" borderId="21" xfId="0" applyNumberFormat="1" applyFont="1" applyFill="1" applyBorder="1" applyAlignment="1">
      <alignment horizontal="center" vertical="center"/>
    </xf>
    <xf numFmtId="164" fontId="17" fillId="3" borderId="22" xfId="0" applyNumberFormat="1" applyFont="1" applyFill="1" applyBorder="1" applyAlignment="1">
      <alignment horizontal="center" vertical="center"/>
    </xf>
    <xf numFmtId="164" fontId="17" fillId="3" borderId="23" xfId="0" applyNumberFormat="1" applyFont="1" applyFill="1" applyBorder="1" applyAlignment="1">
      <alignment horizontal="center" vertical="center"/>
    </xf>
    <xf numFmtId="164" fontId="17" fillId="3" borderId="3" xfId="0" applyNumberFormat="1" applyFont="1" applyFill="1" applyBorder="1" applyAlignment="1">
      <alignment horizontal="center" vertical="center"/>
    </xf>
    <xf numFmtId="164" fontId="17" fillId="3" borderId="24" xfId="0" applyNumberFormat="1" applyFont="1" applyFill="1" applyBorder="1" applyAlignment="1">
      <alignment horizontal="center" vertical="center"/>
    </xf>
    <xf numFmtId="164" fontId="17" fillId="3" borderId="4" xfId="0" applyNumberFormat="1" applyFont="1" applyFill="1" applyBorder="1" applyAlignment="1">
      <alignment horizontal="center" vertical="center"/>
    </xf>
    <xf numFmtId="164" fontId="17" fillId="3" borderId="20" xfId="0" applyNumberFormat="1" applyFont="1" applyFill="1" applyBorder="1" applyAlignment="1">
      <alignment horizontal="center" vertical="center"/>
    </xf>
    <xf numFmtId="164" fontId="17" fillId="3" borderId="26" xfId="0" applyNumberFormat="1" applyFont="1" applyFill="1" applyBorder="1" applyAlignment="1">
      <alignment horizontal="center" vertical="center"/>
    </xf>
    <xf numFmtId="0" fontId="27" fillId="0" borderId="0" xfId="0" applyFont="1" applyAlignment="1">
      <alignment horizontal="center" vertical="top"/>
    </xf>
    <xf numFmtId="164" fontId="21" fillId="3" borderId="33" xfId="0" applyNumberFormat="1" applyFont="1" applyFill="1" applyBorder="1" applyAlignment="1">
      <alignment horizontal="center" vertical="center"/>
    </xf>
    <xf numFmtId="164" fontId="21" fillId="4" borderId="34" xfId="0" applyNumberFormat="1" applyFont="1" applyFill="1" applyBorder="1" applyAlignment="1">
      <alignment horizontal="center" vertical="center"/>
    </xf>
    <xf numFmtId="164" fontId="21" fillId="4" borderId="35" xfId="0" applyNumberFormat="1" applyFont="1" applyFill="1" applyBorder="1" applyAlignment="1">
      <alignment horizontal="center" vertical="center"/>
    </xf>
    <xf numFmtId="21" fontId="30" fillId="12" borderId="49" xfId="0" applyNumberFormat="1" applyFont="1" applyFill="1" applyBorder="1" applyAlignment="1">
      <alignment horizontal="center" vertical="center"/>
    </xf>
  </cellXfs>
  <cellStyles count="1">
    <cellStyle name="Normal" xfId="0" builtinId="0"/>
  </cellStyles>
  <dxfs count="757">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2F2F2"/>
        </patternFill>
      </fill>
    </dxf>
    <dxf>
      <fill>
        <patternFill>
          <bgColor rgb="FFFFFFFF"/>
        </patternFill>
      </fill>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FFFFF"/>
        </patternFill>
      </fill>
    </dxf>
    <dxf>
      <fill>
        <patternFill>
          <bgColor rgb="FFF2F2F2"/>
        </patternFill>
      </fill>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FFFFF"/>
        </patternFill>
      </fill>
    </dxf>
    <dxf>
      <fill>
        <patternFill>
          <bgColor rgb="FFF2F2F2"/>
        </patternFill>
      </fill>
    </dxf>
    <dxf>
      <fill>
        <patternFill>
          <bgColor rgb="FFF2F2F2"/>
        </patternFill>
      </fill>
    </dxf>
    <dxf>
      <font>
        <b/>
        <i val="0"/>
      </font>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FFFFF"/>
        </patternFill>
      </fill>
    </dxf>
    <dxf>
      <fill>
        <patternFill>
          <bgColor rgb="FFF2F2F2"/>
        </patternFill>
      </fill>
    </dxf>
    <dxf>
      <fill>
        <patternFill>
          <bgColor rgb="FFF2F2F2"/>
        </patternFill>
      </fill>
    </dxf>
    <dxf>
      <fill>
        <patternFill>
          <bgColor rgb="FFF2F2F2"/>
        </patternFill>
      </fill>
    </dxf>
    <dxf>
      <font>
        <b/>
        <i val="0"/>
      </font>
    </dxf>
    <dxf>
      <font>
        <b/>
        <i val="0"/>
      </font>
    </dxf>
    <dxf>
      <fill>
        <patternFill>
          <bgColor rgb="FFF2F2F2"/>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ill>
        <patternFill>
          <bgColor rgb="FFFFFFFF"/>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E2EFDA"/>
        </patternFill>
      </fill>
    </dxf>
    <dxf>
      <fill>
        <patternFill>
          <bgColor rgb="FFDDEBF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Seq9%20-%20Notes%20ver4.6%20-%20Rev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V2_Seq9%20-%20Notes%20ver4.8%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Usage"/>
      <sheetName val="Categories"/>
      <sheetName val="Hand notes schem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4"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pageSetUpPr fitToPage="1"/>
  </sheetPr>
  <dimension ref="A1:AL323"/>
  <sheetViews>
    <sheetView showGridLines="0" tabSelected="1" topLeftCell="A297" zoomScale="60" zoomScaleNormal="60" workbookViewId="0">
      <selection activeCell="H312" sqref="H312"/>
    </sheetView>
  </sheetViews>
  <sheetFormatPr defaultColWidth="8.88671875" defaultRowHeight="21" x14ac:dyDescent="0.3"/>
  <cols>
    <col min="1" max="1" width="16.109375" style="37" bestFit="1" customWidth="1"/>
    <col min="2" max="2" width="12.33203125" style="37" bestFit="1" customWidth="1"/>
    <col min="3" max="3" width="8.88671875" style="38" hidden="1" customWidth="1"/>
    <col min="4" max="4" width="6.88671875" style="38" bestFit="1" customWidth="1"/>
    <col min="5" max="5" width="6.21875" style="38" hidden="1" customWidth="1"/>
    <col min="6" max="6" width="4.5546875" style="38" hidden="1" customWidth="1"/>
    <col min="7" max="7" width="5.109375" style="39" customWidth="1"/>
    <col min="8" max="8" width="24.33203125" style="40" bestFit="1" customWidth="1"/>
    <col min="9" max="9" width="22.77734375" style="40" bestFit="1" customWidth="1"/>
    <col min="10" max="10" width="15.33203125" style="41" bestFit="1" customWidth="1"/>
    <col min="11" max="11" width="7.109375" style="39" bestFit="1" customWidth="1"/>
    <col min="12" max="12" width="8.6640625" style="42" bestFit="1" customWidth="1"/>
    <col min="13" max="13" width="10.21875" style="43" bestFit="1" customWidth="1"/>
    <col min="14" max="14" width="12.21875" style="43" bestFit="1" customWidth="1"/>
    <col min="15" max="15" width="24" style="43" bestFit="1" customWidth="1"/>
    <col min="16" max="16" width="10.109375" style="39" bestFit="1" customWidth="1"/>
    <col min="17" max="17" width="10.44140625" style="44" bestFit="1" customWidth="1"/>
    <col min="18" max="18" width="9.88671875" style="45" hidden="1" customWidth="1"/>
    <col min="19" max="19" width="10.5546875" style="45" hidden="1" customWidth="1"/>
    <col min="20" max="20" width="8.6640625" style="42" hidden="1" customWidth="1"/>
    <col min="21" max="21" width="11" style="45" hidden="1" customWidth="1"/>
    <col min="22" max="22" width="6.88671875" style="46" bestFit="1" customWidth="1"/>
    <col min="23" max="23" width="7.44140625" style="46" bestFit="1" customWidth="1"/>
    <col min="24" max="24" width="9.109375" style="47" bestFit="1" customWidth="1"/>
    <col min="25" max="27" width="7.88671875" style="48" hidden="1" customWidth="1"/>
    <col min="28" max="30" width="8.77734375" style="48" hidden="1" customWidth="1"/>
    <col min="31" max="31" width="9.33203125" style="48" hidden="1" customWidth="1"/>
    <col min="32" max="32" width="7.88671875" style="48" hidden="1" customWidth="1"/>
    <col min="33" max="33" width="8.5546875" style="49" hidden="1" customWidth="1"/>
    <col min="34" max="34" width="4.88671875" style="50" hidden="1" customWidth="1"/>
    <col min="35" max="35" width="31.109375" style="51" bestFit="1" customWidth="1"/>
    <col min="36" max="36" width="29.33203125" style="51" bestFit="1" customWidth="1"/>
    <col min="37" max="37" width="16.109375" style="52" bestFit="1" customWidth="1"/>
    <col min="38" max="38" width="22.21875" style="52" bestFit="1" customWidth="1"/>
    <col min="39" max="16384" width="8.88671875" style="37"/>
  </cols>
  <sheetData>
    <row r="1" spans="1:38" s="1" customFormat="1" ht="13.8" x14ac:dyDescent="0.3">
      <c r="C1" s="2"/>
      <c r="D1" s="2"/>
      <c r="E1" s="2"/>
      <c r="F1" s="2"/>
      <c r="G1" s="2"/>
      <c r="H1" s="2"/>
      <c r="I1" s="2"/>
      <c r="J1" s="195" t="s">
        <v>0</v>
      </c>
      <c r="K1" s="195"/>
      <c r="L1" s="195"/>
      <c r="M1" s="195"/>
      <c r="N1" s="195"/>
      <c r="O1" s="195"/>
      <c r="P1" s="195"/>
      <c r="Q1" s="196"/>
      <c r="R1" s="197" t="s">
        <v>1</v>
      </c>
      <c r="S1" s="197"/>
      <c r="T1" s="198" t="s">
        <v>2</v>
      </c>
      <c r="U1" s="199"/>
      <c r="V1" s="197" t="s">
        <v>3</v>
      </c>
      <c r="W1" s="197"/>
      <c r="X1" s="3" t="s">
        <v>4</v>
      </c>
      <c r="Y1" s="197" t="s">
        <v>5</v>
      </c>
      <c r="Z1" s="197"/>
      <c r="AA1" s="197"/>
      <c r="AB1" s="197"/>
      <c r="AC1" s="197"/>
      <c r="AD1" s="197"/>
      <c r="AE1" s="197"/>
      <c r="AF1" s="197"/>
      <c r="AG1" s="200" t="s">
        <v>6</v>
      </c>
      <c r="AH1" s="198"/>
      <c r="AI1" s="193" t="s">
        <v>7</v>
      </c>
      <c r="AJ1" s="194"/>
      <c r="AK1" s="194"/>
      <c r="AL1" s="194"/>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147">
        <v>44074</v>
      </c>
      <c r="B4" s="148">
        <v>0.51807870370370368</v>
      </c>
      <c r="C4" s="149"/>
      <c r="D4" s="149" t="s">
        <v>58</v>
      </c>
      <c r="E4" s="149"/>
      <c r="F4" s="149"/>
      <c r="G4" s="150" t="s">
        <v>58</v>
      </c>
      <c r="H4" s="151" t="s">
        <v>333</v>
      </c>
      <c r="I4" s="151" t="s">
        <v>58</v>
      </c>
      <c r="J4" s="152"/>
      <c r="K4" s="153">
        <v>3100</v>
      </c>
      <c r="L4" s="154" t="s">
        <v>58</v>
      </c>
      <c r="M4" s="155" t="s">
        <v>58</v>
      </c>
      <c r="N4" s="155" t="s">
        <v>58</v>
      </c>
      <c r="O4" s="156" t="s">
        <v>58</v>
      </c>
      <c r="P4" s="157" t="s">
        <v>58</v>
      </c>
      <c r="Q4" s="158" t="s">
        <v>58</v>
      </c>
      <c r="R4" s="159"/>
      <c r="S4" s="159"/>
      <c r="T4" s="160"/>
      <c r="U4" s="159"/>
      <c r="V4" s="161"/>
      <c r="W4" s="161"/>
      <c r="X4" s="162"/>
      <c r="Y4" s="163"/>
      <c r="Z4" s="163"/>
      <c r="AA4" s="163"/>
      <c r="AB4" s="163"/>
      <c r="AC4" s="163"/>
      <c r="AD4" s="163"/>
      <c r="AE4" s="163"/>
      <c r="AF4" s="163"/>
      <c r="AG4" s="164"/>
      <c r="AH4" s="165"/>
      <c r="AI4" s="166" t="s">
        <v>60</v>
      </c>
      <c r="AJ4" s="167" t="s">
        <v>61</v>
      </c>
      <c r="AK4" s="168"/>
      <c r="AL4" s="168"/>
    </row>
    <row r="5" spans="1:38" ht="31.95" customHeight="1" x14ac:dyDescent="0.3">
      <c r="A5" s="147">
        <v>44074</v>
      </c>
      <c r="B5" s="169">
        <v>0.51930555555555558</v>
      </c>
      <c r="C5" s="149"/>
      <c r="D5" s="149">
        <v>120</v>
      </c>
      <c r="E5" s="149"/>
      <c r="F5" s="149"/>
      <c r="G5" s="150">
        <v>1</v>
      </c>
      <c r="H5" s="151" t="s">
        <v>62</v>
      </c>
      <c r="I5" s="170" t="s">
        <v>58</v>
      </c>
      <c r="J5" s="152"/>
      <c r="K5" s="153">
        <v>3100</v>
      </c>
      <c r="L5" s="154" t="s">
        <v>58</v>
      </c>
      <c r="M5" s="155" t="s">
        <v>58</v>
      </c>
      <c r="N5" s="155" t="s">
        <v>58</v>
      </c>
      <c r="O5" s="156" t="s">
        <v>58</v>
      </c>
      <c r="P5" s="157" t="s">
        <v>58</v>
      </c>
      <c r="Q5" s="158" t="s">
        <v>58</v>
      </c>
      <c r="R5" s="171"/>
      <c r="S5" s="171"/>
      <c r="T5" s="172"/>
      <c r="U5" s="171"/>
      <c r="V5" s="173">
        <v>5.5</v>
      </c>
      <c r="W5" s="173">
        <v>5.6</v>
      </c>
      <c r="X5" s="162">
        <v>7.01</v>
      </c>
      <c r="Y5" s="174"/>
      <c r="Z5" s="174"/>
      <c r="AA5" s="174"/>
      <c r="AB5" s="174"/>
      <c r="AC5" s="174"/>
      <c r="AD5" s="174"/>
      <c r="AE5" s="174"/>
      <c r="AF5" s="174"/>
      <c r="AG5" s="162"/>
      <c r="AH5" s="175"/>
      <c r="AI5" s="166" t="s">
        <v>63</v>
      </c>
      <c r="AJ5" s="168" t="s">
        <v>64</v>
      </c>
      <c r="AK5" s="168"/>
      <c r="AL5" s="168" t="s">
        <v>65</v>
      </c>
    </row>
    <row r="6" spans="1:38" ht="31.95" customHeight="1" x14ac:dyDescent="0.3">
      <c r="A6" s="147">
        <v>44074</v>
      </c>
      <c r="B6" s="148">
        <v>0.52082175925925933</v>
      </c>
      <c r="C6" s="149"/>
      <c r="D6" s="149">
        <v>30</v>
      </c>
      <c r="E6" s="149"/>
      <c r="F6" s="149"/>
      <c r="G6" s="150">
        <v>1</v>
      </c>
      <c r="H6" s="151" t="s">
        <v>66</v>
      </c>
      <c r="I6" s="170" t="s">
        <v>67</v>
      </c>
      <c r="J6" s="152"/>
      <c r="K6" s="153">
        <v>2800</v>
      </c>
      <c r="L6" s="154" t="s">
        <v>58</v>
      </c>
      <c r="M6" s="155" t="s">
        <v>58</v>
      </c>
      <c r="N6" s="155" t="s">
        <v>58</v>
      </c>
      <c r="O6" s="156" t="s">
        <v>58</v>
      </c>
      <c r="P6" s="157" t="s">
        <v>58</v>
      </c>
      <c r="Q6" s="158" t="s">
        <v>58</v>
      </c>
      <c r="R6" s="171"/>
      <c r="S6" s="171"/>
      <c r="T6" s="172"/>
      <c r="U6" s="171"/>
      <c r="V6" s="173"/>
      <c r="W6" s="173"/>
      <c r="X6" s="162"/>
      <c r="Y6" s="174"/>
      <c r="Z6" s="174"/>
      <c r="AA6" s="174"/>
      <c r="AB6" s="174"/>
      <c r="AC6" s="174"/>
      <c r="AD6" s="174"/>
      <c r="AE6" s="174"/>
      <c r="AF6" s="174"/>
      <c r="AG6" s="162"/>
      <c r="AH6" s="175"/>
      <c r="AI6" s="166"/>
      <c r="AJ6" s="168"/>
      <c r="AK6" s="168"/>
      <c r="AL6" s="168" t="s">
        <v>67</v>
      </c>
    </row>
    <row r="7" spans="1:38" ht="31.95" customHeight="1" x14ac:dyDescent="0.3">
      <c r="A7" s="147">
        <v>44074</v>
      </c>
      <c r="B7" s="148">
        <v>0.52135416666666667</v>
      </c>
      <c r="C7" s="149"/>
      <c r="D7" s="149">
        <v>120</v>
      </c>
      <c r="E7" s="149"/>
      <c r="F7" s="149"/>
      <c r="G7" s="150">
        <v>1</v>
      </c>
      <c r="H7" s="151" t="s">
        <v>68</v>
      </c>
      <c r="I7" s="170" t="s">
        <v>58</v>
      </c>
      <c r="J7" s="152"/>
      <c r="K7" s="153">
        <v>2800</v>
      </c>
      <c r="L7" s="154" t="s">
        <v>58</v>
      </c>
      <c r="M7" s="155" t="s">
        <v>58</v>
      </c>
      <c r="N7" s="155" t="s">
        <v>58</v>
      </c>
      <c r="O7" s="156" t="s">
        <v>58</v>
      </c>
      <c r="P7" s="157" t="s">
        <v>58</v>
      </c>
      <c r="Q7" s="158" t="s">
        <v>58</v>
      </c>
      <c r="R7" s="171"/>
      <c r="S7" s="171"/>
      <c r="T7" s="172"/>
      <c r="U7" s="171"/>
      <c r="V7" s="173">
        <v>4.5999999999999996</v>
      </c>
      <c r="W7" s="173">
        <v>4.0999999999999996</v>
      </c>
      <c r="X7" s="162">
        <v>6.27</v>
      </c>
      <c r="Y7" s="174"/>
      <c r="Z7" s="174"/>
      <c r="AA7" s="174"/>
      <c r="AB7" s="174"/>
      <c r="AC7" s="174"/>
      <c r="AD7" s="174"/>
      <c r="AE7" s="174"/>
      <c r="AF7" s="174"/>
      <c r="AG7" s="162"/>
      <c r="AH7" s="175"/>
      <c r="AI7" s="166"/>
      <c r="AJ7" s="168"/>
      <c r="AK7" s="168"/>
      <c r="AL7" s="168" t="s">
        <v>69</v>
      </c>
    </row>
    <row r="8" spans="1:38" ht="31.95" customHeight="1" x14ac:dyDescent="0.3">
      <c r="A8" s="147">
        <v>44074</v>
      </c>
      <c r="B8" s="148">
        <v>0.52288194444444447</v>
      </c>
      <c r="C8" s="149"/>
      <c r="D8" s="149">
        <v>30</v>
      </c>
      <c r="E8" s="149"/>
      <c r="F8" s="149"/>
      <c r="G8" s="150">
        <v>1</v>
      </c>
      <c r="H8" s="151" t="s">
        <v>66</v>
      </c>
      <c r="I8" s="170" t="s">
        <v>67</v>
      </c>
      <c r="J8" s="152"/>
      <c r="K8" s="153">
        <v>2500</v>
      </c>
      <c r="L8" s="154" t="s">
        <v>58</v>
      </c>
      <c r="M8" s="155" t="s">
        <v>58</v>
      </c>
      <c r="N8" s="155" t="s">
        <v>58</v>
      </c>
      <c r="O8" s="156" t="s">
        <v>58</v>
      </c>
      <c r="P8" s="157" t="s">
        <v>58</v>
      </c>
      <c r="Q8" s="158" t="s">
        <v>58</v>
      </c>
      <c r="R8" s="171"/>
      <c r="S8" s="171"/>
      <c r="T8" s="172"/>
      <c r="U8" s="171"/>
      <c r="V8" s="173"/>
      <c r="W8" s="173"/>
      <c r="X8" s="162"/>
      <c r="Y8" s="174"/>
      <c r="Z8" s="174"/>
      <c r="AA8" s="174"/>
      <c r="AB8" s="174"/>
      <c r="AC8" s="174"/>
      <c r="AD8" s="174"/>
      <c r="AE8" s="174"/>
      <c r="AF8" s="174"/>
      <c r="AG8" s="162"/>
      <c r="AH8" s="175"/>
      <c r="AI8" s="166"/>
      <c r="AJ8" s="168"/>
      <c r="AK8" s="168"/>
      <c r="AL8" s="168" t="s">
        <v>67</v>
      </c>
    </row>
    <row r="9" spans="1:38" ht="31.95" customHeight="1" x14ac:dyDescent="0.3">
      <c r="A9" s="147">
        <v>44074</v>
      </c>
      <c r="B9" s="148">
        <v>0.52328703703703705</v>
      </c>
      <c r="C9" s="149"/>
      <c r="D9" s="149">
        <v>120</v>
      </c>
      <c r="E9" s="149"/>
      <c r="F9" s="149"/>
      <c r="G9" s="150">
        <v>1</v>
      </c>
      <c r="H9" s="151" t="s">
        <v>62</v>
      </c>
      <c r="I9" s="170" t="s">
        <v>58</v>
      </c>
      <c r="J9" s="152"/>
      <c r="K9" s="153">
        <v>2500</v>
      </c>
      <c r="L9" s="154" t="s">
        <v>58</v>
      </c>
      <c r="M9" s="155" t="s">
        <v>58</v>
      </c>
      <c r="N9" s="155" t="s">
        <v>58</v>
      </c>
      <c r="O9" s="156" t="s">
        <v>58</v>
      </c>
      <c r="P9" s="157" t="s">
        <v>58</v>
      </c>
      <c r="Q9" s="158" t="s">
        <v>58</v>
      </c>
      <c r="R9" s="171"/>
      <c r="S9" s="171"/>
      <c r="T9" s="172"/>
      <c r="U9" s="159"/>
      <c r="V9" s="173">
        <v>4.0999999999999996</v>
      </c>
      <c r="W9" s="173">
        <v>3</v>
      </c>
      <c r="X9" s="162">
        <v>5.55</v>
      </c>
      <c r="Y9" s="174"/>
      <c r="Z9" s="174"/>
      <c r="AA9" s="174"/>
      <c r="AB9" s="174"/>
      <c r="AC9" s="174"/>
      <c r="AD9" s="174"/>
      <c r="AE9" s="174"/>
      <c r="AF9" s="174"/>
      <c r="AG9" s="162"/>
      <c r="AH9" s="175"/>
      <c r="AI9" s="166"/>
      <c r="AJ9" s="168"/>
      <c r="AK9" s="168"/>
      <c r="AL9" s="168" t="s">
        <v>70</v>
      </c>
    </row>
    <row r="10" spans="1:38" ht="31.95" customHeight="1" x14ac:dyDescent="0.3">
      <c r="A10" s="147">
        <v>44074</v>
      </c>
      <c r="B10" s="148">
        <v>0.52488425925925919</v>
      </c>
      <c r="C10" s="149"/>
      <c r="D10" s="149">
        <v>30</v>
      </c>
      <c r="E10" s="149"/>
      <c r="F10" s="149"/>
      <c r="G10" s="150">
        <v>1</v>
      </c>
      <c r="H10" s="151" t="s">
        <v>66</v>
      </c>
      <c r="I10" s="170" t="s">
        <v>67</v>
      </c>
      <c r="J10" s="152"/>
      <c r="K10" s="153">
        <v>2200</v>
      </c>
      <c r="L10" s="154" t="s">
        <v>58</v>
      </c>
      <c r="M10" s="155" t="s">
        <v>58</v>
      </c>
      <c r="N10" s="155" t="s">
        <v>58</v>
      </c>
      <c r="O10" s="156" t="s">
        <v>58</v>
      </c>
      <c r="P10" s="157" t="s">
        <v>58</v>
      </c>
      <c r="Q10" s="158" t="s">
        <v>58</v>
      </c>
      <c r="R10" s="171"/>
      <c r="S10" s="171"/>
      <c r="T10" s="172"/>
      <c r="U10" s="159"/>
      <c r="V10" s="173"/>
      <c r="W10" s="173"/>
      <c r="X10" s="162"/>
      <c r="Y10" s="174"/>
      <c r="Z10" s="174"/>
      <c r="AA10" s="174"/>
      <c r="AB10" s="174"/>
      <c r="AC10" s="174"/>
      <c r="AD10" s="174"/>
      <c r="AE10" s="174"/>
      <c r="AF10" s="174"/>
      <c r="AG10" s="162"/>
      <c r="AH10" s="175"/>
      <c r="AI10" s="166"/>
      <c r="AJ10" s="168" t="s">
        <v>334</v>
      </c>
      <c r="AK10" s="168"/>
      <c r="AL10" s="168" t="s">
        <v>67</v>
      </c>
    </row>
    <row r="11" spans="1:38" ht="31.95" customHeight="1" x14ac:dyDescent="0.3">
      <c r="A11" s="147">
        <v>44074</v>
      </c>
      <c r="B11" s="148">
        <v>0.52545138888888887</v>
      </c>
      <c r="C11" s="149"/>
      <c r="D11" s="149">
        <v>120</v>
      </c>
      <c r="E11" s="149"/>
      <c r="F11" s="149"/>
      <c r="G11" s="150">
        <v>1</v>
      </c>
      <c r="H11" s="151" t="s">
        <v>62</v>
      </c>
      <c r="I11" s="170" t="s">
        <v>58</v>
      </c>
      <c r="J11" s="152"/>
      <c r="K11" s="153">
        <v>2200</v>
      </c>
      <c r="L11" s="154" t="s">
        <v>58</v>
      </c>
      <c r="M11" s="155" t="s">
        <v>58</v>
      </c>
      <c r="N11" s="155" t="s">
        <v>58</v>
      </c>
      <c r="O11" s="156" t="s">
        <v>58</v>
      </c>
      <c r="P11" s="157" t="s">
        <v>58</v>
      </c>
      <c r="Q11" s="158" t="s">
        <v>58</v>
      </c>
      <c r="R11" s="171"/>
      <c r="S11" s="171"/>
      <c r="T11" s="172"/>
      <c r="U11" s="159"/>
      <c r="V11" s="173">
        <v>3.4</v>
      </c>
      <c r="W11" s="173">
        <v>2.1</v>
      </c>
      <c r="X11" s="162">
        <v>4.83</v>
      </c>
      <c r="Y11" s="174"/>
      <c r="Z11" s="174"/>
      <c r="AA11" s="174"/>
      <c r="AB11" s="174"/>
      <c r="AC11" s="174"/>
      <c r="AD11" s="174"/>
      <c r="AE11" s="174"/>
      <c r="AF11" s="174"/>
      <c r="AG11" s="162"/>
      <c r="AH11" s="175"/>
      <c r="AI11" s="166"/>
      <c r="AJ11" s="168"/>
      <c r="AK11" s="168"/>
      <c r="AL11" s="168" t="s">
        <v>71</v>
      </c>
    </row>
    <row r="12" spans="1:38" ht="31.95" customHeight="1" x14ac:dyDescent="0.3">
      <c r="A12" s="147">
        <v>44074</v>
      </c>
      <c r="B12" s="148">
        <v>0.5269907407407407</v>
      </c>
      <c r="C12" s="149"/>
      <c r="D12" s="149" t="s">
        <v>58</v>
      </c>
      <c r="E12" s="149"/>
      <c r="F12" s="149"/>
      <c r="G12" s="150" t="s">
        <v>58</v>
      </c>
      <c r="H12" s="151" t="s">
        <v>72</v>
      </c>
      <c r="I12" s="170" t="s">
        <v>73</v>
      </c>
      <c r="J12" s="152"/>
      <c r="K12" s="153">
        <v>2200</v>
      </c>
      <c r="L12" s="154">
        <v>1</v>
      </c>
      <c r="M12" s="155">
        <v>0.9</v>
      </c>
      <c r="N12" s="155" t="s">
        <v>74</v>
      </c>
      <c r="O12" s="156" t="s">
        <v>75</v>
      </c>
      <c r="P12" s="157" t="s">
        <v>58</v>
      </c>
      <c r="Q12" s="158" t="s">
        <v>58</v>
      </c>
      <c r="R12" s="171"/>
      <c r="S12" s="171"/>
      <c r="T12" s="172"/>
      <c r="U12" s="171"/>
      <c r="V12" s="173"/>
      <c r="W12" s="173"/>
      <c r="X12" s="162"/>
      <c r="Y12" s="174"/>
      <c r="Z12" s="174"/>
      <c r="AA12" s="174"/>
      <c r="AB12" s="174"/>
      <c r="AC12" s="174"/>
      <c r="AD12" s="174"/>
      <c r="AE12" s="174"/>
      <c r="AF12" s="174"/>
      <c r="AG12" s="162"/>
      <c r="AH12" s="175"/>
      <c r="AI12" s="166"/>
      <c r="AJ12" s="168"/>
      <c r="AK12" s="168"/>
      <c r="AL12" s="168"/>
    </row>
    <row r="13" spans="1:38" ht="31.95" customHeight="1" x14ac:dyDescent="0.3">
      <c r="A13" s="147">
        <v>44074</v>
      </c>
      <c r="B13" s="148">
        <v>0.53900462962962969</v>
      </c>
      <c r="C13" s="149"/>
      <c r="D13" s="149">
        <v>120</v>
      </c>
      <c r="E13" s="149"/>
      <c r="F13" s="149"/>
      <c r="G13" s="150">
        <v>2</v>
      </c>
      <c r="H13" s="151" t="s">
        <v>62</v>
      </c>
      <c r="I13" s="170" t="s">
        <v>58</v>
      </c>
      <c r="J13" s="152"/>
      <c r="K13" s="153">
        <v>2200</v>
      </c>
      <c r="L13" s="154">
        <v>1</v>
      </c>
      <c r="M13" s="155">
        <v>0.9</v>
      </c>
      <c r="N13" s="155" t="s">
        <v>74</v>
      </c>
      <c r="O13" s="156" t="s">
        <v>75</v>
      </c>
      <c r="P13" s="157" t="s">
        <v>58</v>
      </c>
      <c r="Q13" s="158" t="s">
        <v>58</v>
      </c>
      <c r="R13" s="171"/>
      <c r="S13" s="171"/>
      <c r="T13" s="172"/>
      <c r="U13" s="171"/>
      <c r="V13" s="173">
        <v>3.4</v>
      </c>
      <c r="W13" s="173">
        <v>2.1</v>
      </c>
      <c r="X13" s="162">
        <v>4.79</v>
      </c>
      <c r="Y13" s="174"/>
      <c r="Z13" s="174"/>
      <c r="AA13" s="174"/>
      <c r="AB13" s="174"/>
      <c r="AC13" s="174"/>
      <c r="AD13" s="174"/>
      <c r="AE13" s="174"/>
      <c r="AF13" s="174"/>
      <c r="AG13" s="162"/>
      <c r="AH13" s="175"/>
      <c r="AI13" s="166"/>
      <c r="AJ13" s="168"/>
      <c r="AK13" s="168"/>
      <c r="AL13" s="168"/>
    </row>
    <row r="14" spans="1:38" ht="31.95" customHeight="1" x14ac:dyDescent="0.3">
      <c r="A14" s="147">
        <v>44074</v>
      </c>
      <c r="B14" s="148">
        <v>0.54047453703703707</v>
      </c>
      <c r="C14" s="149"/>
      <c r="D14" s="149">
        <v>30</v>
      </c>
      <c r="E14" s="149"/>
      <c r="F14" s="149"/>
      <c r="G14" s="150">
        <v>2</v>
      </c>
      <c r="H14" s="151" t="s">
        <v>66</v>
      </c>
      <c r="I14" s="170" t="s">
        <v>326</v>
      </c>
      <c r="J14" s="152"/>
      <c r="K14" s="153">
        <v>2200</v>
      </c>
      <c r="L14" s="154">
        <v>2</v>
      </c>
      <c r="M14" s="155">
        <v>4.3099999999999996</v>
      </c>
      <c r="N14" s="155" t="s">
        <v>76</v>
      </c>
      <c r="O14" s="156" t="s">
        <v>75</v>
      </c>
      <c r="P14" s="157" t="s">
        <v>58</v>
      </c>
      <c r="Q14" s="158" t="s">
        <v>58</v>
      </c>
      <c r="R14" s="171"/>
      <c r="S14" s="171"/>
      <c r="T14" s="172"/>
      <c r="U14" s="171"/>
      <c r="V14" s="173"/>
      <c r="W14" s="173"/>
      <c r="X14" s="162"/>
      <c r="Y14" s="174"/>
      <c r="Z14" s="174"/>
      <c r="AA14" s="174"/>
      <c r="AB14" s="174"/>
      <c r="AC14" s="174"/>
      <c r="AD14" s="174"/>
      <c r="AE14" s="174"/>
      <c r="AF14" s="174"/>
      <c r="AG14" s="162"/>
      <c r="AH14" s="175"/>
      <c r="AI14" s="166"/>
      <c r="AJ14" s="168"/>
      <c r="AK14" s="168"/>
      <c r="AL14" s="168"/>
    </row>
    <row r="15" spans="1:38" ht="31.95" customHeight="1" x14ac:dyDescent="0.3">
      <c r="A15" s="176">
        <v>44074</v>
      </c>
      <c r="B15" s="177">
        <v>0.54093749999999996</v>
      </c>
      <c r="C15" s="149"/>
      <c r="D15" s="149">
        <v>120</v>
      </c>
      <c r="E15" s="149"/>
      <c r="F15" s="149"/>
      <c r="G15" s="150">
        <v>2</v>
      </c>
      <c r="H15" s="151" t="s">
        <v>62</v>
      </c>
      <c r="I15" s="178" t="s">
        <v>58</v>
      </c>
      <c r="J15" s="152"/>
      <c r="K15" s="153">
        <v>2200</v>
      </c>
      <c r="L15" s="154">
        <v>2</v>
      </c>
      <c r="M15" s="155">
        <v>4.3099999999999996</v>
      </c>
      <c r="N15" s="155" t="s">
        <v>76</v>
      </c>
      <c r="O15" s="156" t="s">
        <v>75</v>
      </c>
      <c r="P15" s="157" t="s">
        <v>58</v>
      </c>
      <c r="Q15" s="158" t="s">
        <v>58</v>
      </c>
      <c r="R15" s="159"/>
      <c r="S15" s="159"/>
      <c r="T15" s="160"/>
      <c r="U15" s="171"/>
      <c r="V15" s="161">
        <v>3.4</v>
      </c>
      <c r="W15" s="161">
        <v>2.1</v>
      </c>
      <c r="X15" s="164"/>
      <c r="Y15" s="163"/>
      <c r="Z15" s="163"/>
      <c r="AA15" s="163"/>
      <c r="AB15" s="163"/>
      <c r="AC15" s="163"/>
      <c r="AD15" s="163"/>
      <c r="AE15" s="163"/>
      <c r="AF15" s="163"/>
      <c r="AG15" s="164"/>
      <c r="AH15" s="165"/>
      <c r="AI15" s="166"/>
      <c r="AJ15" s="167" t="s">
        <v>335</v>
      </c>
      <c r="AK15" s="168"/>
      <c r="AL15" s="168"/>
    </row>
    <row r="16" spans="1:38" ht="31.95" customHeight="1" x14ac:dyDescent="0.3">
      <c r="A16" s="176">
        <v>44074</v>
      </c>
      <c r="B16" s="177">
        <v>0.54253472222222221</v>
      </c>
      <c r="C16" s="149"/>
      <c r="D16" s="149">
        <v>30</v>
      </c>
      <c r="E16" s="149"/>
      <c r="F16" s="149"/>
      <c r="G16" s="150">
        <v>2</v>
      </c>
      <c r="H16" s="151" t="s">
        <v>66</v>
      </c>
      <c r="I16" s="170" t="s">
        <v>326</v>
      </c>
      <c r="J16" s="152"/>
      <c r="K16" s="153">
        <v>2200</v>
      </c>
      <c r="L16" s="154">
        <v>3</v>
      </c>
      <c r="M16" s="155">
        <v>4.7300000000000004</v>
      </c>
      <c r="N16" s="155" t="s">
        <v>170</v>
      </c>
      <c r="O16" s="156" t="s">
        <v>75</v>
      </c>
      <c r="P16" s="157" t="s">
        <v>58</v>
      </c>
      <c r="Q16" s="158" t="s">
        <v>58</v>
      </c>
      <c r="R16" s="159"/>
      <c r="S16" s="159"/>
      <c r="T16" s="160"/>
      <c r="U16" s="171"/>
      <c r="V16" s="161"/>
      <c r="W16" s="161"/>
      <c r="X16" s="164"/>
      <c r="Y16" s="163"/>
      <c r="Z16" s="163"/>
      <c r="AA16" s="163"/>
      <c r="AB16" s="163"/>
      <c r="AC16" s="163"/>
      <c r="AD16" s="163"/>
      <c r="AE16" s="163"/>
      <c r="AF16" s="163"/>
      <c r="AG16" s="164"/>
      <c r="AH16" s="165"/>
      <c r="AI16" s="166"/>
      <c r="AJ16" s="167" t="s">
        <v>336</v>
      </c>
      <c r="AK16" s="168"/>
      <c r="AL16" s="179"/>
    </row>
    <row r="17" spans="1:38" ht="31.95" customHeight="1" x14ac:dyDescent="0.3">
      <c r="A17" s="176">
        <v>44074</v>
      </c>
      <c r="B17" s="177">
        <v>0.54311342592592593</v>
      </c>
      <c r="C17" s="149"/>
      <c r="D17" s="149">
        <v>120</v>
      </c>
      <c r="E17" s="149"/>
      <c r="F17" s="149"/>
      <c r="G17" s="150">
        <v>2</v>
      </c>
      <c r="H17" s="151" t="s">
        <v>62</v>
      </c>
      <c r="I17" s="178" t="s">
        <v>58</v>
      </c>
      <c r="J17" s="152"/>
      <c r="K17" s="153">
        <v>2200</v>
      </c>
      <c r="L17" s="154">
        <v>3</v>
      </c>
      <c r="M17" s="155">
        <v>4.7300000000000004</v>
      </c>
      <c r="N17" s="155" t="s">
        <v>170</v>
      </c>
      <c r="O17" s="156" t="s">
        <v>75</v>
      </c>
      <c r="P17" s="157" t="s">
        <v>58</v>
      </c>
      <c r="Q17" s="158" t="s">
        <v>58</v>
      </c>
      <c r="R17" s="159"/>
      <c r="S17" s="159"/>
      <c r="T17" s="160"/>
      <c r="U17" s="171"/>
      <c r="V17" s="161">
        <v>3.4</v>
      </c>
      <c r="W17" s="161">
        <v>2.1</v>
      </c>
      <c r="X17" s="164">
        <v>4.78</v>
      </c>
      <c r="Y17" s="163"/>
      <c r="Z17" s="163"/>
      <c r="AA17" s="163"/>
      <c r="AB17" s="163"/>
      <c r="AC17" s="163"/>
      <c r="AD17" s="163"/>
      <c r="AE17" s="163"/>
      <c r="AF17" s="163"/>
      <c r="AG17" s="164"/>
      <c r="AH17" s="165"/>
      <c r="AI17" s="166"/>
      <c r="AJ17" s="167" t="s">
        <v>336</v>
      </c>
      <c r="AK17" s="168"/>
      <c r="AL17" s="168"/>
    </row>
    <row r="18" spans="1:38" ht="31.95" customHeight="1" x14ac:dyDescent="0.3">
      <c r="A18" s="176">
        <v>44074</v>
      </c>
      <c r="B18" s="177">
        <v>0.54462962962962969</v>
      </c>
      <c r="C18" s="149"/>
      <c r="D18" s="149">
        <v>30</v>
      </c>
      <c r="E18" s="149"/>
      <c r="F18" s="149"/>
      <c r="G18" s="150">
        <v>2</v>
      </c>
      <c r="H18" s="151" t="s">
        <v>66</v>
      </c>
      <c r="I18" s="170" t="s">
        <v>317</v>
      </c>
      <c r="J18" s="152"/>
      <c r="K18" s="153">
        <v>2200</v>
      </c>
      <c r="L18" s="154">
        <v>1</v>
      </c>
      <c r="M18" s="155">
        <v>0.9</v>
      </c>
      <c r="N18" s="155" t="s">
        <v>74</v>
      </c>
      <c r="O18" s="156" t="s">
        <v>75</v>
      </c>
      <c r="P18" s="157" t="s">
        <v>58</v>
      </c>
      <c r="Q18" s="158" t="s">
        <v>58</v>
      </c>
      <c r="R18" s="159"/>
      <c r="S18" s="159"/>
      <c r="T18" s="160"/>
      <c r="U18" s="171"/>
      <c r="V18" s="161"/>
      <c r="W18" s="161"/>
      <c r="X18" s="164"/>
      <c r="Y18" s="163"/>
      <c r="Z18" s="163"/>
      <c r="AA18" s="163"/>
      <c r="AB18" s="163"/>
      <c r="AC18" s="163"/>
      <c r="AD18" s="163"/>
      <c r="AE18" s="163"/>
      <c r="AF18" s="163"/>
      <c r="AG18" s="164"/>
      <c r="AH18" s="165"/>
      <c r="AI18" s="166"/>
      <c r="AJ18" s="167"/>
      <c r="AK18" s="168"/>
      <c r="AL18" s="168"/>
    </row>
    <row r="19" spans="1:38" ht="31.95" customHeight="1" x14ac:dyDescent="0.3">
      <c r="A19" s="176">
        <v>44074</v>
      </c>
      <c r="B19" s="177">
        <v>0.54505787037037035</v>
      </c>
      <c r="C19" s="149"/>
      <c r="D19" s="149">
        <v>60</v>
      </c>
      <c r="E19" s="149"/>
      <c r="F19" s="149"/>
      <c r="G19" s="150">
        <v>2</v>
      </c>
      <c r="H19" s="151" t="s">
        <v>77</v>
      </c>
      <c r="I19" s="178" t="s">
        <v>58</v>
      </c>
      <c r="J19" s="152"/>
      <c r="K19" s="153">
        <v>2200</v>
      </c>
      <c r="L19" s="154">
        <v>1</v>
      </c>
      <c r="M19" s="155">
        <v>0.9</v>
      </c>
      <c r="N19" s="155" t="s">
        <v>74</v>
      </c>
      <c r="O19" s="156" t="s">
        <v>75</v>
      </c>
      <c r="P19" s="157" t="s">
        <v>58</v>
      </c>
      <c r="Q19" s="158" t="s">
        <v>58</v>
      </c>
      <c r="R19" s="159"/>
      <c r="S19" s="159"/>
      <c r="T19" s="160"/>
      <c r="U19" s="171"/>
      <c r="V19" s="161">
        <v>3.4</v>
      </c>
      <c r="W19" s="161">
        <v>2.1</v>
      </c>
      <c r="X19" s="164">
        <v>4.79</v>
      </c>
      <c r="Y19" s="163"/>
      <c r="Z19" s="163"/>
      <c r="AA19" s="163"/>
      <c r="AB19" s="163"/>
      <c r="AC19" s="163"/>
      <c r="AD19" s="163"/>
      <c r="AE19" s="163"/>
      <c r="AF19" s="163"/>
      <c r="AG19" s="164"/>
      <c r="AH19" s="165"/>
      <c r="AI19" s="166"/>
      <c r="AJ19" s="167"/>
      <c r="AK19" s="168"/>
      <c r="AL19" s="168"/>
    </row>
    <row r="20" spans="1:38" ht="31.95" customHeight="1" x14ac:dyDescent="0.3">
      <c r="A20" s="176">
        <v>44074</v>
      </c>
      <c r="B20" s="177">
        <v>0.54594907407407411</v>
      </c>
      <c r="C20" s="149"/>
      <c r="D20" s="149">
        <v>30</v>
      </c>
      <c r="E20" s="149"/>
      <c r="F20" s="149"/>
      <c r="G20" s="150" t="s">
        <v>58</v>
      </c>
      <c r="H20" s="151" t="s">
        <v>72</v>
      </c>
      <c r="I20" s="170" t="s">
        <v>67</v>
      </c>
      <c r="J20" s="152"/>
      <c r="K20" s="153">
        <v>2500</v>
      </c>
      <c r="L20" s="154">
        <v>1</v>
      </c>
      <c r="M20" s="155">
        <v>0.9</v>
      </c>
      <c r="N20" s="155" t="s">
        <v>74</v>
      </c>
      <c r="O20" s="156" t="s">
        <v>75</v>
      </c>
      <c r="P20" s="157" t="s">
        <v>58</v>
      </c>
      <c r="Q20" s="158" t="s">
        <v>58</v>
      </c>
      <c r="R20" s="159"/>
      <c r="S20" s="159"/>
      <c r="T20" s="160"/>
      <c r="U20" s="171"/>
      <c r="V20" s="161"/>
      <c r="W20" s="161"/>
      <c r="X20" s="164"/>
      <c r="Y20" s="163"/>
      <c r="Z20" s="163"/>
      <c r="AA20" s="163"/>
      <c r="AB20" s="163"/>
      <c r="AC20" s="163"/>
      <c r="AD20" s="163"/>
      <c r="AE20" s="163"/>
      <c r="AF20" s="163"/>
      <c r="AG20" s="164"/>
      <c r="AH20" s="165"/>
      <c r="AI20" s="166" t="s">
        <v>63</v>
      </c>
      <c r="AJ20" s="168" t="s">
        <v>332</v>
      </c>
      <c r="AK20" s="168"/>
      <c r="AL20" s="168"/>
    </row>
    <row r="21" spans="1:38" ht="31.95" customHeight="1" x14ac:dyDescent="0.3">
      <c r="A21" s="147">
        <v>44074</v>
      </c>
      <c r="B21" s="148">
        <v>0.5505902777777778</v>
      </c>
      <c r="C21" s="149"/>
      <c r="D21" s="149">
        <v>120</v>
      </c>
      <c r="E21" s="149"/>
      <c r="F21" s="149"/>
      <c r="G21" s="150">
        <v>3</v>
      </c>
      <c r="H21" s="151" t="s">
        <v>62</v>
      </c>
      <c r="I21" s="170" t="s">
        <v>58</v>
      </c>
      <c r="J21" s="152"/>
      <c r="K21" s="153">
        <v>2500</v>
      </c>
      <c r="L21" s="154">
        <v>1</v>
      </c>
      <c r="M21" s="155">
        <v>0.9</v>
      </c>
      <c r="N21" s="155" t="s">
        <v>74</v>
      </c>
      <c r="O21" s="156" t="s">
        <v>75</v>
      </c>
      <c r="P21" s="157" t="s">
        <v>58</v>
      </c>
      <c r="Q21" s="158" t="s">
        <v>58</v>
      </c>
      <c r="R21" s="171"/>
      <c r="S21" s="171"/>
      <c r="T21" s="172"/>
      <c r="U21" s="171"/>
      <c r="V21" s="173">
        <v>4.0999999999999996</v>
      </c>
      <c r="W21" s="173">
        <v>3</v>
      </c>
      <c r="X21" s="162">
        <v>5.5</v>
      </c>
      <c r="Y21" s="174"/>
      <c r="Z21" s="174"/>
      <c r="AA21" s="174"/>
      <c r="AB21" s="174"/>
      <c r="AC21" s="174"/>
      <c r="AD21" s="174"/>
      <c r="AE21" s="174"/>
      <c r="AF21" s="174"/>
      <c r="AG21" s="162"/>
      <c r="AH21" s="175"/>
      <c r="AI21" s="166"/>
      <c r="AJ21" s="168"/>
      <c r="AK21" s="168"/>
      <c r="AL21" s="168"/>
    </row>
    <row r="22" spans="1:38" ht="31.95" customHeight="1" x14ac:dyDescent="0.3">
      <c r="A22" s="147">
        <v>44074</v>
      </c>
      <c r="B22" s="148">
        <v>0.55201388888888892</v>
      </c>
      <c r="C22" s="149"/>
      <c r="D22" s="149">
        <v>30</v>
      </c>
      <c r="E22" s="149"/>
      <c r="F22" s="149"/>
      <c r="G22" s="150">
        <v>3</v>
      </c>
      <c r="H22" s="151" t="s">
        <v>66</v>
      </c>
      <c r="I22" s="170" t="s">
        <v>326</v>
      </c>
      <c r="J22" s="152"/>
      <c r="K22" s="153">
        <v>2500</v>
      </c>
      <c r="L22" s="154">
        <v>2</v>
      </c>
      <c r="M22" s="155">
        <v>4.3099999999999996</v>
      </c>
      <c r="N22" s="155" t="s">
        <v>76</v>
      </c>
      <c r="O22" s="156" t="s">
        <v>75</v>
      </c>
      <c r="P22" s="157" t="s">
        <v>58</v>
      </c>
      <c r="Q22" s="158" t="s">
        <v>58</v>
      </c>
      <c r="R22" s="171"/>
      <c r="S22" s="171"/>
      <c r="T22" s="172"/>
      <c r="U22" s="171"/>
      <c r="V22" s="173"/>
      <c r="W22" s="173"/>
      <c r="X22" s="162"/>
      <c r="Y22" s="174"/>
      <c r="Z22" s="174"/>
      <c r="AA22" s="174"/>
      <c r="AB22" s="174"/>
      <c r="AC22" s="174"/>
      <c r="AD22" s="174"/>
      <c r="AE22" s="174"/>
      <c r="AF22" s="174"/>
      <c r="AG22" s="162"/>
      <c r="AH22" s="175"/>
      <c r="AI22" s="166"/>
      <c r="AJ22" s="168"/>
      <c r="AK22" s="168"/>
      <c r="AL22" s="168"/>
    </row>
    <row r="23" spans="1:38" ht="31.95" customHeight="1" x14ac:dyDescent="0.3">
      <c r="A23" s="176">
        <v>44074</v>
      </c>
      <c r="B23" s="177">
        <v>0.55239583333333331</v>
      </c>
      <c r="C23" s="149"/>
      <c r="D23" s="149">
        <v>120</v>
      </c>
      <c r="E23" s="149"/>
      <c r="F23" s="149"/>
      <c r="G23" s="150">
        <v>3</v>
      </c>
      <c r="H23" s="151" t="s">
        <v>62</v>
      </c>
      <c r="I23" s="178" t="s">
        <v>58</v>
      </c>
      <c r="J23" s="152"/>
      <c r="K23" s="153">
        <v>2500</v>
      </c>
      <c r="L23" s="154">
        <v>2</v>
      </c>
      <c r="M23" s="155">
        <v>4.3099999999999996</v>
      </c>
      <c r="N23" s="155" t="s">
        <v>76</v>
      </c>
      <c r="O23" s="156" t="s">
        <v>75</v>
      </c>
      <c r="P23" s="157" t="s">
        <v>58</v>
      </c>
      <c r="Q23" s="158" t="s">
        <v>58</v>
      </c>
      <c r="R23" s="159"/>
      <c r="S23" s="159"/>
      <c r="T23" s="160"/>
      <c r="U23" s="171"/>
      <c r="V23" s="161">
        <v>4.0999999999999996</v>
      </c>
      <c r="W23" s="161">
        <v>3</v>
      </c>
      <c r="X23" s="164">
        <v>5.5</v>
      </c>
      <c r="Y23" s="163"/>
      <c r="Z23" s="163"/>
      <c r="AA23" s="163"/>
      <c r="AB23" s="163"/>
      <c r="AC23" s="163"/>
      <c r="AD23" s="163"/>
      <c r="AE23" s="163"/>
      <c r="AF23" s="163"/>
      <c r="AG23" s="164"/>
      <c r="AH23" s="165"/>
      <c r="AI23" s="166"/>
      <c r="AJ23" s="167"/>
      <c r="AK23" s="168"/>
      <c r="AL23" s="168"/>
    </row>
    <row r="24" spans="1:38" ht="31.95" customHeight="1" x14ac:dyDescent="0.3">
      <c r="A24" s="176">
        <v>44074</v>
      </c>
      <c r="B24" s="177">
        <v>0.55396990740740737</v>
      </c>
      <c r="C24" s="149"/>
      <c r="D24" s="149">
        <v>30</v>
      </c>
      <c r="E24" s="149"/>
      <c r="F24" s="149"/>
      <c r="G24" s="150">
        <v>3</v>
      </c>
      <c r="H24" s="151" t="s">
        <v>66</v>
      </c>
      <c r="I24" s="170" t="s">
        <v>326</v>
      </c>
      <c r="J24" s="152"/>
      <c r="K24" s="153">
        <v>2500</v>
      </c>
      <c r="L24" s="154">
        <v>3</v>
      </c>
      <c r="M24" s="155">
        <v>4.7300000000000004</v>
      </c>
      <c r="N24" s="155" t="s">
        <v>170</v>
      </c>
      <c r="O24" s="156" t="s">
        <v>75</v>
      </c>
      <c r="P24" s="157" t="s">
        <v>58</v>
      </c>
      <c r="Q24" s="158" t="s">
        <v>58</v>
      </c>
      <c r="R24" s="159"/>
      <c r="S24" s="159"/>
      <c r="T24" s="160"/>
      <c r="U24" s="171"/>
      <c r="V24" s="161"/>
      <c r="W24" s="161"/>
      <c r="X24" s="164"/>
      <c r="Y24" s="163"/>
      <c r="Z24" s="163"/>
      <c r="AA24" s="163"/>
      <c r="AB24" s="163"/>
      <c r="AC24" s="163"/>
      <c r="AD24" s="163"/>
      <c r="AE24" s="163"/>
      <c r="AF24" s="163"/>
      <c r="AG24" s="164"/>
      <c r="AH24" s="165"/>
      <c r="AI24" s="166"/>
      <c r="AJ24" s="167"/>
      <c r="AK24" s="168"/>
      <c r="AL24" s="168"/>
    </row>
    <row r="25" spans="1:38" ht="31.95" customHeight="1" x14ac:dyDescent="0.3">
      <c r="A25" s="176">
        <v>44074</v>
      </c>
      <c r="B25" s="177">
        <v>0.55436342592592591</v>
      </c>
      <c r="C25" s="149"/>
      <c r="D25" s="149">
        <v>120</v>
      </c>
      <c r="E25" s="149"/>
      <c r="F25" s="149"/>
      <c r="G25" s="150">
        <v>3</v>
      </c>
      <c r="H25" s="151" t="s">
        <v>62</v>
      </c>
      <c r="I25" s="178" t="s">
        <v>58</v>
      </c>
      <c r="J25" s="152"/>
      <c r="K25" s="153">
        <v>2500</v>
      </c>
      <c r="L25" s="154">
        <v>3</v>
      </c>
      <c r="M25" s="155">
        <v>4.7300000000000004</v>
      </c>
      <c r="N25" s="155" t="s">
        <v>170</v>
      </c>
      <c r="O25" s="156" t="s">
        <v>75</v>
      </c>
      <c r="P25" s="157" t="s">
        <v>58</v>
      </c>
      <c r="Q25" s="158" t="s">
        <v>58</v>
      </c>
      <c r="R25" s="159"/>
      <c r="S25" s="159"/>
      <c r="T25" s="160"/>
      <c r="U25" s="171"/>
      <c r="V25" s="161">
        <v>4.0999999999999996</v>
      </c>
      <c r="W25" s="161">
        <v>3</v>
      </c>
      <c r="X25" s="164">
        <v>5.5</v>
      </c>
      <c r="Y25" s="163"/>
      <c r="Z25" s="163"/>
      <c r="AA25" s="163"/>
      <c r="AB25" s="163"/>
      <c r="AC25" s="163"/>
      <c r="AD25" s="163"/>
      <c r="AE25" s="163"/>
      <c r="AF25" s="163"/>
      <c r="AG25" s="164"/>
      <c r="AH25" s="165"/>
      <c r="AI25" s="166"/>
      <c r="AJ25" s="167" t="s">
        <v>337</v>
      </c>
      <c r="AK25" s="168"/>
      <c r="AL25" s="168"/>
    </row>
    <row r="26" spans="1:38" ht="31.95" customHeight="1" x14ac:dyDescent="0.3">
      <c r="A26" s="176">
        <v>44074</v>
      </c>
      <c r="B26" s="177">
        <v>0.55593749999999997</v>
      </c>
      <c r="C26" s="149"/>
      <c r="D26" s="149">
        <v>30</v>
      </c>
      <c r="E26" s="149"/>
      <c r="F26" s="149"/>
      <c r="G26" s="150">
        <v>3</v>
      </c>
      <c r="H26" s="151" t="s">
        <v>66</v>
      </c>
      <c r="I26" s="170" t="s">
        <v>317</v>
      </c>
      <c r="J26" s="152"/>
      <c r="K26" s="153">
        <v>2500</v>
      </c>
      <c r="L26" s="154">
        <v>1</v>
      </c>
      <c r="M26" s="155">
        <v>0.9</v>
      </c>
      <c r="N26" s="155" t="s">
        <v>74</v>
      </c>
      <c r="O26" s="156" t="s">
        <v>75</v>
      </c>
      <c r="P26" s="157" t="s">
        <v>58</v>
      </c>
      <c r="Q26" s="158" t="s">
        <v>58</v>
      </c>
      <c r="R26" s="159"/>
      <c r="S26" s="159"/>
      <c r="T26" s="160"/>
      <c r="U26" s="171"/>
      <c r="V26" s="161"/>
      <c r="W26" s="161"/>
      <c r="X26" s="164"/>
      <c r="Y26" s="163"/>
      <c r="Z26" s="163"/>
      <c r="AA26" s="163"/>
      <c r="AB26" s="163"/>
      <c r="AC26" s="163"/>
      <c r="AD26" s="163"/>
      <c r="AE26" s="163"/>
      <c r="AF26" s="163"/>
      <c r="AG26" s="164"/>
      <c r="AH26" s="165"/>
      <c r="AI26" s="166"/>
      <c r="AJ26" s="167"/>
      <c r="AK26" s="168"/>
      <c r="AL26" s="168"/>
    </row>
    <row r="27" spans="1:38" ht="31.95" customHeight="1" x14ac:dyDescent="0.3">
      <c r="A27" s="176">
        <v>44074</v>
      </c>
      <c r="B27" s="177">
        <v>0.55653935185185188</v>
      </c>
      <c r="C27" s="149"/>
      <c r="D27" s="149">
        <v>60</v>
      </c>
      <c r="E27" s="149"/>
      <c r="F27" s="149"/>
      <c r="G27" s="150">
        <v>3</v>
      </c>
      <c r="H27" s="151" t="s">
        <v>77</v>
      </c>
      <c r="I27" s="178" t="s">
        <v>58</v>
      </c>
      <c r="J27" s="152"/>
      <c r="K27" s="153">
        <v>2500</v>
      </c>
      <c r="L27" s="154">
        <v>1</v>
      </c>
      <c r="M27" s="155">
        <v>0.9</v>
      </c>
      <c r="N27" s="155" t="s">
        <v>74</v>
      </c>
      <c r="O27" s="156" t="s">
        <v>75</v>
      </c>
      <c r="P27" s="157" t="s">
        <v>58</v>
      </c>
      <c r="Q27" s="158" t="s">
        <v>58</v>
      </c>
      <c r="R27" s="159"/>
      <c r="S27" s="159"/>
      <c r="T27" s="160"/>
      <c r="U27" s="171"/>
      <c r="V27" s="161">
        <v>4.2</v>
      </c>
      <c r="W27" s="161">
        <v>3</v>
      </c>
      <c r="X27" s="164">
        <v>5.5</v>
      </c>
      <c r="Y27" s="163"/>
      <c r="Z27" s="163"/>
      <c r="AA27" s="163"/>
      <c r="AB27" s="163"/>
      <c r="AC27" s="163"/>
      <c r="AD27" s="163"/>
      <c r="AE27" s="163"/>
      <c r="AF27" s="163"/>
      <c r="AG27" s="164"/>
      <c r="AH27" s="165"/>
      <c r="AI27" s="166"/>
      <c r="AJ27" s="167"/>
      <c r="AK27" s="168"/>
      <c r="AL27" s="168"/>
    </row>
    <row r="28" spans="1:38" ht="31.95" customHeight="1" x14ac:dyDescent="0.3">
      <c r="A28" s="176">
        <v>44074</v>
      </c>
      <c r="B28" s="177">
        <v>0.55746527777777777</v>
      </c>
      <c r="C28" s="149"/>
      <c r="D28" s="149">
        <v>30</v>
      </c>
      <c r="E28" s="149"/>
      <c r="F28" s="149"/>
      <c r="G28" s="150" t="s">
        <v>58</v>
      </c>
      <c r="H28" s="151" t="s">
        <v>66</v>
      </c>
      <c r="I28" s="170" t="s">
        <v>67</v>
      </c>
      <c r="J28" s="152"/>
      <c r="K28" s="153">
        <v>2800</v>
      </c>
      <c r="L28" s="154">
        <v>1</v>
      </c>
      <c r="M28" s="155">
        <v>0.9</v>
      </c>
      <c r="N28" s="155" t="s">
        <v>74</v>
      </c>
      <c r="O28" s="156" t="s">
        <v>75</v>
      </c>
      <c r="P28" s="157" t="s">
        <v>58</v>
      </c>
      <c r="Q28" s="158" t="s">
        <v>58</v>
      </c>
      <c r="R28" s="159"/>
      <c r="S28" s="159"/>
      <c r="T28" s="160"/>
      <c r="U28" s="171"/>
      <c r="V28" s="161"/>
      <c r="W28" s="161"/>
      <c r="X28" s="164"/>
      <c r="Y28" s="163"/>
      <c r="Z28" s="163"/>
      <c r="AA28" s="163"/>
      <c r="AB28" s="163"/>
      <c r="AC28" s="163"/>
      <c r="AD28" s="163"/>
      <c r="AE28" s="163"/>
      <c r="AF28" s="163"/>
      <c r="AG28" s="164"/>
      <c r="AH28" s="165"/>
      <c r="AI28" s="166"/>
      <c r="AJ28" s="168"/>
      <c r="AK28" s="168"/>
      <c r="AL28" s="168"/>
    </row>
    <row r="29" spans="1:38" ht="31.95" customHeight="1" x14ac:dyDescent="0.3">
      <c r="A29" s="147">
        <v>44074</v>
      </c>
      <c r="B29" s="148">
        <v>0.55789351851851854</v>
      </c>
      <c r="C29" s="149"/>
      <c r="D29" s="149">
        <v>120</v>
      </c>
      <c r="E29" s="149"/>
      <c r="F29" s="149"/>
      <c r="G29" s="150">
        <v>4</v>
      </c>
      <c r="H29" s="151" t="s">
        <v>62</v>
      </c>
      <c r="I29" s="170" t="s">
        <v>58</v>
      </c>
      <c r="J29" s="152"/>
      <c r="K29" s="153">
        <v>2800</v>
      </c>
      <c r="L29" s="154">
        <v>1</v>
      </c>
      <c r="M29" s="155">
        <v>0.9</v>
      </c>
      <c r="N29" s="155" t="s">
        <v>74</v>
      </c>
      <c r="O29" s="156" t="s">
        <v>75</v>
      </c>
      <c r="P29" s="157" t="s">
        <v>58</v>
      </c>
      <c r="Q29" s="158" t="s">
        <v>58</v>
      </c>
      <c r="R29" s="171"/>
      <c r="S29" s="171"/>
      <c r="T29" s="172"/>
      <c r="U29" s="171"/>
      <c r="V29" s="173">
        <v>4.7</v>
      </c>
      <c r="W29" s="173">
        <v>4.0999999999999996</v>
      </c>
      <c r="X29" s="162"/>
      <c r="Y29" s="174"/>
      <c r="Z29" s="174"/>
      <c r="AA29" s="174"/>
      <c r="AB29" s="174"/>
      <c r="AC29" s="174"/>
      <c r="AD29" s="174"/>
      <c r="AE29" s="174"/>
      <c r="AF29" s="174"/>
      <c r="AG29" s="162"/>
      <c r="AH29" s="175"/>
      <c r="AI29" s="166" t="s">
        <v>78</v>
      </c>
      <c r="AJ29" s="167" t="s">
        <v>338</v>
      </c>
      <c r="AK29" s="168"/>
      <c r="AL29" s="168"/>
    </row>
    <row r="30" spans="1:38" ht="31.95" customHeight="1" x14ac:dyDescent="0.3">
      <c r="A30" s="147">
        <v>44074</v>
      </c>
      <c r="B30" s="148">
        <v>0.55956018518518513</v>
      </c>
      <c r="C30" s="149"/>
      <c r="D30" s="149">
        <v>30</v>
      </c>
      <c r="E30" s="149"/>
      <c r="F30" s="149"/>
      <c r="G30" s="150">
        <v>4</v>
      </c>
      <c r="H30" s="151" t="s">
        <v>66</v>
      </c>
      <c r="I30" s="170" t="s">
        <v>326</v>
      </c>
      <c r="J30" s="152"/>
      <c r="K30" s="153">
        <v>2800</v>
      </c>
      <c r="L30" s="154">
        <v>2</v>
      </c>
      <c r="M30" s="155">
        <v>4.3099999999999996</v>
      </c>
      <c r="N30" s="155" t="s">
        <v>76</v>
      </c>
      <c r="O30" s="156" t="s">
        <v>75</v>
      </c>
      <c r="P30" s="157" t="s">
        <v>58</v>
      </c>
      <c r="Q30" s="158" t="s">
        <v>58</v>
      </c>
      <c r="R30" s="171"/>
      <c r="S30" s="171"/>
      <c r="T30" s="172"/>
      <c r="U30" s="171"/>
      <c r="V30" s="173"/>
      <c r="W30" s="173"/>
      <c r="X30" s="162"/>
      <c r="Y30" s="174"/>
      <c r="Z30" s="174"/>
      <c r="AA30" s="174"/>
      <c r="AB30" s="174"/>
      <c r="AC30" s="174"/>
      <c r="AD30" s="174"/>
      <c r="AE30" s="174"/>
      <c r="AF30" s="174"/>
      <c r="AG30" s="162"/>
      <c r="AH30" s="175"/>
      <c r="AI30" s="166"/>
      <c r="AJ30" s="168"/>
      <c r="AK30" s="168"/>
      <c r="AL30" s="168"/>
    </row>
    <row r="31" spans="1:38" ht="31.95" customHeight="1" x14ac:dyDescent="0.3">
      <c r="A31" s="176">
        <v>44074</v>
      </c>
      <c r="B31" s="177">
        <v>0.5599884259259259</v>
      </c>
      <c r="C31" s="149"/>
      <c r="D31" s="149">
        <v>120</v>
      </c>
      <c r="E31" s="149"/>
      <c r="F31" s="149"/>
      <c r="G31" s="150">
        <v>4</v>
      </c>
      <c r="H31" s="151" t="s">
        <v>62</v>
      </c>
      <c r="I31" s="178" t="s">
        <v>58</v>
      </c>
      <c r="J31" s="152"/>
      <c r="K31" s="153">
        <v>2800</v>
      </c>
      <c r="L31" s="154">
        <v>2</v>
      </c>
      <c r="M31" s="155">
        <v>4.3099999999999996</v>
      </c>
      <c r="N31" s="155" t="s">
        <v>76</v>
      </c>
      <c r="O31" s="156" t="s">
        <v>75</v>
      </c>
      <c r="P31" s="157" t="s">
        <v>58</v>
      </c>
      <c r="Q31" s="158" t="s">
        <v>58</v>
      </c>
      <c r="R31" s="159"/>
      <c r="S31" s="159"/>
      <c r="T31" s="160"/>
      <c r="U31" s="171"/>
      <c r="V31" s="161">
        <v>4.7</v>
      </c>
      <c r="W31" s="161">
        <v>4.0999999999999996</v>
      </c>
      <c r="X31" s="164">
        <v>6.21</v>
      </c>
      <c r="Y31" s="163"/>
      <c r="Z31" s="163"/>
      <c r="AA31" s="163"/>
      <c r="AB31" s="163"/>
      <c r="AC31" s="163"/>
      <c r="AD31" s="163"/>
      <c r="AE31" s="163"/>
      <c r="AF31" s="163"/>
      <c r="AG31" s="164"/>
      <c r="AH31" s="165"/>
      <c r="AI31" s="166" t="s">
        <v>78</v>
      </c>
      <c r="AJ31" s="167" t="s">
        <v>338</v>
      </c>
      <c r="AK31" s="168"/>
      <c r="AL31" s="168"/>
    </row>
    <row r="32" spans="1:38" ht="31.95" customHeight="1" x14ac:dyDescent="0.3">
      <c r="A32" s="176">
        <v>44074</v>
      </c>
      <c r="B32" s="177">
        <v>0.56144675925925924</v>
      </c>
      <c r="C32" s="149"/>
      <c r="D32" s="149">
        <v>30</v>
      </c>
      <c r="E32" s="149"/>
      <c r="F32" s="149"/>
      <c r="G32" s="150">
        <v>4</v>
      </c>
      <c r="H32" s="151" t="s">
        <v>66</v>
      </c>
      <c r="I32" s="170" t="s">
        <v>326</v>
      </c>
      <c r="J32" s="152"/>
      <c r="K32" s="153">
        <v>2800</v>
      </c>
      <c r="L32" s="154">
        <v>3</v>
      </c>
      <c r="M32" s="155">
        <v>4.7300000000000004</v>
      </c>
      <c r="N32" s="155" t="s">
        <v>170</v>
      </c>
      <c r="O32" s="156" t="s">
        <v>75</v>
      </c>
      <c r="P32" s="157" t="s">
        <v>58</v>
      </c>
      <c r="Q32" s="158" t="s">
        <v>58</v>
      </c>
      <c r="R32" s="159"/>
      <c r="S32" s="159"/>
      <c r="T32" s="160"/>
      <c r="U32" s="171"/>
      <c r="V32" s="161"/>
      <c r="W32" s="161"/>
      <c r="X32" s="164"/>
      <c r="Y32" s="163"/>
      <c r="Z32" s="163"/>
      <c r="AA32" s="163"/>
      <c r="AB32" s="163"/>
      <c r="AC32" s="163"/>
      <c r="AD32" s="163"/>
      <c r="AE32" s="163"/>
      <c r="AF32" s="163"/>
      <c r="AG32" s="164"/>
      <c r="AH32" s="165"/>
      <c r="AI32" s="166"/>
      <c r="AJ32" s="167"/>
      <c r="AK32" s="168"/>
      <c r="AL32" s="168"/>
    </row>
    <row r="33" spans="1:38" ht="31.95" customHeight="1" x14ac:dyDescent="0.3">
      <c r="A33" s="176">
        <v>44074</v>
      </c>
      <c r="B33" s="177">
        <v>0.56194444444444447</v>
      </c>
      <c r="C33" s="149"/>
      <c r="D33" s="149">
        <v>120</v>
      </c>
      <c r="E33" s="149"/>
      <c r="F33" s="149"/>
      <c r="G33" s="150">
        <v>4</v>
      </c>
      <c r="H33" s="151" t="s">
        <v>62</v>
      </c>
      <c r="I33" s="178" t="s">
        <v>58</v>
      </c>
      <c r="J33" s="152"/>
      <c r="K33" s="153">
        <v>2800</v>
      </c>
      <c r="L33" s="154">
        <v>3</v>
      </c>
      <c r="M33" s="155">
        <v>4.7300000000000004</v>
      </c>
      <c r="N33" s="155" t="s">
        <v>170</v>
      </c>
      <c r="O33" s="156" t="s">
        <v>75</v>
      </c>
      <c r="P33" s="157" t="s">
        <v>58</v>
      </c>
      <c r="Q33" s="158" t="s">
        <v>58</v>
      </c>
      <c r="R33" s="159"/>
      <c r="S33" s="159"/>
      <c r="T33" s="160"/>
      <c r="U33" s="171"/>
      <c r="V33" s="161">
        <v>4.5999999999999996</v>
      </c>
      <c r="W33" s="161">
        <v>4.0999999999999996</v>
      </c>
      <c r="X33" s="164"/>
      <c r="Y33" s="163"/>
      <c r="Z33" s="163"/>
      <c r="AA33" s="163"/>
      <c r="AB33" s="163"/>
      <c r="AC33" s="163"/>
      <c r="AD33" s="163"/>
      <c r="AE33" s="163"/>
      <c r="AF33" s="163"/>
      <c r="AG33" s="164"/>
      <c r="AH33" s="165"/>
      <c r="AI33" s="166" t="s">
        <v>78</v>
      </c>
      <c r="AJ33" s="167" t="s">
        <v>339</v>
      </c>
      <c r="AK33" s="168"/>
      <c r="AL33" s="168"/>
    </row>
    <row r="34" spans="1:38" ht="31.95" customHeight="1" x14ac:dyDescent="0.3">
      <c r="A34" s="176">
        <v>44074</v>
      </c>
      <c r="B34" s="177">
        <v>0.56346064814814811</v>
      </c>
      <c r="C34" s="149"/>
      <c r="D34" s="149">
        <v>30</v>
      </c>
      <c r="E34" s="149"/>
      <c r="F34" s="149"/>
      <c r="G34" s="150">
        <v>4</v>
      </c>
      <c r="H34" s="151" t="s">
        <v>66</v>
      </c>
      <c r="I34" s="170" t="s">
        <v>317</v>
      </c>
      <c r="J34" s="152"/>
      <c r="K34" s="153">
        <v>2800</v>
      </c>
      <c r="L34" s="154">
        <v>1</v>
      </c>
      <c r="M34" s="155">
        <v>0.9</v>
      </c>
      <c r="N34" s="155" t="s">
        <v>74</v>
      </c>
      <c r="O34" s="156" t="s">
        <v>75</v>
      </c>
      <c r="P34" s="157" t="s">
        <v>58</v>
      </c>
      <c r="Q34" s="158" t="s">
        <v>58</v>
      </c>
      <c r="R34" s="159"/>
      <c r="S34" s="159"/>
      <c r="T34" s="160"/>
      <c r="U34" s="171"/>
      <c r="V34" s="161"/>
      <c r="W34" s="161"/>
      <c r="X34" s="164"/>
      <c r="Y34" s="163"/>
      <c r="Z34" s="163"/>
      <c r="AA34" s="163"/>
      <c r="AB34" s="163"/>
      <c r="AC34" s="163"/>
      <c r="AD34" s="163"/>
      <c r="AE34" s="163"/>
      <c r="AF34" s="163"/>
      <c r="AG34" s="164"/>
      <c r="AH34" s="165"/>
      <c r="AI34" s="166"/>
      <c r="AJ34" s="167"/>
      <c r="AK34" s="168"/>
      <c r="AL34" s="168"/>
    </row>
    <row r="35" spans="1:38" ht="31.95" customHeight="1" x14ac:dyDescent="0.3">
      <c r="A35" s="176">
        <v>44074</v>
      </c>
      <c r="B35" s="177">
        <v>0.56396990740740738</v>
      </c>
      <c r="C35" s="149"/>
      <c r="D35" s="149">
        <v>60</v>
      </c>
      <c r="E35" s="149"/>
      <c r="F35" s="149"/>
      <c r="G35" s="150">
        <v>4</v>
      </c>
      <c r="H35" s="151" t="s">
        <v>77</v>
      </c>
      <c r="I35" s="178" t="s">
        <v>58</v>
      </c>
      <c r="J35" s="152"/>
      <c r="K35" s="153">
        <v>2800</v>
      </c>
      <c r="L35" s="154">
        <v>1</v>
      </c>
      <c r="M35" s="155">
        <v>0.9</v>
      </c>
      <c r="N35" s="155" t="s">
        <v>74</v>
      </c>
      <c r="O35" s="156" t="s">
        <v>75</v>
      </c>
      <c r="P35" s="157" t="s">
        <v>58</v>
      </c>
      <c r="Q35" s="158" t="s">
        <v>58</v>
      </c>
      <c r="R35" s="159"/>
      <c r="S35" s="159"/>
      <c r="T35" s="160"/>
      <c r="U35" s="171"/>
      <c r="V35" s="161">
        <v>4.7</v>
      </c>
      <c r="W35" s="161">
        <v>4.0999999999999996</v>
      </c>
      <c r="X35" s="164">
        <v>6.22</v>
      </c>
      <c r="Y35" s="163"/>
      <c r="Z35" s="163"/>
      <c r="AA35" s="163"/>
      <c r="AB35" s="163"/>
      <c r="AC35" s="163"/>
      <c r="AD35" s="163"/>
      <c r="AE35" s="163"/>
      <c r="AF35" s="163"/>
      <c r="AG35" s="164"/>
      <c r="AH35" s="165"/>
      <c r="AI35" s="166"/>
      <c r="AJ35" s="167"/>
      <c r="AK35" s="168"/>
      <c r="AL35" s="168"/>
    </row>
    <row r="36" spans="1:38" ht="31.95" customHeight="1" x14ac:dyDescent="0.3">
      <c r="A36" s="176">
        <v>44074</v>
      </c>
      <c r="B36" s="177">
        <v>0.56473379629629628</v>
      </c>
      <c r="C36" s="149"/>
      <c r="D36" s="149">
        <v>30</v>
      </c>
      <c r="E36" s="149"/>
      <c r="F36" s="149"/>
      <c r="G36" s="150" t="s">
        <v>58</v>
      </c>
      <c r="H36" s="151" t="s">
        <v>66</v>
      </c>
      <c r="I36" s="170" t="s">
        <v>67</v>
      </c>
      <c r="J36" s="152"/>
      <c r="K36" s="153">
        <v>3100</v>
      </c>
      <c r="L36" s="154">
        <v>1</v>
      </c>
      <c r="M36" s="155">
        <v>0.9</v>
      </c>
      <c r="N36" s="155" t="s">
        <v>74</v>
      </c>
      <c r="O36" s="156" t="s">
        <v>75</v>
      </c>
      <c r="P36" s="157" t="s">
        <v>58</v>
      </c>
      <c r="Q36" s="158" t="s">
        <v>58</v>
      </c>
      <c r="R36" s="159"/>
      <c r="S36" s="159"/>
      <c r="T36" s="160"/>
      <c r="U36" s="171"/>
      <c r="V36" s="161"/>
      <c r="W36" s="161"/>
      <c r="X36" s="164"/>
      <c r="Y36" s="163"/>
      <c r="Z36" s="163"/>
      <c r="AA36" s="163"/>
      <c r="AB36" s="163"/>
      <c r="AC36" s="163"/>
      <c r="AD36" s="163"/>
      <c r="AE36" s="163"/>
      <c r="AF36" s="163"/>
      <c r="AG36" s="164"/>
      <c r="AH36" s="165"/>
      <c r="AI36" s="166"/>
      <c r="AJ36" s="167"/>
      <c r="AK36" s="168"/>
      <c r="AL36" s="168"/>
    </row>
    <row r="37" spans="1:38" ht="31.95" customHeight="1" x14ac:dyDescent="0.3">
      <c r="A37" s="147">
        <v>44074</v>
      </c>
      <c r="B37" s="148">
        <v>0.56520833333333331</v>
      </c>
      <c r="C37" s="149"/>
      <c r="D37" s="149">
        <v>120</v>
      </c>
      <c r="E37" s="149"/>
      <c r="F37" s="149"/>
      <c r="G37" s="150">
        <v>5</v>
      </c>
      <c r="H37" s="151" t="s">
        <v>62</v>
      </c>
      <c r="I37" s="170" t="s">
        <v>58</v>
      </c>
      <c r="J37" s="152"/>
      <c r="K37" s="153">
        <v>3100</v>
      </c>
      <c r="L37" s="154">
        <v>1</v>
      </c>
      <c r="M37" s="155">
        <v>0.9</v>
      </c>
      <c r="N37" s="155" t="s">
        <v>74</v>
      </c>
      <c r="O37" s="156" t="s">
        <v>75</v>
      </c>
      <c r="P37" s="157" t="s">
        <v>58</v>
      </c>
      <c r="Q37" s="158" t="s">
        <v>58</v>
      </c>
      <c r="R37" s="171"/>
      <c r="S37" s="171"/>
      <c r="T37" s="172"/>
      <c r="U37" s="171"/>
      <c r="V37" s="173">
        <v>5.5</v>
      </c>
      <c r="W37" s="173">
        <v>5.6</v>
      </c>
      <c r="X37" s="162">
        <v>6.95</v>
      </c>
      <c r="Y37" s="174"/>
      <c r="Z37" s="174"/>
      <c r="AA37" s="174"/>
      <c r="AB37" s="174"/>
      <c r="AC37" s="174"/>
      <c r="AD37" s="174"/>
      <c r="AE37" s="174"/>
      <c r="AF37" s="174"/>
      <c r="AG37" s="162"/>
      <c r="AH37" s="175"/>
      <c r="AI37" s="166"/>
      <c r="AJ37" s="168"/>
      <c r="AK37" s="168"/>
      <c r="AL37" s="168"/>
    </row>
    <row r="38" spans="1:38" ht="31.95" customHeight="1" x14ac:dyDescent="0.3">
      <c r="A38" s="147">
        <v>44074</v>
      </c>
      <c r="B38" s="148">
        <v>0.56684027777777779</v>
      </c>
      <c r="C38" s="149"/>
      <c r="D38" s="149">
        <v>30</v>
      </c>
      <c r="E38" s="149"/>
      <c r="F38" s="149"/>
      <c r="G38" s="150">
        <v>5</v>
      </c>
      <c r="H38" s="151" t="s">
        <v>66</v>
      </c>
      <c r="I38" s="170" t="s">
        <v>326</v>
      </c>
      <c r="J38" s="152"/>
      <c r="K38" s="153">
        <v>3100</v>
      </c>
      <c r="L38" s="154">
        <v>2</v>
      </c>
      <c r="M38" s="155">
        <v>4.3099999999999996</v>
      </c>
      <c r="N38" s="155" t="s">
        <v>76</v>
      </c>
      <c r="O38" s="156" t="s">
        <v>75</v>
      </c>
      <c r="P38" s="157" t="s">
        <v>58</v>
      </c>
      <c r="Q38" s="158" t="s">
        <v>58</v>
      </c>
      <c r="R38" s="171"/>
      <c r="S38" s="171"/>
      <c r="T38" s="172"/>
      <c r="U38" s="171"/>
      <c r="V38" s="173"/>
      <c r="W38" s="173"/>
      <c r="X38" s="162"/>
      <c r="Y38" s="174"/>
      <c r="Z38" s="174"/>
      <c r="AA38" s="174"/>
      <c r="AB38" s="174"/>
      <c r="AC38" s="174"/>
      <c r="AD38" s="174"/>
      <c r="AE38" s="174"/>
      <c r="AF38" s="174"/>
      <c r="AG38" s="162"/>
      <c r="AH38" s="175"/>
      <c r="AI38" s="166"/>
      <c r="AJ38" s="168"/>
      <c r="AK38" s="168"/>
      <c r="AL38" s="168"/>
    </row>
    <row r="39" spans="1:38" ht="31.95" customHeight="1" x14ac:dyDescent="0.3">
      <c r="A39" s="176">
        <v>44074</v>
      </c>
      <c r="B39" s="177">
        <v>0.56730324074074068</v>
      </c>
      <c r="C39" s="149"/>
      <c r="D39" s="149">
        <v>120</v>
      </c>
      <c r="E39" s="149"/>
      <c r="F39" s="149"/>
      <c r="G39" s="150">
        <v>5</v>
      </c>
      <c r="H39" s="151" t="s">
        <v>62</v>
      </c>
      <c r="I39" s="178" t="s">
        <v>58</v>
      </c>
      <c r="J39" s="152"/>
      <c r="K39" s="153">
        <v>3100</v>
      </c>
      <c r="L39" s="154">
        <v>2</v>
      </c>
      <c r="M39" s="155">
        <v>4.3099999999999996</v>
      </c>
      <c r="N39" s="155" t="s">
        <v>76</v>
      </c>
      <c r="O39" s="156" t="s">
        <v>75</v>
      </c>
      <c r="P39" s="157" t="s">
        <v>58</v>
      </c>
      <c r="Q39" s="158" t="s">
        <v>58</v>
      </c>
      <c r="R39" s="159"/>
      <c r="S39" s="159"/>
      <c r="T39" s="160"/>
      <c r="U39" s="171"/>
      <c r="V39" s="161">
        <v>5.5</v>
      </c>
      <c r="W39" s="161">
        <v>5.6</v>
      </c>
      <c r="X39" s="164">
        <v>6.94</v>
      </c>
      <c r="Y39" s="163"/>
      <c r="Z39" s="163"/>
      <c r="AA39" s="163"/>
      <c r="AB39" s="163"/>
      <c r="AC39" s="163"/>
      <c r="AD39" s="163"/>
      <c r="AE39" s="163"/>
      <c r="AF39" s="163"/>
      <c r="AG39" s="164"/>
      <c r="AH39" s="165"/>
      <c r="AI39" s="166"/>
      <c r="AJ39" s="167"/>
      <c r="AK39" s="168"/>
      <c r="AL39" s="168"/>
    </row>
    <row r="40" spans="1:38" ht="31.95" customHeight="1" x14ac:dyDescent="0.3">
      <c r="A40" s="176">
        <v>44074</v>
      </c>
      <c r="B40" s="177">
        <v>0.56878472222222221</v>
      </c>
      <c r="C40" s="149"/>
      <c r="D40" s="149">
        <v>30</v>
      </c>
      <c r="E40" s="149"/>
      <c r="F40" s="149"/>
      <c r="G40" s="150">
        <v>5</v>
      </c>
      <c r="H40" s="151" t="s">
        <v>66</v>
      </c>
      <c r="I40" s="170" t="s">
        <v>326</v>
      </c>
      <c r="J40" s="152"/>
      <c r="K40" s="153">
        <v>3100</v>
      </c>
      <c r="L40" s="154">
        <v>3</v>
      </c>
      <c r="M40" s="155">
        <v>4.7300000000000004</v>
      </c>
      <c r="N40" s="155" t="s">
        <v>170</v>
      </c>
      <c r="O40" s="156" t="s">
        <v>75</v>
      </c>
      <c r="P40" s="157" t="s">
        <v>58</v>
      </c>
      <c r="Q40" s="158" t="s">
        <v>58</v>
      </c>
      <c r="R40" s="159"/>
      <c r="S40" s="159"/>
      <c r="T40" s="160"/>
      <c r="U40" s="171"/>
      <c r="V40" s="161"/>
      <c r="W40" s="161"/>
      <c r="X40" s="164"/>
      <c r="Y40" s="163"/>
      <c r="Z40" s="163"/>
      <c r="AA40" s="163"/>
      <c r="AB40" s="163"/>
      <c r="AC40" s="163"/>
      <c r="AD40" s="163"/>
      <c r="AE40" s="163"/>
      <c r="AF40" s="163"/>
      <c r="AG40" s="164"/>
      <c r="AH40" s="165"/>
      <c r="AI40" s="166"/>
      <c r="AJ40" s="167"/>
      <c r="AK40" s="168"/>
      <c r="AL40" s="168"/>
    </row>
    <row r="41" spans="1:38" ht="31.95" customHeight="1" x14ac:dyDescent="0.3">
      <c r="A41" s="176">
        <v>44074</v>
      </c>
      <c r="B41" s="177">
        <v>0.56923611111111116</v>
      </c>
      <c r="C41" s="149"/>
      <c r="D41" s="149">
        <v>120</v>
      </c>
      <c r="E41" s="149"/>
      <c r="F41" s="149"/>
      <c r="G41" s="150">
        <v>5</v>
      </c>
      <c r="H41" s="151" t="s">
        <v>62</v>
      </c>
      <c r="I41" s="178" t="s">
        <v>58</v>
      </c>
      <c r="J41" s="152"/>
      <c r="K41" s="153">
        <v>3100</v>
      </c>
      <c r="L41" s="154">
        <v>3</v>
      </c>
      <c r="M41" s="155">
        <v>4.7300000000000004</v>
      </c>
      <c r="N41" s="155" t="s">
        <v>170</v>
      </c>
      <c r="O41" s="156" t="s">
        <v>75</v>
      </c>
      <c r="P41" s="157" t="s">
        <v>58</v>
      </c>
      <c r="Q41" s="158" t="s">
        <v>58</v>
      </c>
      <c r="R41" s="159"/>
      <c r="S41" s="159"/>
      <c r="T41" s="160"/>
      <c r="U41" s="171"/>
      <c r="V41" s="161">
        <v>5.5</v>
      </c>
      <c r="W41" s="161">
        <v>5.6</v>
      </c>
      <c r="X41" s="164">
        <v>6.94</v>
      </c>
      <c r="Y41" s="163"/>
      <c r="Z41" s="163"/>
      <c r="AA41" s="163"/>
      <c r="AB41" s="163"/>
      <c r="AC41" s="163"/>
      <c r="AD41" s="163"/>
      <c r="AE41" s="163"/>
      <c r="AF41" s="163"/>
      <c r="AG41" s="164"/>
      <c r="AH41" s="165"/>
      <c r="AI41" s="166"/>
      <c r="AJ41" s="167" t="s">
        <v>339</v>
      </c>
      <c r="AK41" s="168"/>
      <c r="AL41" s="168"/>
    </row>
    <row r="42" spans="1:38" ht="31.95" customHeight="1" x14ac:dyDescent="0.3">
      <c r="A42" s="176">
        <v>44074</v>
      </c>
      <c r="B42" s="177">
        <v>0.57068287037037035</v>
      </c>
      <c r="C42" s="149"/>
      <c r="D42" s="149">
        <v>30</v>
      </c>
      <c r="E42" s="149"/>
      <c r="F42" s="149"/>
      <c r="G42" s="150">
        <v>5</v>
      </c>
      <c r="H42" s="151" t="s">
        <v>66</v>
      </c>
      <c r="I42" s="170" t="s">
        <v>317</v>
      </c>
      <c r="J42" s="152"/>
      <c r="K42" s="153">
        <v>3100</v>
      </c>
      <c r="L42" s="154">
        <v>1</v>
      </c>
      <c r="M42" s="155">
        <v>0.9</v>
      </c>
      <c r="N42" s="155" t="s">
        <v>74</v>
      </c>
      <c r="O42" s="156" t="s">
        <v>75</v>
      </c>
      <c r="P42" s="157" t="s">
        <v>58</v>
      </c>
      <c r="Q42" s="158" t="s">
        <v>58</v>
      </c>
      <c r="R42" s="159"/>
      <c r="S42" s="159"/>
      <c r="T42" s="160"/>
      <c r="U42" s="171"/>
      <c r="V42" s="161"/>
      <c r="W42" s="161"/>
      <c r="X42" s="164"/>
      <c r="Y42" s="163"/>
      <c r="Z42" s="163"/>
      <c r="AA42" s="163"/>
      <c r="AB42" s="163"/>
      <c r="AC42" s="163"/>
      <c r="AD42" s="163"/>
      <c r="AE42" s="163"/>
      <c r="AF42" s="163"/>
      <c r="AG42" s="164"/>
      <c r="AH42" s="165"/>
      <c r="AI42" s="166"/>
      <c r="AJ42" s="167"/>
      <c r="AK42" s="168"/>
      <c r="AL42" s="168"/>
    </row>
    <row r="43" spans="1:38" ht="31.95" customHeight="1" x14ac:dyDescent="0.3">
      <c r="A43" s="176">
        <v>44074</v>
      </c>
      <c r="B43" s="177">
        <v>0.57115740740740739</v>
      </c>
      <c r="C43" s="149"/>
      <c r="D43" s="149">
        <v>60</v>
      </c>
      <c r="E43" s="149"/>
      <c r="F43" s="149"/>
      <c r="G43" s="150">
        <v>5</v>
      </c>
      <c r="H43" s="151" t="s">
        <v>77</v>
      </c>
      <c r="I43" s="178" t="s">
        <v>58</v>
      </c>
      <c r="J43" s="152"/>
      <c r="K43" s="153">
        <v>3100</v>
      </c>
      <c r="L43" s="154">
        <v>1</v>
      </c>
      <c r="M43" s="155">
        <v>0.9</v>
      </c>
      <c r="N43" s="155" t="s">
        <v>74</v>
      </c>
      <c r="O43" s="156" t="s">
        <v>75</v>
      </c>
      <c r="P43" s="157" t="s">
        <v>58</v>
      </c>
      <c r="Q43" s="158" t="s">
        <v>58</v>
      </c>
      <c r="R43" s="159"/>
      <c r="S43" s="159"/>
      <c r="T43" s="160"/>
      <c r="U43" s="171"/>
      <c r="V43" s="161">
        <v>5.5</v>
      </c>
      <c r="W43" s="161">
        <v>5.6</v>
      </c>
      <c r="X43" s="164">
        <v>6.93</v>
      </c>
      <c r="Y43" s="163"/>
      <c r="Z43" s="163"/>
      <c r="AA43" s="163"/>
      <c r="AB43" s="163"/>
      <c r="AC43" s="163"/>
      <c r="AD43" s="163"/>
      <c r="AE43" s="163"/>
      <c r="AF43" s="163"/>
      <c r="AG43" s="164"/>
      <c r="AH43" s="165"/>
      <c r="AI43" s="166"/>
      <c r="AJ43" s="167"/>
      <c r="AK43" s="168"/>
      <c r="AL43" s="168"/>
    </row>
    <row r="44" spans="1:38" ht="31.95" customHeight="1" x14ac:dyDescent="0.3">
      <c r="A44" s="176">
        <v>44074</v>
      </c>
      <c r="B44" s="177">
        <v>0.57210648148148147</v>
      </c>
      <c r="C44" s="149"/>
      <c r="D44" s="149">
        <v>30</v>
      </c>
      <c r="E44" s="149"/>
      <c r="F44" s="149"/>
      <c r="G44" s="150" t="s">
        <v>58</v>
      </c>
      <c r="H44" s="151" t="s">
        <v>72</v>
      </c>
      <c r="I44" s="170" t="s">
        <v>67</v>
      </c>
      <c r="J44" s="152"/>
      <c r="K44" s="153">
        <v>2200</v>
      </c>
      <c r="L44" s="154" t="s">
        <v>58</v>
      </c>
      <c r="M44" s="155" t="s">
        <v>58</v>
      </c>
      <c r="N44" s="155" t="s">
        <v>58</v>
      </c>
      <c r="O44" s="156" t="s">
        <v>58</v>
      </c>
      <c r="P44" s="157" t="s">
        <v>58</v>
      </c>
      <c r="Q44" s="158" t="s">
        <v>58</v>
      </c>
      <c r="R44" s="171"/>
      <c r="S44" s="171"/>
      <c r="T44" s="172"/>
      <c r="U44" s="171"/>
      <c r="V44" s="173"/>
      <c r="W44" s="173"/>
      <c r="X44" s="162"/>
      <c r="Y44" s="174"/>
      <c r="Z44" s="174"/>
      <c r="AA44" s="174"/>
      <c r="AB44" s="174"/>
      <c r="AC44" s="174"/>
      <c r="AD44" s="174"/>
      <c r="AE44" s="174"/>
      <c r="AF44" s="174"/>
      <c r="AG44" s="162"/>
      <c r="AH44" s="175"/>
      <c r="AI44" s="166"/>
      <c r="AJ44" s="168"/>
      <c r="AK44" s="168"/>
      <c r="AL44" s="168"/>
    </row>
    <row r="45" spans="1:38" ht="31.95" customHeight="1" x14ac:dyDescent="0.3">
      <c r="A45" s="147"/>
      <c r="B45" s="148"/>
      <c r="C45" s="149"/>
      <c r="D45" s="149" t="s">
        <v>58</v>
      </c>
      <c r="E45" s="149"/>
      <c r="F45" s="149"/>
      <c r="G45" s="150" t="s">
        <v>58</v>
      </c>
      <c r="H45" s="151" t="s">
        <v>72</v>
      </c>
      <c r="I45" s="170" t="s">
        <v>79</v>
      </c>
      <c r="J45" s="152"/>
      <c r="K45" s="153">
        <v>2200</v>
      </c>
      <c r="L45" s="154" t="s">
        <v>58</v>
      </c>
      <c r="M45" s="155" t="s">
        <v>58</v>
      </c>
      <c r="N45" s="155" t="s">
        <v>58</v>
      </c>
      <c r="O45" s="156" t="s">
        <v>58</v>
      </c>
      <c r="P45" s="157" t="s">
        <v>58</v>
      </c>
      <c r="Q45" s="158" t="s">
        <v>58</v>
      </c>
      <c r="R45" s="171"/>
      <c r="S45" s="171"/>
      <c r="T45" s="172"/>
      <c r="U45" s="171"/>
      <c r="V45" s="173"/>
      <c r="W45" s="173"/>
      <c r="X45" s="162"/>
      <c r="Y45" s="174"/>
      <c r="Z45" s="174"/>
      <c r="AA45" s="174"/>
      <c r="AB45" s="174"/>
      <c r="AC45" s="174"/>
      <c r="AD45" s="174"/>
      <c r="AE45" s="174"/>
      <c r="AF45" s="174"/>
      <c r="AG45" s="162"/>
      <c r="AH45" s="175"/>
      <c r="AI45" s="166"/>
      <c r="AJ45" s="168"/>
      <c r="AK45" s="168"/>
      <c r="AL45" s="168"/>
    </row>
    <row r="46" spans="1:38" ht="31.95" customHeight="1" x14ac:dyDescent="0.3">
      <c r="A46" s="147"/>
      <c r="B46" s="148"/>
      <c r="C46" s="149"/>
      <c r="D46" s="149" t="s">
        <v>58</v>
      </c>
      <c r="E46" s="149"/>
      <c r="F46" s="149"/>
      <c r="G46" s="150" t="s">
        <v>58</v>
      </c>
      <c r="H46" s="151" t="s">
        <v>72</v>
      </c>
      <c r="I46" s="170" t="s">
        <v>73</v>
      </c>
      <c r="J46" s="152"/>
      <c r="K46" s="153">
        <v>2200</v>
      </c>
      <c r="L46" s="154">
        <v>1</v>
      </c>
      <c r="M46" s="155">
        <v>1.73</v>
      </c>
      <c r="N46" s="155" t="s">
        <v>74</v>
      </c>
      <c r="O46" s="156" t="s">
        <v>80</v>
      </c>
      <c r="P46" s="157" t="s">
        <v>58</v>
      </c>
      <c r="Q46" s="158" t="s">
        <v>58</v>
      </c>
      <c r="R46" s="171"/>
      <c r="S46" s="171"/>
      <c r="T46" s="172"/>
      <c r="U46" s="171"/>
      <c r="V46" s="173"/>
      <c r="W46" s="173"/>
      <c r="X46" s="162"/>
      <c r="Y46" s="174"/>
      <c r="Z46" s="174"/>
      <c r="AA46" s="174"/>
      <c r="AB46" s="174"/>
      <c r="AC46" s="174"/>
      <c r="AD46" s="174"/>
      <c r="AE46" s="174"/>
      <c r="AF46" s="174"/>
      <c r="AG46" s="162"/>
      <c r="AH46" s="175"/>
      <c r="AI46" s="166" t="s">
        <v>63</v>
      </c>
      <c r="AJ46" s="168" t="s">
        <v>340</v>
      </c>
      <c r="AK46" s="168"/>
      <c r="AL46" s="168"/>
    </row>
    <row r="47" spans="1:38" ht="31.95" customHeight="1" x14ac:dyDescent="0.3">
      <c r="A47" s="147">
        <v>44074</v>
      </c>
      <c r="B47" s="148">
        <v>0.57527777777777778</v>
      </c>
      <c r="C47" s="149"/>
      <c r="D47" s="149">
        <v>120</v>
      </c>
      <c r="E47" s="149"/>
      <c r="F47" s="149"/>
      <c r="G47" s="150">
        <v>6</v>
      </c>
      <c r="H47" s="151" t="s">
        <v>62</v>
      </c>
      <c r="I47" s="170" t="s">
        <v>58</v>
      </c>
      <c r="J47" s="152"/>
      <c r="K47" s="153">
        <v>2200</v>
      </c>
      <c r="L47" s="154">
        <v>1</v>
      </c>
      <c r="M47" s="155">
        <v>1.73</v>
      </c>
      <c r="N47" s="155" t="s">
        <v>74</v>
      </c>
      <c r="O47" s="156" t="s">
        <v>80</v>
      </c>
      <c r="P47" s="157" t="s">
        <v>58</v>
      </c>
      <c r="Q47" s="158" t="s">
        <v>58</v>
      </c>
      <c r="R47" s="171"/>
      <c r="S47" s="171"/>
      <c r="T47" s="172"/>
      <c r="U47" s="171"/>
      <c r="V47" s="173">
        <v>3.4</v>
      </c>
      <c r="W47" s="173">
        <v>2.1</v>
      </c>
      <c r="X47" s="162">
        <v>4.8</v>
      </c>
      <c r="Y47" s="174"/>
      <c r="Z47" s="174"/>
      <c r="AA47" s="174"/>
      <c r="AB47" s="174"/>
      <c r="AC47" s="174"/>
      <c r="AD47" s="174"/>
      <c r="AE47" s="174"/>
      <c r="AF47" s="174"/>
      <c r="AG47" s="162"/>
      <c r="AH47" s="175"/>
      <c r="AI47" s="166"/>
      <c r="AJ47" s="168"/>
      <c r="AK47" s="168"/>
      <c r="AL47" s="168"/>
    </row>
    <row r="48" spans="1:38" ht="31.95" customHeight="1" x14ac:dyDescent="0.3">
      <c r="A48" s="147">
        <v>44074</v>
      </c>
      <c r="B48" s="148">
        <v>0.57681712962962961</v>
      </c>
      <c r="C48" s="149"/>
      <c r="D48" s="149">
        <v>30</v>
      </c>
      <c r="E48" s="149"/>
      <c r="F48" s="149"/>
      <c r="G48" s="150">
        <v>6</v>
      </c>
      <c r="H48" s="151" t="s">
        <v>66</v>
      </c>
      <c r="I48" s="170" t="s">
        <v>326</v>
      </c>
      <c r="J48" s="152"/>
      <c r="K48" s="153">
        <v>2200</v>
      </c>
      <c r="L48" s="154">
        <v>2</v>
      </c>
      <c r="M48" s="155">
        <v>6</v>
      </c>
      <c r="N48" s="155" t="s">
        <v>81</v>
      </c>
      <c r="O48" s="156" t="s">
        <v>80</v>
      </c>
      <c r="P48" s="157" t="s">
        <v>58</v>
      </c>
      <c r="Q48" s="158" t="s">
        <v>58</v>
      </c>
      <c r="R48" s="171"/>
      <c r="S48" s="171"/>
      <c r="T48" s="172"/>
      <c r="U48" s="171"/>
      <c r="V48" s="173"/>
      <c r="W48" s="173"/>
      <c r="X48" s="162"/>
      <c r="Y48" s="174"/>
      <c r="Z48" s="174"/>
      <c r="AA48" s="174"/>
      <c r="AB48" s="174"/>
      <c r="AC48" s="174"/>
      <c r="AD48" s="174"/>
      <c r="AE48" s="174"/>
      <c r="AF48" s="174"/>
      <c r="AG48" s="162"/>
      <c r="AH48" s="175"/>
      <c r="AI48" s="166"/>
      <c r="AJ48" s="168" t="s">
        <v>341</v>
      </c>
      <c r="AK48" s="168"/>
      <c r="AL48" s="168"/>
    </row>
    <row r="49" spans="1:38" ht="31.95" customHeight="1" x14ac:dyDescent="0.3">
      <c r="A49" s="176">
        <v>44074</v>
      </c>
      <c r="B49" s="177">
        <v>0.57763888888888892</v>
      </c>
      <c r="C49" s="149"/>
      <c r="D49" s="149">
        <v>120</v>
      </c>
      <c r="E49" s="149"/>
      <c r="F49" s="149"/>
      <c r="G49" s="150">
        <v>6</v>
      </c>
      <c r="H49" s="151" t="s">
        <v>62</v>
      </c>
      <c r="I49" s="178" t="s">
        <v>58</v>
      </c>
      <c r="J49" s="152"/>
      <c r="K49" s="153">
        <v>2200</v>
      </c>
      <c r="L49" s="154">
        <v>2</v>
      </c>
      <c r="M49" s="155">
        <v>6</v>
      </c>
      <c r="N49" s="155" t="s">
        <v>81</v>
      </c>
      <c r="O49" s="156" t="s">
        <v>80</v>
      </c>
      <c r="P49" s="157" t="s">
        <v>58</v>
      </c>
      <c r="Q49" s="158" t="s">
        <v>58</v>
      </c>
      <c r="R49" s="159"/>
      <c r="S49" s="159"/>
      <c r="T49" s="160"/>
      <c r="U49" s="171"/>
      <c r="V49" s="161">
        <v>3.5</v>
      </c>
      <c r="W49" s="161">
        <v>2.1</v>
      </c>
      <c r="X49" s="164">
        <v>4.79</v>
      </c>
      <c r="Y49" s="163"/>
      <c r="Z49" s="163"/>
      <c r="AA49" s="163"/>
      <c r="AB49" s="163"/>
      <c r="AC49" s="163"/>
      <c r="AD49" s="163"/>
      <c r="AE49" s="163"/>
      <c r="AF49" s="163"/>
      <c r="AG49" s="164"/>
      <c r="AH49" s="165"/>
      <c r="AI49" s="166"/>
      <c r="AJ49" s="167"/>
      <c r="AK49" s="168"/>
      <c r="AL49" s="168"/>
    </row>
    <row r="50" spans="1:38" ht="31.95" customHeight="1" x14ac:dyDescent="0.3">
      <c r="A50" s="176">
        <v>44074</v>
      </c>
      <c r="B50" s="177">
        <v>0.57915509259259257</v>
      </c>
      <c r="C50" s="149"/>
      <c r="D50" s="149">
        <v>30</v>
      </c>
      <c r="E50" s="149"/>
      <c r="F50" s="149"/>
      <c r="G50" s="150">
        <v>6</v>
      </c>
      <c r="H50" s="151" t="s">
        <v>66</v>
      </c>
      <c r="I50" s="170" t="s">
        <v>326</v>
      </c>
      <c r="J50" s="152"/>
      <c r="K50" s="153">
        <v>2200</v>
      </c>
      <c r="L50" s="154">
        <v>3</v>
      </c>
      <c r="M50" s="155">
        <v>6.6</v>
      </c>
      <c r="N50" s="155" t="s">
        <v>330</v>
      </c>
      <c r="O50" s="156" t="s">
        <v>80</v>
      </c>
      <c r="P50" s="157" t="s">
        <v>58</v>
      </c>
      <c r="Q50" s="158" t="s">
        <v>58</v>
      </c>
      <c r="R50" s="159"/>
      <c r="S50" s="159"/>
      <c r="T50" s="160"/>
      <c r="U50" s="171"/>
      <c r="V50" s="161"/>
      <c r="W50" s="161"/>
      <c r="X50" s="164"/>
      <c r="Y50" s="163"/>
      <c r="Z50" s="163"/>
      <c r="AA50" s="163"/>
      <c r="AB50" s="163"/>
      <c r="AC50" s="163"/>
      <c r="AD50" s="163"/>
      <c r="AE50" s="163"/>
      <c r="AF50" s="163"/>
      <c r="AG50" s="164"/>
      <c r="AH50" s="165"/>
      <c r="AI50" s="166"/>
      <c r="AJ50" s="167"/>
      <c r="AK50" s="168"/>
      <c r="AL50" s="179"/>
    </row>
    <row r="51" spans="1:38" ht="31.95" customHeight="1" x14ac:dyDescent="0.3">
      <c r="A51" s="176">
        <v>44074</v>
      </c>
      <c r="B51" s="177">
        <v>0.57986111111111105</v>
      </c>
      <c r="C51" s="149"/>
      <c r="D51" s="149">
        <v>120</v>
      </c>
      <c r="E51" s="149"/>
      <c r="F51" s="149"/>
      <c r="G51" s="150">
        <v>6</v>
      </c>
      <c r="H51" s="151" t="s">
        <v>62</v>
      </c>
      <c r="I51" s="178" t="s">
        <v>58</v>
      </c>
      <c r="J51" s="152"/>
      <c r="K51" s="153">
        <v>2200</v>
      </c>
      <c r="L51" s="154">
        <v>3</v>
      </c>
      <c r="M51" s="155">
        <v>6.6</v>
      </c>
      <c r="N51" s="155" t="s">
        <v>330</v>
      </c>
      <c r="O51" s="156" t="s">
        <v>80</v>
      </c>
      <c r="P51" s="157" t="s">
        <v>58</v>
      </c>
      <c r="Q51" s="158" t="s">
        <v>58</v>
      </c>
      <c r="R51" s="159"/>
      <c r="S51" s="159"/>
      <c r="T51" s="160"/>
      <c r="U51" s="171"/>
      <c r="V51" s="161">
        <v>3.5</v>
      </c>
      <c r="W51" s="161">
        <v>2.1</v>
      </c>
      <c r="X51" s="164">
        <v>4.78</v>
      </c>
      <c r="Y51" s="163"/>
      <c r="Z51" s="163"/>
      <c r="AA51" s="163"/>
      <c r="AB51" s="163"/>
      <c r="AC51" s="163"/>
      <c r="AD51" s="163"/>
      <c r="AE51" s="163"/>
      <c r="AF51" s="163"/>
      <c r="AG51" s="164"/>
      <c r="AH51" s="165"/>
      <c r="AI51" s="166"/>
      <c r="AJ51" s="167"/>
      <c r="AK51" s="168"/>
      <c r="AL51" s="168"/>
    </row>
    <row r="52" spans="1:38" ht="31.95" customHeight="1" x14ac:dyDescent="0.3">
      <c r="A52" s="176">
        <v>44074</v>
      </c>
      <c r="B52" s="177">
        <v>0.58137731481481481</v>
      </c>
      <c r="C52" s="149"/>
      <c r="D52" s="149">
        <v>30</v>
      </c>
      <c r="E52" s="149"/>
      <c r="F52" s="149"/>
      <c r="G52" s="150">
        <v>6</v>
      </c>
      <c r="H52" s="151" t="s">
        <v>66</v>
      </c>
      <c r="I52" s="170" t="s">
        <v>317</v>
      </c>
      <c r="J52" s="152"/>
      <c r="K52" s="153">
        <v>2200</v>
      </c>
      <c r="L52" s="154">
        <v>1</v>
      </c>
      <c r="M52" s="155">
        <v>1.73</v>
      </c>
      <c r="N52" s="155" t="s">
        <v>74</v>
      </c>
      <c r="O52" s="156" t="s">
        <v>80</v>
      </c>
      <c r="P52" s="157" t="s">
        <v>58</v>
      </c>
      <c r="Q52" s="158" t="s">
        <v>58</v>
      </c>
      <c r="R52" s="159"/>
      <c r="S52" s="159"/>
      <c r="T52" s="160"/>
      <c r="U52" s="171"/>
      <c r="V52" s="161"/>
      <c r="W52" s="161"/>
      <c r="X52" s="164"/>
      <c r="Y52" s="163"/>
      <c r="Z52" s="163"/>
      <c r="AA52" s="163"/>
      <c r="AB52" s="163"/>
      <c r="AC52" s="163"/>
      <c r="AD52" s="163"/>
      <c r="AE52" s="163"/>
      <c r="AF52" s="163"/>
      <c r="AG52" s="164"/>
      <c r="AH52" s="165"/>
      <c r="AI52" s="166"/>
      <c r="AJ52" s="167"/>
      <c r="AK52" s="168"/>
      <c r="AL52" s="168"/>
    </row>
    <row r="53" spans="1:38" ht="31.95" customHeight="1" x14ac:dyDescent="0.3">
      <c r="A53" s="176">
        <v>44074</v>
      </c>
      <c r="B53" s="177">
        <v>0.5818402777777778</v>
      </c>
      <c r="C53" s="149"/>
      <c r="D53" s="149">
        <v>60</v>
      </c>
      <c r="E53" s="149"/>
      <c r="F53" s="149"/>
      <c r="G53" s="150">
        <v>6</v>
      </c>
      <c r="H53" s="151" t="s">
        <v>77</v>
      </c>
      <c r="I53" s="178" t="s">
        <v>58</v>
      </c>
      <c r="J53" s="152"/>
      <c r="K53" s="153">
        <v>2200</v>
      </c>
      <c r="L53" s="154">
        <v>1</v>
      </c>
      <c r="M53" s="155">
        <v>1.73</v>
      </c>
      <c r="N53" s="155" t="s">
        <v>74</v>
      </c>
      <c r="O53" s="156" t="s">
        <v>80</v>
      </c>
      <c r="P53" s="157" t="s">
        <v>58</v>
      </c>
      <c r="Q53" s="158" t="s">
        <v>58</v>
      </c>
      <c r="R53" s="159"/>
      <c r="S53" s="159"/>
      <c r="T53" s="160"/>
      <c r="U53" s="171"/>
      <c r="V53" s="161">
        <v>3.5</v>
      </c>
      <c r="W53" s="161">
        <v>2.1</v>
      </c>
      <c r="X53" s="164"/>
      <c r="Y53" s="163"/>
      <c r="Z53" s="163"/>
      <c r="AA53" s="163"/>
      <c r="AB53" s="163"/>
      <c r="AC53" s="163"/>
      <c r="AD53" s="163"/>
      <c r="AE53" s="163"/>
      <c r="AF53" s="163"/>
      <c r="AG53" s="164"/>
      <c r="AH53" s="165"/>
      <c r="AI53" s="166"/>
      <c r="AJ53" s="167"/>
      <c r="AK53" s="168"/>
      <c r="AL53" s="168"/>
    </row>
    <row r="54" spans="1:38" ht="31.95" customHeight="1" x14ac:dyDescent="0.3">
      <c r="A54" s="176">
        <v>44074</v>
      </c>
      <c r="B54" s="177">
        <v>0.58263888888888882</v>
      </c>
      <c r="C54" s="149"/>
      <c r="D54" s="149">
        <v>30</v>
      </c>
      <c r="E54" s="149"/>
      <c r="F54" s="149"/>
      <c r="G54" s="150" t="s">
        <v>58</v>
      </c>
      <c r="H54" s="151" t="s">
        <v>72</v>
      </c>
      <c r="I54" s="170" t="s">
        <v>67</v>
      </c>
      <c r="J54" s="152"/>
      <c r="K54" s="153">
        <v>2500</v>
      </c>
      <c r="L54" s="154">
        <v>1</v>
      </c>
      <c r="M54" s="155">
        <v>1.73</v>
      </c>
      <c r="N54" s="155" t="s">
        <v>74</v>
      </c>
      <c r="O54" s="156" t="s">
        <v>80</v>
      </c>
      <c r="P54" s="157" t="s">
        <v>58</v>
      </c>
      <c r="Q54" s="158" t="s">
        <v>58</v>
      </c>
      <c r="R54" s="159"/>
      <c r="S54" s="159"/>
      <c r="T54" s="160"/>
      <c r="U54" s="171"/>
      <c r="V54" s="161"/>
      <c r="W54" s="161"/>
      <c r="X54" s="164"/>
      <c r="Y54" s="163"/>
      <c r="Z54" s="163"/>
      <c r="AA54" s="163"/>
      <c r="AB54" s="163"/>
      <c r="AC54" s="163"/>
      <c r="AD54" s="163"/>
      <c r="AE54" s="163"/>
      <c r="AF54" s="163"/>
      <c r="AG54" s="164"/>
      <c r="AH54" s="165"/>
      <c r="AI54" s="166"/>
      <c r="AJ54" s="167"/>
      <c r="AK54" s="168"/>
      <c r="AL54" s="168"/>
    </row>
    <row r="55" spans="1:38" ht="31.95" customHeight="1" x14ac:dyDescent="0.3">
      <c r="A55" s="147">
        <v>44074</v>
      </c>
      <c r="B55" s="148">
        <v>0.58306712962962959</v>
      </c>
      <c r="C55" s="149"/>
      <c r="D55" s="149">
        <v>120</v>
      </c>
      <c r="E55" s="149"/>
      <c r="F55" s="149"/>
      <c r="G55" s="150">
        <v>7</v>
      </c>
      <c r="H55" s="151" t="s">
        <v>62</v>
      </c>
      <c r="I55" s="170" t="s">
        <v>58</v>
      </c>
      <c r="J55" s="152"/>
      <c r="K55" s="153">
        <v>2500</v>
      </c>
      <c r="L55" s="154">
        <v>1</v>
      </c>
      <c r="M55" s="155">
        <v>1.73</v>
      </c>
      <c r="N55" s="155" t="s">
        <v>74</v>
      </c>
      <c r="O55" s="156" t="s">
        <v>80</v>
      </c>
      <c r="P55" s="157" t="s">
        <v>58</v>
      </c>
      <c r="Q55" s="158" t="s">
        <v>58</v>
      </c>
      <c r="R55" s="171"/>
      <c r="S55" s="171"/>
      <c r="T55" s="172"/>
      <c r="U55" s="171"/>
      <c r="V55" s="173">
        <v>4.3</v>
      </c>
      <c r="W55" s="173">
        <v>3</v>
      </c>
      <c r="X55" s="162">
        <v>5.53</v>
      </c>
      <c r="Y55" s="174"/>
      <c r="Z55" s="174"/>
      <c r="AA55" s="174"/>
      <c r="AB55" s="174"/>
      <c r="AC55" s="174"/>
      <c r="AD55" s="174"/>
      <c r="AE55" s="174"/>
      <c r="AF55" s="174"/>
      <c r="AG55" s="162"/>
      <c r="AH55" s="175"/>
      <c r="AI55" s="166"/>
      <c r="AJ55" s="168" t="s">
        <v>342</v>
      </c>
      <c r="AK55" s="168"/>
      <c r="AL55" s="168"/>
    </row>
    <row r="56" spans="1:38" ht="31.95" customHeight="1" x14ac:dyDescent="0.3">
      <c r="A56" s="147">
        <v>44074</v>
      </c>
      <c r="B56" s="148">
        <v>0.58450231481481485</v>
      </c>
      <c r="C56" s="149"/>
      <c r="D56" s="149">
        <v>30</v>
      </c>
      <c r="E56" s="149"/>
      <c r="F56" s="149"/>
      <c r="G56" s="150">
        <v>7</v>
      </c>
      <c r="H56" s="151" t="s">
        <v>66</v>
      </c>
      <c r="I56" s="170" t="s">
        <v>326</v>
      </c>
      <c r="J56" s="152"/>
      <c r="K56" s="153">
        <v>2500</v>
      </c>
      <c r="L56" s="154">
        <v>2</v>
      </c>
      <c r="M56" s="155">
        <v>6</v>
      </c>
      <c r="N56" s="155" t="s">
        <v>81</v>
      </c>
      <c r="O56" s="156" t="s">
        <v>80</v>
      </c>
      <c r="P56" s="157" t="s">
        <v>58</v>
      </c>
      <c r="Q56" s="158" t="s">
        <v>58</v>
      </c>
      <c r="R56" s="171"/>
      <c r="S56" s="171"/>
      <c r="T56" s="172"/>
      <c r="U56" s="171"/>
      <c r="V56" s="173"/>
      <c r="W56" s="173"/>
      <c r="X56" s="162"/>
      <c r="Y56" s="174"/>
      <c r="Z56" s="174"/>
      <c r="AA56" s="174"/>
      <c r="AB56" s="174"/>
      <c r="AC56" s="174"/>
      <c r="AD56" s="174"/>
      <c r="AE56" s="174"/>
      <c r="AF56" s="174"/>
      <c r="AG56" s="162"/>
      <c r="AH56" s="175"/>
      <c r="AI56" s="166"/>
      <c r="AJ56" s="168"/>
      <c r="AK56" s="168"/>
      <c r="AL56" s="168"/>
    </row>
    <row r="57" spans="1:38" ht="31.95" customHeight="1" x14ac:dyDescent="0.3">
      <c r="A57" s="176">
        <v>44074</v>
      </c>
      <c r="B57" s="177">
        <v>0.58488425925925924</v>
      </c>
      <c r="C57" s="149"/>
      <c r="D57" s="149">
        <v>120</v>
      </c>
      <c r="E57" s="149"/>
      <c r="F57" s="149"/>
      <c r="G57" s="150">
        <v>7</v>
      </c>
      <c r="H57" s="151" t="s">
        <v>62</v>
      </c>
      <c r="I57" s="178" t="s">
        <v>58</v>
      </c>
      <c r="J57" s="152"/>
      <c r="K57" s="153">
        <v>2500</v>
      </c>
      <c r="L57" s="154">
        <v>2</v>
      </c>
      <c r="M57" s="155">
        <v>6</v>
      </c>
      <c r="N57" s="155" t="s">
        <v>81</v>
      </c>
      <c r="O57" s="156" t="s">
        <v>80</v>
      </c>
      <c r="P57" s="157" t="s">
        <v>58</v>
      </c>
      <c r="Q57" s="158" t="s">
        <v>58</v>
      </c>
      <c r="R57" s="159"/>
      <c r="S57" s="159"/>
      <c r="T57" s="160"/>
      <c r="U57" s="171"/>
      <c r="V57" s="161">
        <v>4.3</v>
      </c>
      <c r="W57" s="161">
        <v>3</v>
      </c>
      <c r="X57" s="164">
        <v>5.51</v>
      </c>
      <c r="Y57" s="163"/>
      <c r="Z57" s="163"/>
      <c r="AA57" s="163"/>
      <c r="AB57" s="163"/>
      <c r="AC57" s="163"/>
      <c r="AD57" s="163"/>
      <c r="AE57" s="163"/>
      <c r="AF57" s="163"/>
      <c r="AG57" s="164"/>
      <c r="AH57" s="165"/>
      <c r="AI57" s="166"/>
      <c r="AJ57" s="167"/>
      <c r="AK57" s="168"/>
      <c r="AL57" s="168"/>
    </row>
    <row r="58" spans="1:38" ht="31.95" customHeight="1" x14ac:dyDescent="0.3">
      <c r="A58" s="176">
        <v>44074</v>
      </c>
      <c r="B58" s="177">
        <v>0.58643518518518511</v>
      </c>
      <c r="C58" s="149"/>
      <c r="D58" s="149">
        <v>30</v>
      </c>
      <c r="E58" s="149"/>
      <c r="F58" s="149"/>
      <c r="G58" s="150">
        <v>7</v>
      </c>
      <c r="H58" s="151" t="s">
        <v>66</v>
      </c>
      <c r="I58" s="170" t="s">
        <v>326</v>
      </c>
      <c r="J58" s="152"/>
      <c r="K58" s="153">
        <v>2500</v>
      </c>
      <c r="L58" s="154">
        <v>3</v>
      </c>
      <c r="M58" s="155">
        <v>6.6</v>
      </c>
      <c r="N58" s="155" t="s">
        <v>330</v>
      </c>
      <c r="O58" s="156" t="s">
        <v>80</v>
      </c>
      <c r="P58" s="157" t="s">
        <v>58</v>
      </c>
      <c r="Q58" s="158" t="s">
        <v>58</v>
      </c>
      <c r="R58" s="159"/>
      <c r="S58" s="159"/>
      <c r="T58" s="160"/>
      <c r="U58" s="171"/>
      <c r="V58" s="161"/>
      <c r="W58" s="161"/>
      <c r="X58" s="164"/>
      <c r="Y58" s="163"/>
      <c r="Z58" s="163"/>
      <c r="AA58" s="163"/>
      <c r="AB58" s="163"/>
      <c r="AC58" s="163"/>
      <c r="AD58" s="163"/>
      <c r="AE58" s="163"/>
      <c r="AF58" s="163"/>
      <c r="AG58" s="164"/>
      <c r="AH58" s="165"/>
      <c r="AI58" s="166"/>
      <c r="AJ58" s="167"/>
      <c r="AK58" s="168"/>
      <c r="AL58" s="168"/>
    </row>
    <row r="59" spans="1:38" ht="31.95" customHeight="1" x14ac:dyDescent="0.3">
      <c r="A59" s="176">
        <v>44074</v>
      </c>
      <c r="B59" s="177">
        <v>0.5869212962962963</v>
      </c>
      <c r="C59" s="149"/>
      <c r="D59" s="149">
        <v>120</v>
      </c>
      <c r="E59" s="149"/>
      <c r="F59" s="149"/>
      <c r="G59" s="150">
        <v>7</v>
      </c>
      <c r="H59" s="151" t="s">
        <v>62</v>
      </c>
      <c r="I59" s="178" t="s">
        <v>58</v>
      </c>
      <c r="J59" s="152"/>
      <c r="K59" s="153">
        <v>2500</v>
      </c>
      <c r="L59" s="154">
        <v>3</v>
      </c>
      <c r="M59" s="155">
        <v>6.6</v>
      </c>
      <c r="N59" s="155" t="s">
        <v>330</v>
      </c>
      <c r="O59" s="156" t="s">
        <v>80</v>
      </c>
      <c r="P59" s="157" t="s">
        <v>58</v>
      </c>
      <c r="Q59" s="158" t="s">
        <v>58</v>
      </c>
      <c r="R59" s="159"/>
      <c r="S59" s="159"/>
      <c r="T59" s="160"/>
      <c r="U59" s="171"/>
      <c r="V59" s="161">
        <v>4.2</v>
      </c>
      <c r="W59" s="161">
        <v>3</v>
      </c>
      <c r="X59" s="164">
        <v>5.5</v>
      </c>
      <c r="Y59" s="163"/>
      <c r="Z59" s="163"/>
      <c r="AA59" s="163"/>
      <c r="AB59" s="163"/>
      <c r="AC59" s="163"/>
      <c r="AD59" s="163"/>
      <c r="AE59" s="163"/>
      <c r="AF59" s="163"/>
      <c r="AG59" s="164"/>
      <c r="AH59" s="165"/>
      <c r="AI59" s="166"/>
      <c r="AJ59" s="167" t="s">
        <v>343</v>
      </c>
      <c r="AK59" s="168"/>
      <c r="AL59" s="168"/>
    </row>
    <row r="60" spans="1:38" ht="31.95" customHeight="1" x14ac:dyDescent="0.3">
      <c r="A60" s="176">
        <v>44074</v>
      </c>
      <c r="B60" s="219">
        <v>0.58831018518518519</v>
      </c>
      <c r="C60" s="149"/>
      <c r="D60" s="149" t="s">
        <v>58</v>
      </c>
      <c r="E60" s="149"/>
      <c r="F60" s="149"/>
      <c r="G60" s="150" t="s">
        <v>58</v>
      </c>
      <c r="H60" s="151" t="s">
        <v>72</v>
      </c>
      <c r="I60" s="170" t="s">
        <v>58</v>
      </c>
      <c r="J60" s="152"/>
      <c r="K60" s="153">
        <v>2500</v>
      </c>
      <c r="L60" s="154">
        <v>1</v>
      </c>
      <c r="M60" s="155">
        <v>1.73</v>
      </c>
      <c r="N60" s="155" t="s">
        <v>74</v>
      </c>
      <c r="O60" s="156" t="s">
        <v>80</v>
      </c>
      <c r="P60" s="157" t="s">
        <v>58</v>
      </c>
      <c r="Q60" s="158" t="s">
        <v>58</v>
      </c>
      <c r="R60" s="159"/>
      <c r="S60" s="159"/>
      <c r="T60" s="160"/>
      <c r="U60" s="171"/>
      <c r="V60" s="161"/>
      <c r="W60" s="161"/>
      <c r="X60" s="164"/>
      <c r="Y60" s="163"/>
      <c r="Z60" s="163"/>
      <c r="AA60" s="163"/>
      <c r="AB60" s="163"/>
      <c r="AC60" s="163"/>
      <c r="AD60" s="163"/>
      <c r="AE60" s="163"/>
      <c r="AF60" s="163"/>
      <c r="AG60" s="164"/>
      <c r="AH60" s="165"/>
      <c r="AI60" s="166"/>
      <c r="AJ60" s="167"/>
      <c r="AK60" s="168"/>
      <c r="AL60" s="168"/>
    </row>
    <row r="61" spans="1:38" ht="31.95" customHeight="1" x14ac:dyDescent="0.3">
      <c r="A61" s="176"/>
      <c r="B61" s="177"/>
      <c r="C61" s="149"/>
      <c r="D61" s="149">
        <v>30</v>
      </c>
      <c r="E61" s="149"/>
      <c r="F61" s="149"/>
      <c r="G61" s="150" t="s">
        <v>58</v>
      </c>
      <c r="H61" s="151" t="s">
        <v>72</v>
      </c>
      <c r="I61" s="170" t="s">
        <v>67</v>
      </c>
      <c r="J61" s="152"/>
      <c r="K61" s="153">
        <v>2200</v>
      </c>
      <c r="L61" s="154">
        <v>1</v>
      </c>
      <c r="M61" s="155">
        <v>1.73</v>
      </c>
      <c r="N61" s="155" t="s">
        <v>74</v>
      </c>
      <c r="O61" s="156" t="s">
        <v>80</v>
      </c>
      <c r="P61" s="157" t="s">
        <v>58</v>
      </c>
      <c r="Q61" s="158" t="s">
        <v>58</v>
      </c>
      <c r="R61" s="159"/>
      <c r="S61" s="159"/>
      <c r="T61" s="160"/>
      <c r="U61" s="171"/>
      <c r="V61" s="161"/>
      <c r="W61" s="161"/>
      <c r="X61" s="164"/>
      <c r="Y61" s="163"/>
      <c r="Z61" s="163"/>
      <c r="AA61" s="163"/>
      <c r="AB61" s="163"/>
      <c r="AC61" s="163"/>
      <c r="AD61" s="163"/>
      <c r="AE61" s="163"/>
      <c r="AF61" s="163"/>
      <c r="AG61" s="164"/>
      <c r="AH61" s="165"/>
      <c r="AI61" s="166"/>
      <c r="AJ61" s="167"/>
      <c r="AK61" s="168"/>
      <c r="AL61" s="168"/>
    </row>
    <row r="62" spans="1:38" ht="31.95" customHeight="1" x14ac:dyDescent="0.3">
      <c r="A62" s="147"/>
      <c r="B62" s="148"/>
      <c r="C62" s="149"/>
      <c r="D62" s="149" t="s">
        <v>58</v>
      </c>
      <c r="E62" s="149"/>
      <c r="F62" s="149"/>
      <c r="G62" s="150" t="s">
        <v>58</v>
      </c>
      <c r="H62" s="151" t="s">
        <v>72</v>
      </c>
      <c r="I62" s="170" t="s">
        <v>79</v>
      </c>
      <c r="J62" s="152"/>
      <c r="K62" s="153">
        <v>2200</v>
      </c>
      <c r="L62" s="154" t="s">
        <v>58</v>
      </c>
      <c r="M62" s="155" t="s">
        <v>58</v>
      </c>
      <c r="N62" s="155" t="s">
        <v>58</v>
      </c>
      <c r="O62" s="156" t="s">
        <v>58</v>
      </c>
      <c r="P62" s="157" t="s">
        <v>58</v>
      </c>
      <c r="Q62" s="158" t="s">
        <v>58</v>
      </c>
      <c r="R62" s="171"/>
      <c r="S62" s="171"/>
      <c r="T62" s="172"/>
      <c r="U62" s="171"/>
      <c r="V62" s="173"/>
      <c r="W62" s="173"/>
      <c r="X62" s="162"/>
      <c r="Y62" s="174"/>
      <c r="Z62" s="174"/>
      <c r="AA62" s="174"/>
      <c r="AB62" s="174"/>
      <c r="AC62" s="174"/>
      <c r="AD62" s="174"/>
      <c r="AE62" s="174"/>
      <c r="AF62" s="174"/>
      <c r="AG62" s="162"/>
      <c r="AH62" s="175"/>
      <c r="AI62" s="166"/>
      <c r="AJ62" s="168"/>
      <c r="AK62" s="168"/>
      <c r="AL62" s="168"/>
    </row>
    <row r="63" spans="1:38" ht="31.95" customHeight="1" x14ac:dyDescent="0.3">
      <c r="A63" s="147">
        <v>44074</v>
      </c>
      <c r="B63" s="148">
        <v>0.60731481481481475</v>
      </c>
      <c r="C63" s="149"/>
      <c r="D63" s="149" t="s">
        <v>58</v>
      </c>
      <c r="E63" s="149"/>
      <c r="F63" s="149"/>
      <c r="G63" s="150" t="s">
        <v>58</v>
      </c>
      <c r="H63" s="151" t="s">
        <v>72</v>
      </c>
      <c r="I63" s="170" t="s">
        <v>73</v>
      </c>
      <c r="J63" s="152"/>
      <c r="K63" s="153">
        <v>2200</v>
      </c>
      <c r="L63" s="154">
        <v>1</v>
      </c>
      <c r="M63" s="155">
        <v>1.67</v>
      </c>
      <c r="N63" s="155" t="s">
        <v>74</v>
      </c>
      <c r="O63" s="156" t="s">
        <v>82</v>
      </c>
      <c r="P63" s="157" t="s">
        <v>58</v>
      </c>
      <c r="Q63" s="158" t="s">
        <v>58</v>
      </c>
      <c r="R63" s="171"/>
      <c r="S63" s="171"/>
      <c r="T63" s="172"/>
      <c r="U63" s="171"/>
      <c r="V63" s="173"/>
      <c r="W63" s="173"/>
      <c r="X63" s="162"/>
      <c r="Y63" s="174"/>
      <c r="Z63" s="174"/>
      <c r="AA63" s="174"/>
      <c r="AB63" s="174"/>
      <c r="AC63" s="174"/>
      <c r="AD63" s="174"/>
      <c r="AE63" s="174"/>
      <c r="AF63" s="174"/>
      <c r="AG63" s="162"/>
      <c r="AH63" s="175"/>
      <c r="AI63" s="166" t="s">
        <v>63</v>
      </c>
      <c r="AJ63" s="168" t="s">
        <v>344</v>
      </c>
      <c r="AK63" s="168"/>
      <c r="AL63" s="168"/>
    </row>
    <row r="64" spans="1:38" ht="31.95" customHeight="1" x14ac:dyDescent="0.3">
      <c r="A64" s="147">
        <v>44074</v>
      </c>
      <c r="B64" s="148">
        <v>0.61153935185185182</v>
      </c>
      <c r="C64" s="149"/>
      <c r="D64" s="149">
        <v>120</v>
      </c>
      <c r="E64" s="149"/>
      <c r="F64" s="149"/>
      <c r="G64" s="150">
        <v>8</v>
      </c>
      <c r="H64" s="151" t="s">
        <v>62</v>
      </c>
      <c r="I64" s="170" t="s">
        <v>58</v>
      </c>
      <c r="J64" s="152"/>
      <c r="K64" s="153">
        <v>2200</v>
      </c>
      <c r="L64" s="154">
        <v>1</v>
      </c>
      <c r="M64" s="155">
        <v>1.67</v>
      </c>
      <c r="N64" s="155" t="s">
        <v>74</v>
      </c>
      <c r="O64" s="156" t="s">
        <v>82</v>
      </c>
      <c r="P64" s="157" t="s">
        <v>58</v>
      </c>
      <c r="Q64" s="158" t="s">
        <v>58</v>
      </c>
      <c r="R64" s="171"/>
      <c r="S64" s="171"/>
      <c r="T64" s="172"/>
      <c r="U64" s="171"/>
      <c r="V64" s="173">
        <v>3.6</v>
      </c>
      <c r="W64" s="173">
        <v>2.1</v>
      </c>
      <c r="X64" s="162">
        <v>4.83</v>
      </c>
      <c r="Y64" s="174"/>
      <c r="Z64" s="174"/>
      <c r="AA64" s="174"/>
      <c r="AB64" s="174"/>
      <c r="AC64" s="174"/>
      <c r="AD64" s="174"/>
      <c r="AE64" s="174"/>
      <c r="AF64" s="174"/>
      <c r="AG64" s="162"/>
      <c r="AH64" s="175"/>
      <c r="AI64" s="166"/>
      <c r="AJ64" s="168"/>
      <c r="AK64" s="168"/>
      <c r="AL64" s="168"/>
    </row>
    <row r="65" spans="1:38" ht="31.95" customHeight="1" x14ac:dyDescent="0.3">
      <c r="A65" s="147">
        <v>44074</v>
      </c>
      <c r="B65" s="148">
        <v>0.61298611111111112</v>
      </c>
      <c r="C65" s="149"/>
      <c r="D65" s="149">
        <v>30</v>
      </c>
      <c r="E65" s="149"/>
      <c r="F65" s="149"/>
      <c r="G65" s="150">
        <v>8</v>
      </c>
      <c r="H65" s="151" t="s">
        <v>66</v>
      </c>
      <c r="I65" s="170" t="s">
        <v>326</v>
      </c>
      <c r="J65" s="152"/>
      <c r="K65" s="153">
        <v>2200</v>
      </c>
      <c r="L65" s="154">
        <v>2</v>
      </c>
      <c r="M65" s="155">
        <v>7.3</v>
      </c>
      <c r="N65" s="155" t="s">
        <v>83</v>
      </c>
      <c r="O65" s="156" t="s">
        <v>82</v>
      </c>
      <c r="P65" s="157" t="s">
        <v>58</v>
      </c>
      <c r="Q65" s="158" t="s">
        <v>58</v>
      </c>
      <c r="R65" s="171"/>
      <c r="S65" s="171"/>
      <c r="T65" s="172"/>
      <c r="U65" s="171"/>
      <c r="V65" s="173"/>
      <c r="W65" s="173"/>
      <c r="X65" s="162"/>
      <c r="Y65" s="174"/>
      <c r="Z65" s="174"/>
      <c r="AA65" s="174"/>
      <c r="AB65" s="174"/>
      <c r="AC65" s="174"/>
      <c r="AD65" s="174"/>
      <c r="AE65" s="174"/>
      <c r="AF65" s="174"/>
      <c r="AG65" s="162"/>
      <c r="AH65" s="175"/>
      <c r="AI65" s="166"/>
      <c r="AJ65" s="168"/>
      <c r="AK65" s="168"/>
      <c r="AL65" s="168"/>
    </row>
    <row r="66" spans="1:38" ht="31.95" customHeight="1" x14ac:dyDescent="0.3">
      <c r="A66" s="176">
        <v>44074</v>
      </c>
      <c r="B66" s="177">
        <v>0.61335648148148147</v>
      </c>
      <c r="C66" s="149"/>
      <c r="D66" s="149">
        <v>120</v>
      </c>
      <c r="E66" s="149"/>
      <c r="F66" s="149"/>
      <c r="G66" s="150">
        <v>8</v>
      </c>
      <c r="H66" s="151" t="s">
        <v>62</v>
      </c>
      <c r="I66" s="178" t="s">
        <v>58</v>
      </c>
      <c r="J66" s="152"/>
      <c r="K66" s="153">
        <v>2200</v>
      </c>
      <c r="L66" s="154">
        <v>2</v>
      </c>
      <c r="M66" s="155">
        <v>7.3</v>
      </c>
      <c r="N66" s="155" t="s">
        <v>83</v>
      </c>
      <c r="O66" s="156" t="s">
        <v>82</v>
      </c>
      <c r="P66" s="157" t="s">
        <v>58</v>
      </c>
      <c r="Q66" s="158" t="s">
        <v>58</v>
      </c>
      <c r="R66" s="159"/>
      <c r="S66" s="159"/>
      <c r="T66" s="160"/>
      <c r="U66" s="171"/>
      <c r="V66" s="161">
        <v>3.5</v>
      </c>
      <c r="W66" s="161">
        <v>2.1</v>
      </c>
      <c r="X66" s="164">
        <v>4.7</v>
      </c>
      <c r="Y66" s="163"/>
      <c r="Z66" s="163"/>
      <c r="AA66" s="163"/>
      <c r="AB66" s="163"/>
      <c r="AC66" s="163"/>
      <c r="AD66" s="163"/>
      <c r="AE66" s="163"/>
      <c r="AF66" s="163"/>
      <c r="AG66" s="164"/>
      <c r="AH66" s="165"/>
      <c r="AI66" s="166"/>
      <c r="AJ66" s="167"/>
      <c r="AK66" s="168"/>
      <c r="AL66" s="168"/>
    </row>
    <row r="67" spans="1:38" ht="31.95" customHeight="1" x14ac:dyDescent="0.3">
      <c r="A67" s="176">
        <v>44074</v>
      </c>
      <c r="B67" s="177">
        <v>0.61484953703703704</v>
      </c>
      <c r="C67" s="149"/>
      <c r="D67" s="149">
        <v>30</v>
      </c>
      <c r="E67" s="149"/>
      <c r="F67" s="149"/>
      <c r="G67" s="150">
        <v>8</v>
      </c>
      <c r="H67" s="151" t="s">
        <v>66</v>
      </c>
      <c r="I67" s="170" t="s">
        <v>326</v>
      </c>
      <c r="J67" s="152"/>
      <c r="K67" s="153">
        <v>2200</v>
      </c>
      <c r="L67" s="154">
        <v>3</v>
      </c>
      <c r="M67" s="155">
        <v>8.52</v>
      </c>
      <c r="N67" s="155" t="s">
        <v>84</v>
      </c>
      <c r="O67" s="156" t="s">
        <v>82</v>
      </c>
      <c r="P67" s="157" t="s">
        <v>58</v>
      </c>
      <c r="Q67" s="158" t="s">
        <v>58</v>
      </c>
      <c r="R67" s="159"/>
      <c r="S67" s="159"/>
      <c r="T67" s="160"/>
      <c r="U67" s="171"/>
      <c r="V67" s="161"/>
      <c r="W67" s="161"/>
      <c r="X67" s="164"/>
      <c r="Y67" s="163"/>
      <c r="Z67" s="163"/>
      <c r="AA67" s="163"/>
      <c r="AB67" s="163"/>
      <c r="AC67" s="163"/>
      <c r="AD67" s="163"/>
      <c r="AE67" s="163"/>
      <c r="AF67" s="163"/>
      <c r="AG67" s="164"/>
      <c r="AH67" s="165"/>
      <c r="AI67" s="166"/>
      <c r="AJ67" s="167"/>
      <c r="AK67" s="168"/>
      <c r="AL67" s="179"/>
    </row>
    <row r="68" spans="1:38" ht="31.95" customHeight="1" x14ac:dyDescent="0.3">
      <c r="A68" s="176">
        <v>44074</v>
      </c>
      <c r="B68" s="177">
        <v>0.6152199074074074</v>
      </c>
      <c r="C68" s="149"/>
      <c r="D68" s="149">
        <v>120</v>
      </c>
      <c r="E68" s="149"/>
      <c r="F68" s="149"/>
      <c r="G68" s="150">
        <v>8</v>
      </c>
      <c r="H68" s="151" t="s">
        <v>62</v>
      </c>
      <c r="I68" s="178" t="s">
        <v>58</v>
      </c>
      <c r="J68" s="152"/>
      <c r="K68" s="153">
        <v>2200</v>
      </c>
      <c r="L68" s="154">
        <v>3</v>
      </c>
      <c r="M68" s="155">
        <v>8.52</v>
      </c>
      <c r="N68" s="155" t="s">
        <v>84</v>
      </c>
      <c r="O68" s="156" t="s">
        <v>82</v>
      </c>
      <c r="P68" s="157" t="s">
        <v>58</v>
      </c>
      <c r="Q68" s="158" t="s">
        <v>58</v>
      </c>
      <c r="R68" s="159"/>
      <c r="S68" s="159"/>
      <c r="T68" s="160"/>
      <c r="U68" s="171"/>
      <c r="V68" s="161">
        <v>3.5</v>
      </c>
      <c r="W68" s="161">
        <v>2.1</v>
      </c>
      <c r="X68" s="164">
        <v>4.62</v>
      </c>
      <c r="Y68" s="163"/>
      <c r="Z68" s="163"/>
      <c r="AA68" s="163"/>
      <c r="AB68" s="163"/>
      <c r="AC68" s="163"/>
      <c r="AD68" s="163"/>
      <c r="AE68" s="163"/>
      <c r="AF68" s="163"/>
      <c r="AG68" s="164"/>
      <c r="AH68" s="165"/>
      <c r="AI68" s="166"/>
      <c r="AJ68" s="167"/>
      <c r="AK68" s="168"/>
      <c r="AL68" s="168"/>
    </row>
    <row r="69" spans="1:38" ht="31.95" customHeight="1" x14ac:dyDescent="0.3">
      <c r="A69" s="176">
        <v>44074</v>
      </c>
      <c r="B69" s="177">
        <v>0.61664351851851851</v>
      </c>
      <c r="C69" s="149"/>
      <c r="D69" s="149">
        <v>30</v>
      </c>
      <c r="E69" s="149"/>
      <c r="F69" s="149"/>
      <c r="G69" s="150">
        <v>8</v>
      </c>
      <c r="H69" s="151" t="s">
        <v>66</v>
      </c>
      <c r="I69" s="170" t="s">
        <v>317</v>
      </c>
      <c r="J69" s="152"/>
      <c r="K69" s="153">
        <v>2200</v>
      </c>
      <c r="L69" s="154">
        <v>1</v>
      </c>
      <c r="M69" s="155">
        <v>1.67</v>
      </c>
      <c r="N69" s="155" t="s">
        <v>74</v>
      </c>
      <c r="O69" s="156" t="s">
        <v>82</v>
      </c>
      <c r="P69" s="157" t="s">
        <v>58</v>
      </c>
      <c r="Q69" s="158" t="s">
        <v>58</v>
      </c>
      <c r="R69" s="159"/>
      <c r="S69" s="159"/>
      <c r="T69" s="160"/>
      <c r="U69" s="171"/>
      <c r="V69" s="161"/>
      <c r="W69" s="161"/>
      <c r="X69" s="164"/>
      <c r="Y69" s="163"/>
      <c r="Z69" s="163"/>
      <c r="AA69" s="163"/>
      <c r="AB69" s="163"/>
      <c r="AC69" s="163"/>
      <c r="AD69" s="163"/>
      <c r="AE69" s="163"/>
      <c r="AF69" s="163"/>
      <c r="AG69" s="164"/>
      <c r="AH69" s="165"/>
      <c r="AI69" s="166"/>
      <c r="AJ69" s="167"/>
      <c r="AK69" s="168"/>
      <c r="AL69" s="168"/>
    </row>
    <row r="70" spans="1:38" ht="31.95" customHeight="1" x14ac:dyDescent="0.3">
      <c r="A70" s="176">
        <v>44074</v>
      </c>
      <c r="B70" s="177">
        <v>0.61711805555555554</v>
      </c>
      <c r="C70" s="149"/>
      <c r="D70" s="149">
        <v>60</v>
      </c>
      <c r="E70" s="149"/>
      <c r="F70" s="149"/>
      <c r="G70" s="150">
        <v>8</v>
      </c>
      <c r="H70" s="151" t="s">
        <v>77</v>
      </c>
      <c r="I70" s="178" t="s">
        <v>58</v>
      </c>
      <c r="J70" s="152"/>
      <c r="K70" s="153">
        <v>2200</v>
      </c>
      <c r="L70" s="154">
        <v>1</v>
      </c>
      <c r="M70" s="155">
        <v>1.67</v>
      </c>
      <c r="N70" s="155" t="s">
        <v>74</v>
      </c>
      <c r="O70" s="156" t="s">
        <v>82</v>
      </c>
      <c r="P70" s="157" t="s">
        <v>58</v>
      </c>
      <c r="Q70" s="158" t="s">
        <v>58</v>
      </c>
      <c r="R70" s="159"/>
      <c r="S70" s="159"/>
      <c r="T70" s="160"/>
      <c r="U70" s="171"/>
      <c r="V70" s="173">
        <v>3.6</v>
      </c>
      <c r="W70" s="173">
        <v>2.1</v>
      </c>
      <c r="X70" s="164"/>
      <c r="Y70" s="163"/>
      <c r="Z70" s="163"/>
      <c r="AA70" s="163"/>
      <c r="AB70" s="163"/>
      <c r="AC70" s="163"/>
      <c r="AD70" s="163"/>
      <c r="AE70" s="163"/>
      <c r="AF70" s="163"/>
      <c r="AG70" s="164"/>
      <c r="AH70" s="165"/>
      <c r="AI70" s="166"/>
      <c r="AJ70" s="167"/>
      <c r="AK70" s="168"/>
      <c r="AL70" s="168"/>
    </row>
    <row r="71" spans="1:38" ht="31.95" customHeight="1" x14ac:dyDescent="0.3">
      <c r="A71" s="176">
        <v>44074</v>
      </c>
      <c r="B71" s="177">
        <v>0.61783564814814818</v>
      </c>
      <c r="C71" s="149"/>
      <c r="D71" s="149">
        <v>30</v>
      </c>
      <c r="E71" s="149"/>
      <c r="F71" s="149"/>
      <c r="G71" s="150" t="s">
        <v>58</v>
      </c>
      <c r="H71" s="151" t="s">
        <v>66</v>
      </c>
      <c r="I71" s="170" t="s">
        <v>67</v>
      </c>
      <c r="J71" s="152"/>
      <c r="K71" s="153">
        <v>2500</v>
      </c>
      <c r="L71" s="154">
        <v>1</v>
      </c>
      <c r="M71" s="155">
        <v>1.67</v>
      </c>
      <c r="N71" s="155" t="s">
        <v>74</v>
      </c>
      <c r="O71" s="156" t="s">
        <v>82</v>
      </c>
      <c r="P71" s="157" t="s">
        <v>58</v>
      </c>
      <c r="Q71" s="158" t="s">
        <v>58</v>
      </c>
      <c r="R71" s="159"/>
      <c r="S71" s="159"/>
      <c r="T71" s="160"/>
      <c r="U71" s="171"/>
      <c r="V71" s="161"/>
      <c r="W71" s="161"/>
      <c r="X71" s="164"/>
      <c r="Y71" s="163"/>
      <c r="Z71" s="163"/>
      <c r="AA71" s="163"/>
      <c r="AB71" s="163"/>
      <c r="AC71" s="163"/>
      <c r="AD71" s="163"/>
      <c r="AE71" s="163"/>
      <c r="AF71" s="163"/>
      <c r="AG71" s="164"/>
      <c r="AH71" s="165"/>
      <c r="AI71" s="166"/>
      <c r="AJ71" s="167"/>
      <c r="AK71" s="168"/>
      <c r="AL71" s="168"/>
    </row>
    <row r="72" spans="1:38" ht="31.95" customHeight="1" x14ac:dyDescent="0.3">
      <c r="A72" s="147">
        <v>44074</v>
      </c>
      <c r="B72" s="148">
        <v>0.61842592592592593</v>
      </c>
      <c r="C72" s="149"/>
      <c r="D72" s="149">
        <v>120</v>
      </c>
      <c r="E72" s="149"/>
      <c r="F72" s="149"/>
      <c r="G72" s="150">
        <v>9</v>
      </c>
      <c r="H72" s="151" t="s">
        <v>62</v>
      </c>
      <c r="I72" s="170" t="s">
        <v>58</v>
      </c>
      <c r="J72" s="152"/>
      <c r="K72" s="153">
        <v>2500</v>
      </c>
      <c r="L72" s="154">
        <v>1</v>
      </c>
      <c r="M72" s="155">
        <v>1.67</v>
      </c>
      <c r="N72" s="155" t="s">
        <v>74</v>
      </c>
      <c r="O72" s="156" t="s">
        <v>82</v>
      </c>
      <c r="P72" s="157" t="s">
        <v>58</v>
      </c>
      <c r="Q72" s="158" t="s">
        <v>58</v>
      </c>
      <c r="R72" s="171"/>
      <c r="S72" s="171"/>
      <c r="T72" s="172"/>
      <c r="U72" s="171"/>
      <c r="V72" s="173">
        <v>4.2</v>
      </c>
      <c r="W72" s="173">
        <v>3</v>
      </c>
      <c r="X72" s="162">
        <v>5.51</v>
      </c>
      <c r="Y72" s="174"/>
      <c r="Z72" s="174"/>
      <c r="AA72" s="174"/>
      <c r="AB72" s="174"/>
      <c r="AC72" s="174"/>
      <c r="AD72" s="174"/>
      <c r="AE72" s="174"/>
      <c r="AF72" s="174"/>
      <c r="AG72" s="162"/>
      <c r="AH72" s="175"/>
      <c r="AI72" s="166"/>
      <c r="AJ72" s="168"/>
      <c r="AK72" s="168"/>
      <c r="AL72" s="168"/>
    </row>
    <row r="73" spans="1:38" ht="31.95" customHeight="1" x14ac:dyDescent="0.3">
      <c r="A73" s="147">
        <v>44074</v>
      </c>
      <c r="B73" s="148">
        <v>0.61983796296296301</v>
      </c>
      <c r="C73" s="149"/>
      <c r="D73" s="149">
        <v>30</v>
      </c>
      <c r="E73" s="149"/>
      <c r="F73" s="149"/>
      <c r="G73" s="150">
        <v>9</v>
      </c>
      <c r="H73" s="151" t="s">
        <v>66</v>
      </c>
      <c r="I73" s="170" t="s">
        <v>326</v>
      </c>
      <c r="J73" s="152"/>
      <c r="K73" s="153">
        <v>2500</v>
      </c>
      <c r="L73" s="154">
        <v>2</v>
      </c>
      <c r="M73" s="155">
        <v>7.3</v>
      </c>
      <c r="N73" s="155" t="s">
        <v>83</v>
      </c>
      <c r="O73" s="156" t="s">
        <v>82</v>
      </c>
      <c r="P73" s="157" t="s">
        <v>58</v>
      </c>
      <c r="Q73" s="158" t="s">
        <v>58</v>
      </c>
      <c r="R73" s="171"/>
      <c r="S73" s="171"/>
      <c r="T73" s="172"/>
      <c r="U73" s="171"/>
      <c r="V73" s="173"/>
      <c r="W73" s="173"/>
      <c r="X73" s="162"/>
      <c r="Y73" s="174"/>
      <c r="Z73" s="174"/>
      <c r="AA73" s="174"/>
      <c r="AB73" s="174"/>
      <c r="AC73" s="174"/>
      <c r="AD73" s="174"/>
      <c r="AE73" s="174"/>
      <c r="AF73" s="174"/>
      <c r="AG73" s="162"/>
      <c r="AH73" s="175"/>
      <c r="AI73" s="166"/>
      <c r="AJ73" s="168"/>
      <c r="AK73" s="168"/>
      <c r="AL73" s="168"/>
    </row>
    <row r="74" spans="1:38" ht="31.95" customHeight="1" x14ac:dyDescent="0.3">
      <c r="A74" s="176">
        <v>44074</v>
      </c>
      <c r="B74" s="177">
        <v>0.62059027777777775</v>
      </c>
      <c r="C74" s="149"/>
      <c r="D74" s="149">
        <v>120</v>
      </c>
      <c r="E74" s="149"/>
      <c r="F74" s="149"/>
      <c r="G74" s="150">
        <v>9</v>
      </c>
      <c r="H74" s="151" t="s">
        <v>62</v>
      </c>
      <c r="I74" s="178" t="s">
        <v>58</v>
      </c>
      <c r="J74" s="152"/>
      <c r="K74" s="153">
        <v>2500</v>
      </c>
      <c r="L74" s="154">
        <v>2</v>
      </c>
      <c r="M74" s="155">
        <v>7.3</v>
      </c>
      <c r="N74" s="155" t="s">
        <v>83</v>
      </c>
      <c r="O74" s="156" t="s">
        <v>82</v>
      </c>
      <c r="P74" s="157" t="s">
        <v>58</v>
      </c>
      <c r="Q74" s="158" t="s">
        <v>58</v>
      </c>
      <c r="R74" s="159"/>
      <c r="S74" s="159"/>
      <c r="T74" s="160"/>
      <c r="U74" s="171"/>
      <c r="V74" s="161">
        <v>4.2</v>
      </c>
      <c r="W74" s="161">
        <v>3</v>
      </c>
      <c r="X74" s="164">
        <v>5.39</v>
      </c>
      <c r="Y74" s="163"/>
      <c r="Z74" s="163"/>
      <c r="AA74" s="163"/>
      <c r="AB74" s="163"/>
      <c r="AC74" s="163"/>
      <c r="AD74" s="163"/>
      <c r="AE74" s="163"/>
      <c r="AF74" s="163"/>
      <c r="AG74" s="164"/>
      <c r="AH74" s="165"/>
      <c r="AI74" s="166"/>
      <c r="AJ74" s="167"/>
      <c r="AK74" s="168"/>
      <c r="AL74" s="168"/>
    </row>
    <row r="75" spans="1:38" ht="31.95" customHeight="1" x14ac:dyDescent="0.3">
      <c r="A75" s="176">
        <v>44074</v>
      </c>
      <c r="B75" s="177">
        <v>0.62203703703703705</v>
      </c>
      <c r="C75" s="149"/>
      <c r="D75" s="149">
        <v>30</v>
      </c>
      <c r="E75" s="149"/>
      <c r="F75" s="149"/>
      <c r="G75" s="150">
        <v>9</v>
      </c>
      <c r="H75" s="151" t="s">
        <v>66</v>
      </c>
      <c r="I75" s="170" t="s">
        <v>326</v>
      </c>
      <c r="J75" s="152"/>
      <c r="K75" s="153">
        <v>2500</v>
      </c>
      <c r="L75" s="154">
        <v>3</v>
      </c>
      <c r="M75" s="155">
        <v>8.52</v>
      </c>
      <c r="N75" s="155" t="s">
        <v>84</v>
      </c>
      <c r="O75" s="156" t="s">
        <v>82</v>
      </c>
      <c r="P75" s="157" t="s">
        <v>58</v>
      </c>
      <c r="Q75" s="158" t="s">
        <v>58</v>
      </c>
      <c r="R75" s="159"/>
      <c r="S75" s="159"/>
      <c r="T75" s="160"/>
      <c r="U75" s="171"/>
      <c r="V75" s="161"/>
      <c r="W75" s="161"/>
      <c r="X75" s="164"/>
      <c r="Y75" s="163"/>
      <c r="Z75" s="163"/>
      <c r="AA75" s="163"/>
      <c r="AB75" s="163"/>
      <c r="AC75" s="163"/>
      <c r="AD75" s="163"/>
      <c r="AE75" s="163"/>
      <c r="AF75" s="163"/>
      <c r="AG75" s="164"/>
      <c r="AH75" s="165"/>
      <c r="AI75" s="166"/>
      <c r="AJ75" s="167"/>
      <c r="AK75" s="168"/>
      <c r="AL75" s="168"/>
    </row>
    <row r="76" spans="1:38" ht="31.95" customHeight="1" x14ac:dyDescent="0.3">
      <c r="A76" s="176">
        <v>44074</v>
      </c>
      <c r="B76" s="177">
        <v>0.62243055555555549</v>
      </c>
      <c r="C76" s="149"/>
      <c r="D76" s="149">
        <v>120</v>
      </c>
      <c r="E76" s="149"/>
      <c r="F76" s="149"/>
      <c r="G76" s="150">
        <v>9</v>
      </c>
      <c r="H76" s="151" t="s">
        <v>62</v>
      </c>
      <c r="I76" s="178" t="s">
        <v>58</v>
      </c>
      <c r="J76" s="152"/>
      <c r="K76" s="153">
        <v>2500</v>
      </c>
      <c r="L76" s="154">
        <v>3</v>
      </c>
      <c r="M76" s="155">
        <v>8.52</v>
      </c>
      <c r="N76" s="155" t="s">
        <v>84</v>
      </c>
      <c r="O76" s="156" t="s">
        <v>82</v>
      </c>
      <c r="P76" s="157" t="s">
        <v>58</v>
      </c>
      <c r="Q76" s="158" t="s">
        <v>58</v>
      </c>
      <c r="R76" s="159"/>
      <c r="S76" s="159"/>
      <c r="T76" s="160"/>
      <c r="U76" s="171"/>
      <c r="V76" s="161">
        <v>4.2</v>
      </c>
      <c r="W76" s="161">
        <v>3</v>
      </c>
      <c r="X76" s="164">
        <v>5.32</v>
      </c>
      <c r="Y76" s="163"/>
      <c r="Z76" s="163"/>
      <c r="AA76" s="163"/>
      <c r="AB76" s="163"/>
      <c r="AC76" s="163"/>
      <c r="AD76" s="163"/>
      <c r="AE76" s="163"/>
      <c r="AF76" s="163"/>
      <c r="AG76" s="164"/>
      <c r="AH76" s="165"/>
      <c r="AI76" s="166"/>
      <c r="AJ76" s="167"/>
      <c r="AK76" s="168"/>
      <c r="AL76" s="168"/>
    </row>
    <row r="77" spans="1:38" ht="31.95" customHeight="1" x14ac:dyDescent="0.3">
      <c r="A77" s="176">
        <v>44074</v>
      </c>
      <c r="B77" s="177">
        <v>0.62425925925925929</v>
      </c>
      <c r="C77" s="149"/>
      <c r="D77" s="149">
        <v>30</v>
      </c>
      <c r="E77" s="149"/>
      <c r="F77" s="149"/>
      <c r="G77" s="150">
        <v>9</v>
      </c>
      <c r="H77" s="151" t="s">
        <v>66</v>
      </c>
      <c r="I77" s="170" t="s">
        <v>317</v>
      </c>
      <c r="J77" s="152"/>
      <c r="K77" s="153">
        <v>2500</v>
      </c>
      <c r="L77" s="154">
        <v>1</v>
      </c>
      <c r="M77" s="155">
        <v>1.67</v>
      </c>
      <c r="N77" s="155" t="s">
        <v>74</v>
      </c>
      <c r="O77" s="156" t="s">
        <v>82</v>
      </c>
      <c r="P77" s="157" t="s">
        <v>58</v>
      </c>
      <c r="Q77" s="158" t="s">
        <v>58</v>
      </c>
      <c r="R77" s="159"/>
      <c r="S77" s="159"/>
      <c r="T77" s="160"/>
      <c r="U77" s="171"/>
      <c r="V77" s="161"/>
      <c r="W77" s="161"/>
      <c r="X77" s="164"/>
      <c r="Y77" s="163"/>
      <c r="Z77" s="163"/>
      <c r="AA77" s="163"/>
      <c r="AB77" s="163"/>
      <c r="AC77" s="163"/>
      <c r="AD77" s="163"/>
      <c r="AE77" s="163"/>
      <c r="AF77" s="163"/>
      <c r="AG77" s="164"/>
      <c r="AH77" s="165"/>
      <c r="AI77" s="166"/>
      <c r="AJ77" s="167"/>
      <c r="AK77" s="168"/>
      <c r="AL77" s="168"/>
    </row>
    <row r="78" spans="1:38" ht="31.95" customHeight="1" x14ac:dyDescent="0.3">
      <c r="A78" s="176">
        <v>44074</v>
      </c>
      <c r="B78" s="177">
        <v>0.62472222222222229</v>
      </c>
      <c r="C78" s="149"/>
      <c r="D78" s="149">
        <v>60</v>
      </c>
      <c r="E78" s="149"/>
      <c r="F78" s="149"/>
      <c r="G78" s="150">
        <v>9</v>
      </c>
      <c r="H78" s="151" t="s">
        <v>77</v>
      </c>
      <c r="I78" s="178" t="s">
        <v>58</v>
      </c>
      <c r="J78" s="152"/>
      <c r="K78" s="153">
        <v>2500</v>
      </c>
      <c r="L78" s="154">
        <v>1</v>
      </c>
      <c r="M78" s="155">
        <v>1.67</v>
      </c>
      <c r="N78" s="155" t="s">
        <v>74</v>
      </c>
      <c r="O78" s="156" t="s">
        <v>82</v>
      </c>
      <c r="P78" s="157" t="s">
        <v>58</v>
      </c>
      <c r="Q78" s="158" t="s">
        <v>58</v>
      </c>
      <c r="R78" s="159"/>
      <c r="S78" s="159"/>
      <c r="T78" s="160"/>
      <c r="U78" s="171"/>
      <c r="V78" s="161">
        <v>4.2</v>
      </c>
      <c r="W78" s="161">
        <v>3</v>
      </c>
      <c r="X78" s="164">
        <v>5.52</v>
      </c>
      <c r="Y78" s="163"/>
      <c r="Z78" s="163"/>
      <c r="AA78" s="163"/>
      <c r="AB78" s="163"/>
      <c r="AC78" s="163"/>
      <c r="AD78" s="163"/>
      <c r="AE78" s="163"/>
      <c r="AF78" s="163"/>
      <c r="AG78" s="164"/>
      <c r="AH78" s="165"/>
      <c r="AI78" s="166"/>
      <c r="AJ78" s="167"/>
      <c r="AK78" s="168"/>
      <c r="AL78" s="168"/>
    </row>
    <row r="79" spans="1:38" ht="31.95" customHeight="1" x14ac:dyDescent="0.3">
      <c r="A79" s="176">
        <v>44074</v>
      </c>
      <c r="B79" s="177">
        <v>0.62543981481481481</v>
      </c>
      <c r="C79" s="149"/>
      <c r="D79" s="149">
        <v>30</v>
      </c>
      <c r="E79" s="149"/>
      <c r="F79" s="149"/>
      <c r="G79" s="150" t="s">
        <v>58</v>
      </c>
      <c r="H79" s="151" t="s">
        <v>72</v>
      </c>
      <c r="I79" s="170" t="s">
        <v>67</v>
      </c>
      <c r="J79" s="152"/>
      <c r="K79" s="153">
        <v>2800</v>
      </c>
      <c r="L79" s="154">
        <v>1</v>
      </c>
      <c r="M79" s="155">
        <v>1.67</v>
      </c>
      <c r="N79" s="155" t="s">
        <v>74</v>
      </c>
      <c r="O79" s="156" t="s">
        <v>82</v>
      </c>
      <c r="P79" s="157" t="s">
        <v>58</v>
      </c>
      <c r="Q79" s="158" t="s">
        <v>58</v>
      </c>
      <c r="R79" s="159"/>
      <c r="S79" s="159"/>
      <c r="T79" s="160"/>
      <c r="U79" s="171"/>
      <c r="V79" s="161"/>
      <c r="W79" s="161"/>
      <c r="X79" s="164"/>
      <c r="Y79" s="163"/>
      <c r="Z79" s="163"/>
      <c r="AA79" s="163"/>
      <c r="AB79" s="163"/>
      <c r="AC79" s="163"/>
      <c r="AD79" s="163"/>
      <c r="AE79" s="163"/>
      <c r="AF79" s="163"/>
      <c r="AG79" s="164"/>
      <c r="AH79" s="165"/>
      <c r="AI79" s="166" t="s">
        <v>63</v>
      </c>
      <c r="AJ79" s="168" t="s">
        <v>345</v>
      </c>
      <c r="AK79" s="168"/>
      <c r="AL79" s="168"/>
    </row>
    <row r="80" spans="1:38" ht="31.95" customHeight="1" x14ac:dyDescent="0.3">
      <c r="A80" s="147">
        <v>44074</v>
      </c>
      <c r="B80" s="148">
        <v>0.62584490740740739</v>
      </c>
      <c r="C80" s="149"/>
      <c r="D80" s="149">
        <v>120</v>
      </c>
      <c r="E80" s="149"/>
      <c r="F80" s="149"/>
      <c r="G80" s="150">
        <v>10</v>
      </c>
      <c r="H80" s="151" t="s">
        <v>62</v>
      </c>
      <c r="I80" s="170" t="s">
        <v>58</v>
      </c>
      <c r="J80" s="152"/>
      <c r="K80" s="153">
        <v>2800</v>
      </c>
      <c r="L80" s="154">
        <v>1</v>
      </c>
      <c r="M80" s="155">
        <v>1.67</v>
      </c>
      <c r="N80" s="155" t="s">
        <v>74</v>
      </c>
      <c r="O80" s="156" t="s">
        <v>82</v>
      </c>
      <c r="P80" s="157" t="s">
        <v>58</v>
      </c>
      <c r="Q80" s="158" t="s">
        <v>58</v>
      </c>
      <c r="R80" s="171"/>
      <c r="S80" s="171"/>
      <c r="T80" s="172"/>
      <c r="U80" s="171"/>
      <c r="V80" s="173">
        <v>4.7</v>
      </c>
      <c r="W80" s="173">
        <v>4.2</v>
      </c>
      <c r="X80" s="162">
        <v>6.25</v>
      </c>
      <c r="Y80" s="174"/>
      <c r="Z80" s="174"/>
      <c r="AA80" s="174"/>
      <c r="AB80" s="174"/>
      <c r="AC80" s="174"/>
      <c r="AD80" s="174"/>
      <c r="AE80" s="174"/>
      <c r="AF80" s="174"/>
      <c r="AG80" s="162"/>
      <c r="AH80" s="175"/>
      <c r="AI80" s="166" t="s">
        <v>78</v>
      </c>
      <c r="AJ80" s="168"/>
      <c r="AK80" s="168"/>
      <c r="AL80" s="168"/>
    </row>
    <row r="81" spans="1:38" ht="31.95" customHeight="1" x14ac:dyDescent="0.3">
      <c r="A81" s="147">
        <v>44074</v>
      </c>
      <c r="B81" s="148">
        <v>0.62732638888888892</v>
      </c>
      <c r="C81" s="149"/>
      <c r="D81" s="149">
        <v>30</v>
      </c>
      <c r="E81" s="149"/>
      <c r="F81" s="149"/>
      <c r="G81" s="150">
        <v>10</v>
      </c>
      <c r="H81" s="151" t="s">
        <v>66</v>
      </c>
      <c r="I81" s="170" t="s">
        <v>326</v>
      </c>
      <c r="J81" s="152"/>
      <c r="K81" s="153">
        <v>2800</v>
      </c>
      <c r="L81" s="154">
        <v>2</v>
      </c>
      <c r="M81" s="155">
        <v>7.3</v>
      </c>
      <c r="N81" s="155" t="s">
        <v>83</v>
      </c>
      <c r="O81" s="156" t="s">
        <v>82</v>
      </c>
      <c r="P81" s="157" t="s">
        <v>58</v>
      </c>
      <c r="Q81" s="158" t="s">
        <v>58</v>
      </c>
      <c r="R81" s="171"/>
      <c r="S81" s="171"/>
      <c r="T81" s="172"/>
      <c r="U81" s="171"/>
      <c r="V81" s="173"/>
      <c r="W81" s="173"/>
      <c r="X81" s="162"/>
      <c r="Y81" s="174"/>
      <c r="Z81" s="174"/>
      <c r="AA81" s="174"/>
      <c r="AB81" s="174"/>
      <c r="AC81" s="174"/>
      <c r="AD81" s="174"/>
      <c r="AE81" s="174"/>
      <c r="AF81" s="174"/>
      <c r="AG81" s="162"/>
      <c r="AH81" s="175"/>
      <c r="AI81" s="166"/>
      <c r="AJ81" s="168"/>
      <c r="AK81" s="168"/>
      <c r="AL81" s="168"/>
    </row>
    <row r="82" spans="1:38" ht="31.95" customHeight="1" x14ac:dyDescent="0.3">
      <c r="A82" s="176">
        <v>44074</v>
      </c>
      <c r="B82" s="177">
        <v>0.62774305555555554</v>
      </c>
      <c r="C82" s="149"/>
      <c r="D82" s="149">
        <v>120</v>
      </c>
      <c r="E82" s="149"/>
      <c r="F82" s="149"/>
      <c r="G82" s="150">
        <v>10</v>
      </c>
      <c r="H82" s="151" t="s">
        <v>62</v>
      </c>
      <c r="I82" s="178" t="s">
        <v>58</v>
      </c>
      <c r="J82" s="152"/>
      <c r="K82" s="153">
        <v>2800</v>
      </c>
      <c r="L82" s="154">
        <v>2</v>
      </c>
      <c r="M82" s="155">
        <v>7.3</v>
      </c>
      <c r="N82" s="155" t="s">
        <v>83</v>
      </c>
      <c r="O82" s="156" t="s">
        <v>82</v>
      </c>
      <c r="P82" s="157" t="s">
        <v>58</v>
      </c>
      <c r="Q82" s="158" t="s">
        <v>58</v>
      </c>
      <c r="R82" s="159"/>
      <c r="S82" s="159"/>
      <c r="T82" s="160"/>
      <c r="U82" s="171"/>
      <c r="V82" s="161">
        <v>4.7</v>
      </c>
      <c r="W82" s="161">
        <v>4.2</v>
      </c>
      <c r="X82" s="164">
        <v>6.1</v>
      </c>
      <c r="Y82" s="163"/>
      <c r="Z82" s="163"/>
      <c r="AA82" s="163"/>
      <c r="AB82" s="163"/>
      <c r="AC82" s="163"/>
      <c r="AD82" s="163"/>
      <c r="AE82" s="163"/>
      <c r="AF82" s="163"/>
      <c r="AG82" s="164"/>
      <c r="AH82" s="165"/>
      <c r="AI82" s="166" t="s">
        <v>78</v>
      </c>
      <c r="AJ82" s="167"/>
      <c r="AK82" s="168"/>
      <c r="AL82" s="168"/>
    </row>
    <row r="83" spans="1:38" ht="31.95" customHeight="1" x14ac:dyDescent="0.3">
      <c r="A83" s="176">
        <v>44074</v>
      </c>
      <c r="B83" s="177">
        <v>0.62924768518518526</v>
      </c>
      <c r="C83" s="149"/>
      <c r="D83" s="149">
        <v>30</v>
      </c>
      <c r="E83" s="149"/>
      <c r="F83" s="149"/>
      <c r="G83" s="150">
        <v>10</v>
      </c>
      <c r="H83" s="151" t="s">
        <v>66</v>
      </c>
      <c r="I83" s="170" t="s">
        <v>326</v>
      </c>
      <c r="J83" s="152"/>
      <c r="K83" s="153">
        <v>2800</v>
      </c>
      <c r="L83" s="154">
        <v>3</v>
      </c>
      <c r="M83" s="155">
        <v>8.52</v>
      </c>
      <c r="N83" s="155" t="s">
        <v>84</v>
      </c>
      <c r="O83" s="156" t="s">
        <v>82</v>
      </c>
      <c r="P83" s="157" t="s">
        <v>58</v>
      </c>
      <c r="Q83" s="158" t="s">
        <v>58</v>
      </c>
      <c r="R83" s="159"/>
      <c r="S83" s="159"/>
      <c r="T83" s="160"/>
      <c r="U83" s="171"/>
      <c r="V83" s="161"/>
      <c r="W83" s="161"/>
      <c r="X83" s="164"/>
      <c r="Y83" s="163"/>
      <c r="Z83" s="163"/>
      <c r="AA83" s="163"/>
      <c r="AB83" s="163"/>
      <c r="AC83" s="163"/>
      <c r="AD83" s="163"/>
      <c r="AE83" s="163"/>
      <c r="AF83" s="163"/>
      <c r="AG83" s="164"/>
      <c r="AH83" s="165"/>
      <c r="AI83" s="166"/>
      <c r="AJ83" s="167"/>
      <c r="AK83" s="168"/>
      <c r="AL83" s="168"/>
    </row>
    <row r="84" spans="1:38" ht="31.95" customHeight="1" x14ac:dyDescent="0.3">
      <c r="A84" s="176">
        <v>44074</v>
      </c>
      <c r="B84" s="177">
        <v>0.62973379629629633</v>
      </c>
      <c r="C84" s="149"/>
      <c r="D84" s="149">
        <v>120</v>
      </c>
      <c r="E84" s="149"/>
      <c r="F84" s="149"/>
      <c r="G84" s="150">
        <v>10</v>
      </c>
      <c r="H84" s="151" t="s">
        <v>62</v>
      </c>
      <c r="I84" s="178" t="s">
        <v>58</v>
      </c>
      <c r="J84" s="152"/>
      <c r="K84" s="153">
        <v>2800</v>
      </c>
      <c r="L84" s="154">
        <v>3</v>
      </c>
      <c r="M84" s="155">
        <v>8.52</v>
      </c>
      <c r="N84" s="155" t="s">
        <v>84</v>
      </c>
      <c r="O84" s="156" t="s">
        <v>82</v>
      </c>
      <c r="P84" s="157" t="s">
        <v>58</v>
      </c>
      <c r="Q84" s="158" t="s">
        <v>58</v>
      </c>
      <c r="R84" s="159"/>
      <c r="S84" s="159"/>
      <c r="T84" s="160"/>
      <c r="U84" s="171"/>
      <c r="V84" s="161">
        <v>4.7</v>
      </c>
      <c r="W84" s="161">
        <v>4.0999999999999996</v>
      </c>
      <c r="X84" s="164">
        <v>6.02</v>
      </c>
      <c r="Y84" s="163"/>
      <c r="Z84" s="163"/>
      <c r="AA84" s="163"/>
      <c r="AB84" s="163"/>
      <c r="AC84" s="163"/>
      <c r="AD84" s="163"/>
      <c r="AE84" s="163"/>
      <c r="AF84" s="163"/>
      <c r="AG84" s="164"/>
      <c r="AH84" s="165"/>
      <c r="AI84" s="166" t="s">
        <v>78</v>
      </c>
      <c r="AJ84" s="167"/>
      <c r="AK84" s="168"/>
      <c r="AL84" s="168"/>
    </row>
    <row r="85" spans="1:38" ht="31.95" customHeight="1" x14ac:dyDescent="0.3">
      <c r="A85" s="176">
        <v>44074</v>
      </c>
      <c r="B85" s="177">
        <v>0.63130787037037039</v>
      </c>
      <c r="C85" s="149"/>
      <c r="D85" s="149">
        <v>30</v>
      </c>
      <c r="E85" s="149"/>
      <c r="F85" s="149"/>
      <c r="G85" s="150">
        <v>10</v>
      </c>
      <c r="H85" s="151" t="s">
        <v>66</v>
      </c>
      <c r="I85" s="170" t="s">
        <v>317</v>
      </c>
      <c r="J85" s="152"/>
      <c r="K85" s="153">
        <v>2800</v>
      </c>
      <c r="L85" s="154">
        <v>1</v>
      </c>
      <c r="M85" s="155">
        <v>1.67</v>
      </c>
      <c r="N85" s="155" t="s">
        <v>74</v>
      </c>
      <c r="O85" s="156" t="s">
        <v>82</v>
      </c>
      <c r="P85" s="157" t="s">
        <v>58</v>
      </c>
      <c r="Q85" s="158" t="s">
        <v>58</v>
      </c>
      <c r="R85" s="159"/>
      <c r="S85" s="159"/>
      <c r="T85" s="160"/>
      <c r="U85" s="171"/>
      <c r="V85" s="161"/>
      <c r="W85" s="161"/>
      <c r="X85" s="164"/>
      <c r="Y85" s="163"/>
      <c r="Z85" s="163"/>
      <c r="AA85" s="163"/>
      <c r="AB85" s="163"/>
      <c r="AC85" s="163"/>
      <c r="AD85" s="163"/>
      <c r="AE85" s="163"/>
      <c r="AF85" s="163"/>
      <c r="AG85" s="164"/>
      <c r="AH85" s="165"/>
      <c r="AI85" s="166"/>
      <c r="AJ85" s="167"/>
      <c r="AK85" s="168"/>
      <c r="AL85" s="168"/>
    </row>
    <row r="86" spans="1:38" ht="31.95" customHeight="1" x14ac:dyDescent="0.3">
      <c r="A86" s="176">
        <v>44074</v>
      </c>
      <c r="B86" s="177">
        <v>0.63193287037037038</v>
      </c>
      <c r="C86" s="149"/>
      <c r="D86" s="149">
        <v>60</v>
      </c>
      <c r="E86" s="149"/>
      <c r="F86" s="149"/>
      <c r="G86" s="150">
        <v>10</v>
      </c>
      <c r="H86" s="151" t="s">
        <v>77</v>
      </c>
      <c r="I86" s="178" t="s">
        <v>58</v>
      </c>
      <c r="J86" s="152"/>
      <c r="K86" s="153">
        <v>2800</v>
      </c>
      <c r="L86" s="154">
        <v>1</v>
      </c>
      <c r="M86" s="155">
        <v>1.67</v>
      </c>
      <c r="N86" s="155" t="s">
        <v>74</v>
      </c>
      <c r="O86" s="156" t="s">
        <v>82</v>
      </c>
      <c r="P86" s="157" t="s">
        <v>58</v>
      </c>
      <c r="Q86" s="158" t="s">
        <v>58</v>
      </c>
      <c r="R86" s="159"/>
      <c r="S86" s="159"/>
      <c r="T86" s="160"/>
      <c r="U86" s="171"/>
      <c r="V86" s="161">
        <v>4.7</v>
      </c>
      <c r="W86" s="161">
        <v>4.0999999999999996</v>
      </c>
      <c r="X86" s="164">
        <v>6.23</v>
      </c>
      <c r="Y86" s="163"/>
      <c r="Z86" s="163"/>
      <c r="AA86" s="163"/>
      <c r="AB86" s="163"/>
      <c r="AC86" s="163"/>
      <c r="AD86" s="163"/>
      <c r="AE86" s="163"/>
      <c r="AF86" s="163"/>
      <c r="AG86" s="164"/>
      <c r="AH86" s="165"/>
      <c r="AI86" s="166"/>
      <c r="AJ86" s="167"/>
      <c r="AK86" s="168"/>
      <c r="AL86" s="168"/>
    </row>
    <row r="87" spans="1:38" ht="31.95" customHeight="1" x14ac:dyDescent="0.3">
      <c r="A87" s="176">
        <v>44074</v>
      </c>
      <c r="B87" s="177">
        <v>0.63283564814814819</v>
      </c>
      <c r="C87" s="149"/>
      <c r="D87" s="149">
        <v>30</v>
      </c>
      <c r="E87" s="149"/>
      <c r="F87" s="149"/>
      <c r="G87" s="150" t="s">
        <v>58</v>
      </c>
      <c r="H87" s="151" t="s">
        <v>66</v>
      </c>
      <c r="I87" s="170" t="s">
        <v>67</v>
      </c>
      <c r="J87" s="152"/>
      <c r="K87" s="153">
        <v>3100</v>
      </c>
      <c r="L87" s="154">
        <v>1</v>
      </c>
      <c r="M87" s="155">
        <v>1.67</v>
      </c>
      <c r="N87" s="155" t="s">
        <v>74</v>
      </c>
      <c r="O87" s="156" t="s">
        <v>82</v>
      </c>
      <c r="P87" s="157" t="s">
        <v>58</v>
      </c>
      <c r="Q87" s="158" t="s">
        <v>58</v>
      </c>
      <c r="R87" s="159"/>
      <c r="S87" s="159"/>
      <c r="T87" s="160"/>
      <c r="U87" s="171"/>
      <c r="V87" s="161"/>
      <c r="W87" s="161"/>
      <c r="X87" s="164"/>
      <c r="Y87" s="163"/>
      <c r="Z87" s="163"/>
      <c r="AA87" s="163"/>
      <c r="AB87" s="163"/>
      <c r="AC87" s="163"/>
      <c r="AD87" s="163"/>
      <c r="AE87" s="163"/>
      <c r="AF87" s="163"/>
      <c r="AG87" s="164"/>
      <c r="AH87" s="165"/>
      <c r="AI87" s="166"/>
      <c r="AJ87" s="167"/>
      <c r="AK87" s="168"/>
      <c r="AL87" s="168"/>
    </row>
    <row r="88" spans="1:38" ht="31.95" customHeight="1" x14ac:dyDescent="0.3">
      <c r="A88" s="147">
        <v>44074</v>
      </c>
      <c r="B88" s="148">
        <v>0.633275462962963</v>
      </c>
      <c r="C88" s="149"/>
      <c r="D88" s="149">
        <v>120</v>
      </c>
      <c r="E88" s="149"/>
      <c r="F88" s="149"/>
      <c r="G88" s="150">
        <v>11</v>
      </c>
      <c r="H88" s="151" t="s">
        <v>62</v>
      </c>
      <c r="I88" s="170" t="s">
        <v>58</v>
      </c>
      <c r="J88" s="152"/>
      <c r="K88" s="153">
        <v>3100</v>
      </c>
      <c r="L88" s="154">
        <v>1</v>
      </c>
      <c r="M88" s="155">
        <v>1.67</v>
      </c>
      <c r="N88" s="155" t="s">
        <v>74</v>
      </c>
      <c r="O88" s="156" t="s">
        <v>82</v>
      </c>
      <c r="P88" s="157" t="s">
        <v>58</v>
      </c>
      <c r="Q88" s="158" t="s">
        <v>58</v>
      </c>
      <c r="R88" s="171"/>
      <c r="S88" s="171"/>
      <c r="T88" s="172"/>
      <c r="U88" s="171"/>
      <c r="V88" s="173">
        <v>5.5</v>
      </c>
      <c r="W88" s="173">
        <v>5.6</v>
      </c>
      <c r="X88" s="162">
        <v>6.97</v>
      </c>
      <c r="Y88" s="174"/>
      <c r="Z88" s="174"/>
      <c r="AA88" s="174"/>
      <c r="AB88" s="174"/>
      <c r="AC88" s="174"/>
      <c r="AD88" s="174"/>
      <c r="AE88" s="174"/>
      <c r="AF88" s="174"/>
      <c r="AG88" s="162"/>
      <c r="AH88" s="175"/>
      <c r="AI88" s="166"/>
      <c r="AJ88" s="168"/>
      <c r="AK88" s="168"/>
      <c r="AL88" s="168"/>
    </row>
    <row r="89" spans="1:38" ht="31.95" customHeight="1" x14ac:dyDescent="0.3">
      <c r="A89" s="147">
        <v>44074</v>
      </c>
      <c r="B89" s="148">
        <v>0.63510416666666669</v>
      </c>
      <c r="C89" s="149"/>
      <c r="D89" s="149">
        <v>30</v>
      </c>
      <c r="E89" s="149"/>
      <c r="F89" s="149"/>
      <c r="G89" s="150">
        <v>11</v>
      </c>
      <c r="H89" s="151" t="s">
        <v>66</v>
      </c>
      <c r="I89" s="170" t="s">
        <v>326</v>
      </c>
      <c r="J89" s="152"/>
      <c r="K89" s="153">
        <v>3100</v>
      </c>
      <c r="L89" s="154">
        <v>2</v>
      </c>
      <c r="M89" s="155">
        <v>7.3</v>
      </c>
      <c r="N89" s="155" t="s">
        <v>83</v>
      </c>
      <c r="O89" s="156" t="s">
        <v>82</v>
      </c>
      <c r="P89" s="157" t="s">
        <v>58</v>
      </c>
      <c r="Q89" s="158" t="s">
        <v>58</v>
      </c>
      <c r="R89" s="171"/>
      <c r="S89" s="171"/>
      <c r="T89" s="172"/>
      <c r="U89" s="171"/>
      <c r="V89" s="173"/>
      <c r="W89" s="173"/>
      <c r="X89" s="162"/>
      <c r="Y89" s="174"/>
      <c r="Z89" s="174"/>
      <c r="AA89" s="174"/>
      <c r="AB89" s="174"/>
      <c r="AC89" s="174"/>
      <c r="AD89" s="174"/>
      <c r="AE89" s="174"/>
      <c r="AF89" s="174"/>
      <c r="AG89" s="162"/>
      <c r="AH89" s="175"/>
      <c r="AI89" s="166"/>
      <c r="AJ89" s="168"/>
      <c r="AK89" s="168"/>
      <c r="AL89" s="168"/>
    </row>
    <row r="90" spans="1:38" ht="31.95" customHeight="1" x14ac:dyDescent="0.3">
      <c r="A90" s="176">
        <v>44074</v>
      </c>
      <c r="B90" s="177">
        <v>0.63557870370370373</v>
      </c>
      <c r="C90" s="149"/>
      <c r="D90" s="149">
        <v>120</v>
      </c>
      <c r="E90" s="149"/>
      <c r="F90" s="149"/>
      <c r="G90" s="150">
        <v>11</v>
      </c>
      <c r="H90" s="151" t="s">
        <v>62</v>
      </c>
      <c r="I90" s="178" t="s">
        <v>58</v>
      </c>
      <c r="J90" s="152"/>
      <c r="K90" s="153">
        <v>3100</v>
      </c>
      <c r="L90" s="154">
        <v>2</v>
      </c>
      <c r="M90" s="155">
        <v>7.3</v>
      </c>
      <c r="N90" s="155" t="s">
        <v>83</v>
      </c>
      <c r="O90" s="156" t="s">
        <v>82</v>
      </c>
      <c r="P90" s="157" t="s">
        <v>58</v>
      </c>
      <c r="Q90" s="158" t="s">
        <v>58</v>
      </c>
      <c r="R90" s="159"/>
      <c r="S90" s="159"/>
      <c r="T90" s="160"/>
      <c r="U90" s="171"/>
      <c r="V90" s="161">
        <v>5.5</v>
      </c>
      <c r="W90" s="161">
        <v>5.6</v>
      </c>
      <c r="X90" s="164">
        <v>6.84</v>
      </c>
      <c r="Y90" s="163"/>
      <c r="Z90" s="163"/>
      <c r="AA90" s="163"/>
      <c r="AB90" s="163"/>
      <c r="AC90" s="163"/>
      <c r="AD90" s="163"/>
      <c r="AE90" s="163"/>
      <c r="AF90" s="163"/>
      <c r="AG90" s="164"/>
      <c r="AH90" s="165"/>
      <c r="AI90" s="166"/>
      <c r="AJ90" s="167"/>
      <c r="AK90" s="168"/>
      <c r="AL90" s="168"/>
    </row>
    <row r="91" spans="1:38" ht="31.95" customHeight="1" x14ac:dyDescent="0.3">
      <c r="A91" s="176">
        <v>44074</v>
      </c>
      <c r="B91" s="177">
        <v>0.63758101851851856</v>
      </c>
      <c r="C91" s="149"/>
      <c r="D91" s="149">
        <v>30</v>
      </c>
      <c r="E91" s="149"/>
      <c r="F91" s="149"/>
      <c r="G91" s="150">
        <v>11</v>
      </c>
      <c r="H91" s="151" t="s">
        <v>66</v>
      </c>
      <c r="I91" s="170" t="s">
        <v>326</v>
      </c>
      <c r="J91" s="152"/>
      <c r="K91" s="153">
        <v>3100</v>
      </c>
      <c r="L91" s="154">
        <v>3</v>
      </c>
      <c r="M91" s="155">
        <v>8.52</v>
      </c>
      <c r="N91" s="155" t="s">
        <v>84</v>
      </c>
      <c r="O91" s="156" t="s">
        <v>82</v>
      </c>
      <c r="P91" s="157" t="s">
        <v>58</v>
      </c>
      <c r="Q91" s="158" t="s">
        <v>58</v>
      </c>
      <c r="R91" s="159"/>
      <c r="S91" s="159"/>
      <c r="T91" s="160"/>
      <c r="U91" s="171"/>
      <c r="V91" s="161"/>
      <c r="W91" s="161"/>
      <c r="X91" s="164"/>
      <c r="Y91" s="163"/>
      <c r="Z91" s="163"/>
      <c r="AA91" s="163"/>
      <c r="AB91" s="163"/>
      <c r="AC91" s="163"/>
      <c r="AD91" s="163"/>
      <c r="AE91" s="163"/>
      <c r="AF91" s="163"/>
      <c r="AG91" s="164"/>
      <c r="AH91" s="165"/>
      <c r="AI91" s="166"/>
      <c r="AJ91" s="167"/>
      <c r="AK91" s="168"/>
      <c r="AL91" s="168"/>
    </row>
    <row r="92" spans="1:38" ht="31.95" customHeight="1" x14ac:dyDescent="0.3">
      <c r="A92" s="176">
        <v>44074</v>
      </c>
      <c r="B92" s="177">
        <v>0.63798611111111114</v>
      </c>
      <c r="C92" s="149"/>
      <c r="D92" s="149">
        <v>120</v>
      </c>
      <c r="E92" s="149"/>
      <c r="F92" s="149"/>
      <c r="G92" s="150">
        <v>11</v>
      </c>
      <c r="H92" s="151" t="s">
        <v>62</v>
      </c>
      <c r="I92" s="178" t="s">
        <v>58</v>
      </c>
      <c r="J92" s="152"/>
      <c r="K92" s="153">
        <v>3100</v>
      </c>
      <c r="L92" s="154">
        <v>3</v>
      </c>
      <c r="M92" s="155">
        <v>8.52</v>
      </c>
      <c r="N92" s="155" t="s">
        <v>84</v>
      </c>
      <c r="O92" s="156" t="s">
        <v>82</v>
      </c>
      <c r="P92" s="157" t="s">
        <v>58</v>
      </c>
      <c r="Q92" s="158" t="s">
        <v>58</v>
      </c>
      <c r="R92" s="159"/>
      <c r="S92" s="159"/>
      <c r="T92" s="160"/>
      <c r="U92" s="171"/>
      <c r="V92" s="161">
        <v>5.5</v>
      </c>
      <c r="W92" s="161">
        <v>5.6</v>
      </c>
      <c r="X92" s="164"/>
      <c r="Y92" s="163"/>
      <c r="Z92" s="163"/>
      <c r="AA92" s="163"/>
      <c r="AB92" s="163"/>
      <c r="AC92" s="163"/>
      <c r="AD92" s="163"/>
      <c r="AE92" s="163"/>
      <c r="AF92" s="163"/>
      <c r="AG92" s="164"/>
      <c r="AH92" s="165"/>
      <c r="AI92" s="166"/>
      <c r="AJ92" s="167"/>
      <c r="AK92" s="168"/>
      <c r="AL92" s="168"/>
    </row>
    <row r="93" spans="1:38" ht="31.95" customHeight="1" x14ac:dyDescent="0.3">
      <c r="A93" s="176">
        <v>44074</v>
      </c>
      <c r="B93" s="177">
        <v>0.63957175925925924</v>
      </c>
      <c r="C93" s="149"/>
      <c r="D93" s="149">
        <v>30</v>
      </c>
      <c r="E93" s="149"/>
      <c r="F93" s="149"/>
      <c r="G93" s="150">
        <v>11</v>
      </c>
      <c r="H93" s="151" t="s">
        <v>66</v>
      </c>
      <c r="I93" s="170" t="s">
        <v>317</v>
      </c>
      <c r="J93" s="152"/>
      <c r="K93" s="153">
        <v>3100</v>
      </c>
      <c r="L93" s="154">
        <v>1</v>
      </c>
      <c r="M93" s="155">
        <v>1.67</v>
      </c>
      <c r="N93" s="155" t="s">
        <v>74</v>
      </c>
      <c r="O93" s="156" t="s">
        <v>82</v>
      </c>
      <c r="P93" s="157" t="s">
        <v>58</v>
      </c>
      <c r="Q93" s="158" t="s">
        <v>58</v>
      </c>
      <c r="R93" s="159"/>
      <c r="S93" s="159"/>
      <c r="T93" s="160"/>
      <c r="U93" s="171"/>
      <c r="V93" s="161"/>
      <c r="W93" s="161"/>
      <c r="X93" s="164"/>
      <c r="Y93" s="163"/>
      <c r="Z93" s="163"/>
      <c r="AA93" s="163"/>
      <c r="AB93" s="163"/>
      <c r="AC93" s="163"/>
      <c r="AD93" s="163"/>
      <c r="AE93" s="163"/>
      <c r="AF93" s="163"/>
      <c r="AG93" s="164"/>
      <c r="AH93" s="165"/>
      <c r="AI93" s="166"/>
      <c r="AJ93" s="167"/>
      <c r="AK93" s="168"/>
      <c r="AL93" s="168"/>
    </row>
    <row r="94" spans="1:38" ht="31.95" customHeight="1" x14ac:dyDescent="0.3">
      <c r="A94" s="176">
        <v>44074</v>
      </c>
      <c r="B94" s="177">
        <v>0.63993055555555556</v>
      </c>
      <c r="C94" s="149"/>
      <c r="D94" s="149">
        <v>60</v>
      </c>
      <c r="E94" s="149"/>
      <c r="F94" s="149"/>
      <c r="G94" s="150">
        <v>11</v>
      </c>
      <c r="H94" s="151" t="s">
        <v>77</v>
      </c>
      <c r="I94" s="178" t="s">
        <v>58</v>
      </c>
      <c r="J94" s="152"/>
      <c r="K94" s="153">
        <v>3100</v>
      </c>
      <c r="L94" s="154">
        <v>1</v>
      </c>
      <c r="M94" s="155">
        <v>1.67</v>
      </c>
      <c r="N94" s="155" t="s">
        <v>74</v>
      </c>
      <c r="O94" s="156" t="s">
        <v>82</v>
      </c>
      <c r="P94" s="157" t="s">
        <v>58</v>
      </c>
      <c r="Q94" s="158" t="s">
        <v>58</v>
      </c>
      <c r="R94" s="159"/>
      <c r="S94" s="159"/>
      <c r="T94" s="160"/>
      <c r="U94" s="171"/>
      <c r="V94" s="161">
        <v>5.5</v>
      </c>
      <c r="W94" s="161">
        <v>5.6</v>
      </c>
      <c r="X94" s="164"/>
      <c r="Y94" s="163"/>
      <c r="Z94" s="163"/>
      <c r="AA94" s="163"/>
      <c r="AB94" s="163"/>
      <c r="AC94" s="163"/>
      <c r="AD94" s="163"/>
      <c r="AE94" s="163"/>
      <c r="AF94" s="163"/>
      <c r="AG94" s="164"/>
      <c r="AH94" s="165"/>
      <c r="AI94" s="166"/>
      <c r="AJ94" s="167"/>
      <c r="AK94" s="168"/>
      <c r="AL94" s="168"/>
    </row>
    <row r="95" spans="1:38" ht="31.95" customHeight="1" x14ac:dyDescent="0.3">
      <c r="A95" s="176">
        <v>44074</v>
      </c>
      <c r="B95" s="177">
        <v>0.64076388888888891</v>
      </c>
      <c r="C95" s="149"/>
      <c r="D95" s="149">
        <v>30</v>
      </c>
      <c r="E95" s="149"/>
      <c r="F95" s="149"/>
      <c r="G95" s="150" t="s">
        <v>58</v>
      </c>
      <c r="H95" s="151" t="s">
        <v>72</v>
      </c>
      <c r="I95" s="170" t="s">
        <v>67</v>
      </c>
      <c r="J95" s="152"/>
      <c r="K95" s="153">
        <v>2200</v>
      </c>
      <c r="L95" s="154">
        <v>1</v>
      </c>
      <c r="M95" s="155">
        <v>1.67</v>
      </c>
      <c r="N95" s="155" t="s">
        <v>74</v>
      </c>
      <c r="O95" s="156" t="s">
        <v>82</v>
      </c>
      <c r="P95" s="157" t="s">
        <v>58</v>
      </c>
      <c r="Q95" s="158" t="s">
        <v>58</v>
      </c>
      <c r="R95" s="159"/>
      <c r="S95" s="159"/>
      <c r="T95" s="160"/>
      <c r="U95" s="171"/>
      <c r="V95" s="161"/>
      <c r="W95" s="161"/>
      <c r="X95" s="164"/>
      <c r="Y95" s="163"/>
      <c r="Z95" s="163"/>
      <c r="AA95" s="163"/>
      <c r="AB95" s="163"/>
      <c r="AC95" s="163"/>
      <c r="AD95" s="163"/>
      <c r="AE95" s="163"/>
      <c r="AF95" s="163"/>
      <c r="AG95" s="164"/>
      <c r="AH95" s="165"/>
      <c r="AI95" s="166"/>
      <c r="AJ95" s="167"/>
      <c r="AK95" s="168"/>
      <c r="AL95" s="168"/>
    </row>
    <row r="96" spans="1:38" ht="31.95" customHeight="1" x14ac:dyDescent="0.3">
      <c r="A96" s="147"/>
      <c r="B96" s="148"/>
      <c r="C96" s="149"/>
      <c r="D96" s="149" t="s">
        <v>58</v>
      </c>
      <c r="E96" s="149"/>
      <c r="F96" s="149"/>
      <c r="G96" s="150" t="s">
        <v>58</v>
      </c>
      <c r="H96" s="151" t="s">
        <v>72</v>
      </c>
      <c r="I96" s="170" t="s">
        <v>79</v>
      </c>
      <c r="J96" s="152"/>
      <c r="K96" s="153">
        <v>2200</v>
      </c>
      <c r="L96" s="154" t="s">
        <v>58</v>
      </c>
      <c r="M96" s="155" t="s">
        <v>58</v>
      </c>
      <c r="N96" s="155" t="s">
        <v>58</v>
      </c>
      <c r="O96" s="156" t="s">
        <v>58</v>
      </c>
      <c r="P96" s="157" t="s">
        <v>58</v>
      </c>
      <c r="Q96" s="158" t="s">
        <v>58</v>
      </c>
      <c r="R96" s="171"/>
      <c r="S96" s="171"/>
      <c r="T96" s="172"/>
      <c r="U96" s="171"/>
      <c r="V96" s="173"/>
      <c r="W96" s="173"/>
      <c r="X96" s="162"/>
      <c r="Y96" s="174"/>
      <c r="Z96" s="174"/>
      <c r="AA96" s="174"/>
      <c r="AB96" s="174"/>
      <c r="AC96" s="174"/>
      <c r="AD96" s="174"/>
      <c r="AE96" s="174"/>
      <c r="AF96" s="174"/>
      <c r="AG96" s="162"/>
      <c r="AH96" s="175"/>
      <c r="AI96" s="166"/>
      <c r="AJ96" s="168"/>
      <c r="AK96" s="168"/>
      <c r="AL96" s="168"/>
    </row>
    <row r="97" spans="1:38" ht="31.95" customHeight="1" x14ac:dyDescent="0.3">
      <c r="A97" s="147"/>
      <c r="B97" s="148"/>
      <c r="C97" s="149"/>
      <c r="D97" s="149" t="s">
        <v>58</v>
      </c>
      <c r="E97" s="149"/>
      <c r="F97" s="149"/>
      <c r="G97" s="150" t="s">
        <v>58</v>
      </c>
      <c r="H97" s="151" t="s">
        <v>72</v>
      </c>
      <c r="I97" s="170" t="s">
        <v>73</v>
      </c>
      <c r="J97" s="152"/>
      <c r="K97" s="153">
        <v>2200</v>
      </c>
      <c r="L97" s="154">
        <v>1</v>
      </c>
      <c r="M97" s="155">
        <v>2.33</v>
      </c>
      <c r="N97" s="155" t="s">
        <v>86</v>
      </c>
      <c r="O97" s="156" t="s">
        <v>87</v>
      </c>
      <c r="P97" s="157" t="s">
        <v>58</v>
      </c>
      <c r="Q97" s="158" t="s">
        <v>58</v>
      </c>
      <c r="R97" s="171"/>
      <c r="S97" s="171"/>
      <c r="T97" s="172"/>
      <c r="U97" s="171"/>
      <c r="V97" s="173"/>
      <c r="W97" s="173"/>
      <c r="X97" s="162"/>
      <c r="Y97" s="174"/>
      <c r="Z97" s="174"/>
      <c r="AA97" s="174"/>
      <c r="AB97" s="174"/>
      <c r="AC97" s="174"/>
      <c r="AD97" s="174"/>
      <c r="AE97" s="174"/>
      <c r="AF97" s="174"/>
      <c r="AG97" s="162"/>
      <c r="AH97" s="175"/>
      <c r="AI97" s="166" t="s">
        <v>63</v>
      </c>
      <c r="AJ97" s="168" t="s">
        <v>346</v>
      </c>
      <c r="AK97" s="168"/>
      <c r="AL97" s="168"/>
    </row>
    <row r="98" spans="1:38" ht="31.95" customHeight="1" x14ac:dyDescent="0.3">
      <c r="A98" s="147">
        <v>44074</v>
      </c>
      <c r="B98" s="148">
        <v>0.65532407407407411</v>
      </c>
      <c r="C98" s="149"/>
      <c r="D98" s="149">
        <v>120</v>
      </c>
      <c r="E98" s="149"/>
      <c r="F98" s="149"/>
      <c r="G98" s="150">
        <v>12</v>
      </c>
      <c r="H98" s="151" t="s">
        <v>62</v>
      </c>
      <c r="I98" s="170" t="s">
        <v>58</v>
      </c>
      <c r="J98" s="152"/>
      <c r="K98" s="153">
        <v>2200</v>
      </c>
      <c r="L98" s="154">
        <v>1</v>
      </c>
      <c r="M98" s="155">
        <v>2.33</v>
      </c>
      <c r="N98" s="155" t="s">
        <v>86</v>
      </c>
      <c r="O98" s="156" t="s">
        <v>87</v>
      </c>
      <c r="P98" s="157" t="s">
        <v>58</v>
      </c>
      <c r="Q98" s="158" t="s">
        <v>58</v>
      </c>
      <c r="R98" s="171"/>
      <c r="S98" s="171"/>
      <c r="T98" s="172"/>
      <c r="U98" s="171"/>
      <c r="V98" s="173">
        <v>3.3</v>
      </c>
      <c r="W98" s="173">
        <v>2.1</v>
      </c>
      <c r="X98" s="162">
        <v>4.8099999999999996</v>
      </c>
      <c r="Y98" s="174"/>
      <c r="Z98" s="174"/>
      <c r="AA98" s="174"/>
      <c r="AB98" s="174"/>
      <c r="AC98" s="174"/>
      <c r="AD98" s="174"/>
      <c r="AE98" s="174"/>
      <c r="AF98" s="174"/>
      <c r="AG98" s="162"/>
      <c r="AH98" s="175"/>
      <c r="AI98" s="166"/>
      <c r="AJ98" s="168"/>
      <c r="AK98" s="168"/>
      <c r="AL98" s="168"/>
    </row>
    <row r="99" spans="1:38" ht="31.95" customHeight="1" x14ac:dyDescent="0.3">
      <c r="A99" s="147">
        <v>44074</v>
      </c>
      <c r="B99" s="148">
        <v>0.65692129629629636</v>
      </c>
      <c r="C99" s="149"/>
      <c r="D99" s="149">
        <v>60</v>
      </c>
      <c r="E99" s="149"/>
      <c r="F99" s="149"/>
      <c r="G99" s="150">
        <v>12</v>
      </c>
      <c r="H99" s="151" t="s">
        <v>66</v>
      </c>
      <c r="I99" s="170" t="s">
        <v>327</v>
      </c>
      <c r="J99" s="152"/>
      <c r="K99" s="153">
        <v>2200</v>
      </c>
      <c r="L99" s="154">
        <v>2</v>
      </c>
      <c r="M99" s="155">
        <v>9</v>
      </c>
      <c r="N99" s="155" t="s">
        <v>88</v>
      </c>
      <c r="O99" s="156" t="s">
        <v>87</v>
      </c>
      <c r="P99" s="157" t="s">
        <v>58</v>
      </c>
      <c r="Q99" s="158" t="s">
        <v>58</v>
      </c>
      <c r="R99" s="171"/>
      <c r="S99" s="171"/>
      <c r="T99" s="172"/>
      <c r="U99" s="171"/>
      <c r="V99" s="173"/>
      <c r="W99" s="173"/>
      <c r="X99" s="162"/>
      <c r="Y99" s="174"/>
      <c r="Z99" s="174"/>
      <c r="AA99" s="174"/>
      <c r="AB99" s="174"/>
      <c r="AC99" s="174"/>
      <c r="AD99" s="174"/>
      <c r="AE99" s="174"/>
      <c r="AF99" s="174"/>
      <c r="AG99" s="162"/>
      <c r="AH99" s="175"/>
      <c r="AI99" s="166"/>
      <c r="AJ99" s="168"/>
      <c r="AK99" s="168"/>
      <c r="AL99" s="168"/>
    </row>
    <row r="100" spans="1:38" ht="31.95" customHeight="1" x14ac:dyDescent="0.3">
      <c r="A100" s="176">
        <v>44074</v>
      </c>
      <c r="B100" s="177">
        <v>0.65719907407407407</v>
      </c>
      <c r="C100" s="149"/>
      <c r="D100" s="149">
        <v>120</v>
      </c>
      <c r="E100" s="149"/>
      <c r="F100" s="149"/>
      <c r="G100" s="150">
        <v>12</v>
      </c>
      <c r="H100" s="151" t="s">
        <v>62</v>
      </c>
      <c r="I100" s="178" t="s">
        <v>58</v>
      </c>
      <c r="J100" s="152"/>
      <c r="K100" s="153">
        <v>2200</v>
      </c>
      <c r="L100" s="154">
        <v>2</v>
      </c>
      <c r="M100" s="155">
        <v>9</v>
      </c>
      <c r="N100" s="155" t="s">
        <v>88</v>
      </c>
      <c r="O100" s="156" t="s">
        <v>87</v>
      </c>
      <c r="P100" s="157" t="s">
        <v>58</v>
      </c>
      <c r="Q100" s="158" t="s">
        <v>58</v>
      </c>
      <c r="R100" s="159"/>
      <c r="S100" s="159"/>
      <c r="T100" s="160"/>
      <c r="U100" s="171"/>
      <c r="V100" s="161">
        <v>3.4</v>
      </c>
      <c r="W100" s="161">
        <v>2.1</v>
      </c>
      <c r="X100" s="164">
        <v>4.8099999999999996</v>
      </c>
      <c r="Y100" s="163"/>
      <c r="Z100" s="163"/>
      <c r="AA100" s="163"/>
      <c r="AB100" s="163"/>
      <c r="AC100" s="163"/>
      <c r="AD100" s="163"/>
      <c r="AE100" s="163"/>
      <c r="AF100" s="163"/>
      <c r="AG100" s="164"/>
      <c r="AH100" s="165"/>
      <c r="AI100" s="166"/>
      <c r="AJ100" s="167" t="s">
        <v>89</v>
      </c>
      <c r="AK100" s="168"/>
      <c r="AL100" s="168"/>
    </row>
    <row r="101" spans="1:38" ht="31.95" customHeight="1" x14ac:dyDescent="0.3">
      <c r="A101" s="176">
        <v>44074</v>
      </c>
      <c r="B101" s="177">
        <v>0.65865740740740741</v>
      </c>
      <c r="C101" s="149"/>
      <c r="D101" s="149">
        <v>60</v>
      </c>
      <c r="E101" s="149"/>
      <c r="F101" s="149"/>
      <c r="G101" s="150">
        <v>12</v>
      </c>
      <c r="H101" s="151" t="s">
        <v>66</v>
      </c>
      <c r="I101" s="170" t="s">
        <v>327</v>
      </c>
      <c r="J101" s="152"/>
      <c r="K101" s="153">
        <v>2200</v>
      </c>
      <c r="L101" s="154">
        <v>3</v>
      </c>
      <c r="M101" s="155">
        <v>10</v>
      </c>
      <c r="N101" s="155" t="s">
        <v>90</v>
      </c>
      <c r="O101" s="156" t="s">
        <v>87</v>
      </c>
      <c r="P101" s="157" t="s">
        <v>58</v>
      </c>
      <c r="Q101" s="158" t="s">
        <v>58</v>
      </c>
      <c r="R101" s="159"/>
      <c r="S101" s="159"/>
      <c r="T101" s="160"/>
      <c r="U101" s="171"/>
      <c r="V101" s="161"/>
      <c r="W101" s="161"/>
      <c r="X101" s="164"/>
      <c r="Y101" s="163"/>
      <c r="Z101" s="163"/>
      <c r="AA101" s="163"/>
      <c r="AB101" s="163"/>
      <c r="AC101" s="163"/>
      <c r="AD101" s="163"/>
      <c r="AE101" s="163"/>
      <c r="AF101" s="163"/>
      <c r="AG101" s="164"/>
      <c r="AH101" s="165"/>
      <c r="AI101" s="166"/>
      <c r="AJ101" s="167"/>
      <c r="AK101" s="168"/>
      <c r="AL101" s="168"/>
    </row>
    <row r="102" spans="1:38" ht="31.95" customHeight="1" x14ac:dyDescent="0.3">
      <c r="A102" s="176">
        <v>44074</v>
      </c>
      <c r="B102" s="177">
        <v>0.65932870370370367</v>
      </c>
      <c r="C102" s="149"/>
      <c r="D102" s="149">
        <v>120</v>
      </c>
      <c r="E102" s="149"/>
      <c r="F102" s="149"/>
      <c r="G102" s="150">
        <v>12</v>
      </c>
      <c r="H102" s="151" t="s">
        <v>62</v>
      </c>
      <c r="I102" s="178" t="s">
        <v>58</v>
      </c>
      <c r="J102" s="152"/>
      <c r="K102" s="153">
        <v>2200</v>
      </c>
      <c r="L102" s="154">
        <v>3</v>
      </c>
      <c r="M102" s="155">
        <v>10</v>
      </c>
      <c r="N102" s="155" t="s">
        <v>90</v>
      </c>
      <c r="O102" s="156" t="s">
        <v>87</v>
      </c>
      <c r="P102" s="157" t="s">
        <v>58</v>
      </c>
      <c r="Q102" s="158" t="s">
        <v>58</v>
      </c>
      <c r="R102" s="159"/>
      <c r="S102" s="159"/>
      <c r="T102" s="160"/>
      <c r="U102" s="171"/>
      <c r="V102" s="161">
        <v>3.5</v>
      </c>
      <c r="W102" s="161">
        <v>2.1</v>
      </c>
      <c r="X102" s="164">
        <v>4.74</v>
      </c>
      <c r="Y102" s="163"/>
      <c r="Z102" s="163"/>
      <c r="AA102" s="163"/>
      <c r="AB102" s="163"/>
      <c r="AC102" s="163"/>
      <c r="AD102" s="163"/>
      <c r="AE102" s="163"/>
      <c r="AF102" s="163"/>
      <c r="AG102" s="164"/>
      <c r="AH102" s="165"/>
      <c r="AI102" s="166"/>
      <c r="AJ102" s="167"/>
      <c r="AK102" s="168"/>
      <c r="AL102" s="168"/>
    </row>
    <row r="103" spans="1:38" ht="31.95" customHeight="1" x14ac:dyDescent="0.3">
      <c r="A103" s="176">
        <v>44074</v>
      </c>
      <c r="B103" s="177">
        <v>0.66096064814814814</v>
      </c>
      <c r="C103" s="149"/>
      <c r="D103" s="149">
        <v>60</v>
      </c>
      <c r="E103" s="149"/>
      <c r="F103" s="149"/>
      <c r="G103" s="150">
        <v>12</v>
      </c>
      <c r="H103" s="151" t="s">
        <v>66</v>
      </c>
      <c r="I103" s="170" t="s">
        <v>327</v>
      </c>
      <c r="J103" s="152"/>
      <c r="K103" s="153">
        <v>2200</v>
      </c>
      <c r="L103" s="154">
        <v>4</v>
      </c>
      <c r="M103" s="155">
        <v>11</v>
      </c>
      <c r="N103" s="155" t="s">
        <v>91</v>
      </c>
      <c r="O103" s="156" t="s">
        <v>87</v>
      </c>
      <c r="P103" s="157" t="s">
        <v>58</v>
      </c>
      <c r="Q103" s="158" t="s">
        <v>58</v>
      </c>
      <c r="R103" s="159"/>
      <c r="S103" s="159"/>
      <c r="T103" s="160"/>
      <c r="U103" s="171"/>
      <c r="V103" s="161"/>
      <c r="W103" s="161"/>
      <c r="X103" s="164"/>
      <c r="Y103" s="163"/>
      <c r="Z103" s="163"/>
      <c r="AA103" s="163"/>
      <c r="AB103" s="163"/>
      <c r="AC103" s="163"/>
      <c r="AD103" s="163"/>
      <c r="AE103" s="163"/>
      <c r="AF103" s="163"/>
      <c r="AG103" s="164"/>
      <c r="AH103" s="165"/>
      <c r="AI103" s="166"/>
      <c r="AJ103" s="167"/>
      <c r="AK103" s="168"/>
      <c r="AL103" s="168"/>
    </row>
    <row r="104" spans="1:38" ht="31.95" customHeight="1" x14ac:dyDescent="0.3">
      <c r="A104" s="176">
        <v>44074</v>
      </c>
      <c r="B104" s="177">
        <v>0.66180555555555554</v>
      </c>
      <c r="C104" s="149"/>
      <c r="D104" s="149">
        <v>120</v>
      </c>
      <c r="E104" s="149"/>
      <c r="F104" s="149"/>
      <c r="G104" s="150">
        <v>12</v>
      </c>
      <c r="H104" s="151" t="s">
        <v>62</v>
      </c>
      <c r="I104" s="178" t="s">
        <v>58</v>
      </c>
      <c r="J104" s="152"/>
      <c r="K104" s="153">
        <v>2200</v>
      </c>
      <c r="L104" s="154">
        <v>4</v>
      </c>
      <c r="M104" s="155">
        <v>11</v>
      </c>
      <c r="N104" s="155" t="s">
        <v>91</v>
      </c>
      <c r="O104" s="156" t="s">
        <v>87</v>
      </c>
      <c r="P104" s="157" t="s">
        <v>58</v>
      </c>
      <c r="Q104" s="158" t="s">
        <v>58</v>
      </c>
      <c r="R104" s="159"/>
      <c r="S104" s="159"/>
      <c r="T104" s="160"/>
      <c r="U104" s="171"/>
      <c r="V104" s="161">
        <v>2.6</v>
      </c>
      <c r="W104" s="161">
        <v>1.9</v>
      </c>
      <c r="X104" s="164">
        <v>3.98</v>
      </c>
      <c r="Y104" s="163"/>
      <c r="Z104" s="163"/>
      <c r="AA104" s="163"/>
      <c r="AB104" s="163"/>
      <c r="AC104" s="163"/>
      <c r="AD104" s="163"/>
      <c r="AE104" s="163"/>
      <c r="AF104" s="163"/>
      <c r="AG104" s="164"/>
      <c r="AH104" s="165"/>
      <c r="AI104" s="166"/>
      <c r="AJ104" s="167"/>
      <c r="AK104" s="168"/>
      <c r="AL104" s="168"/>
    </row>
    <row r="105" spans="1:38" ht="31.95" customHeight="1" x14ac:dyDescent="0.3">
      <c r="A105" s="176">
        <v>44074</v>
      </c>
      <c r="B105" s="177">
        <v>0.66328703703703706</v>
      </c>
      <c r="C105" s="149"/>
      <c r="D105" s="149">
        <v>60</v>
      </c>
      <c r="E105" s="149"/>
      <c r="F105" s="149"/>
      <c r="G105" s="150">
        <v>12</v>
      </c>
      <c r="H105" s="151" t="s">
        <v>66</v>
      </c>
      <c r="I105" s="170" t="s">
        <v>327</v>
      </c>
      <c r="J105" s="152"/>
      <c r="K105" s="153">
        <v>2200</v>
      </c>
      <c r="L105" s="154">
        <v>5</v>
      </c>
      <c r="M105" s="155">
        <v>12</v>
      </c>
      <c r="N105" s="155" t="s">
        <v>367</v>
      </c>
      <c r="O105" s="156" t="s">
        <v>87</v>
      </c>
      <c r="P105" s="157" t="s">
        <v>58</v>
      </c>
      <c r="Q105" s="158" t="s">
        <v>58</v>
      </c>
      <c r="R105" s="159"/>
      <c r="S105" s="159"/>
      <c r="T105" s="160"/>
      <c r="U105" s="171"/>
      <c r="V105" s="161"/>
      <c r="W105" s="161"/>
      <c r="X105" s="164"/>
      <c r="Y105" s="163"/>
      <c r="Z105" s="163"/>
      <c r="AA105" s="163"/>
      <c r="AB105" s="163"/>
      <c r="AC105" s="163"/>
      <c r="AD105" s="163"/>
      <c r="AE105" s="163"/>
      <c r="AF105" s="163"/>
      <c r="AG105" s="164"/>
      <c r="AH105" s="165"/>
      <c r="AI105" s="166"/>
      <c r="AJ105" s="167"/>
      <c r="AK105" s="168"/>
      <c r="AL105" s="168"/>
    </row>
    <row r="106" spans="1:38" ht="31.95" customHeight="1" x14ac:dyDescent="0.3">
      <c r="A106" s="176">
        <v>44074</v>
      </c>
      <c r="B106" s="177">
        <v>0.66401620370370373</v>
      </c>
      <c r="C106" s="149"/>
      <c r="D106" s="149">
        <v>120</v>
      </c>
      <c r="E106" s="149"/>
      <c r="F106" s="149"/>
      <c r="G106" s="150">
        <v>12</v>
      </c>
      <c r="H106" s="151" t="s">
        <v>62</v>
      </c>
      <c r="I106" s="178" t="s">
        <v>58</v>
      </c>
      <c r="J106" s="152"/>
      <c r="K106" s="153">
        <v>2200</v>
      </c>
      <c r="L106" s="154">
        <v>5</v>
      </c>
      <c r="M106" s="155">
        <v>12</v>
      </c>
      <c r="N106" s="155" t="s">
        <v>367</v>
      </c>
      <c r="O106" s="156" t="s">
        <v>87</v>
      </c>
      <c r="P106" s="157" t="s">
        <v>58</v>
      </c>
      <c r="Q106" s="158" t="s">
        <v>58</v>
      </c>
      <c r="R106" s="159"/>
      <c r="S106" s="159"/>
      <c r="T106" s="160"/>
      <c r="U106" s="171"/>
      <c r="V106" s="161">
        <v>1.6</v>
      </c>
      <c r="W106" s="161">
        <v>1.6</v>
      </c>
      <c r="X106" s="164">
        <v>2.8</v>
      </c>
      <c r="Y106" s="163"/>
      <c r="Z106" s="163"/>
      <c r="AA106" s="163"/>
      <c r="AB106" s="163"/>
      <c r="AC106" s="163"/>
      <c r="AD106" s="163"/>
      <c r="AE106" s="163"/>
      <c r="AF106" s="163"/>
      <c r="AG106" s="164"/>
      <c r="AH106" s="165"/>
      <c r="AI106" s="166"/>
      <c r="AJ106" s="167"/>
      <c r="AK106" s="168"/>
      <c r="AL106" s="168"/>
    </row>
    <row r="107" spans="1:38" ht="31.95" customHeight="1" x14ac:dyDescent="0.3">
      <c r="A107" s="176">
        <v>44074</v>
      </c>
      <c r="B107" s="177">
        <v>0.66671296296296301</v>
      </c>
      <c r="C107" s="149"/>
      <c r="D107" s="149">
        <v>45</v>
      </c>
      <c r="E107" s="149"/>
      <c r="F107" s="149"/>
      <c r="G107" s="150">
        <v>12</v>
      </c>
      <c r="H107" s="151" t="s">
        <v>66</v>
      </c>
      <c r="I107" s="170" t="s">
        <v>318</v>
      </c>
      <c r="J107" s="152"/>
      <c r="K107" s="153">
        <v>2200</v>
      </c>
      <c r="L107" s="154">
        <v>1</v>
      </c>
      <c r="M107" s="155">
        <v>2.33</v>
      </c>
      <c r="N107" s="155" t="s">
        <v>86</v>
      </c>
      <c r="O107" s="156" t="s">
        <v>87</v>
      </c>
      <c r="P107" s="157" t="s">
        <v>58</v>
      </c>
      <c r="Q107" s="158" t="s">
        <v>58</v>
      </c>
      <c r="R107" s="159"/>
      <c r="S107" s="159"/>
      <c r="T107" s="160"/>
      <c r="U107" s="171"/>
      <c r="V107" s="161"/>
      <c r="W107" s="161"/>
      <c r="X107" s="164"/>
      <c r="Y107" s="163"/>
      <c r="Z107" s="163"/>
      <c r="AA107" s="163"/>
      <c r="AB107" s="163"/>
      <c r="AC107" s="163"/>
      <c r="AD107" s="163"/>
      <c r="AE107" s="163"/>
      <c r="AF107" s="163"/>
      <c r="AG107" s="164"/>
      <c r="AH107" s="165"/>
      <c r="AI107" s="166"/>
      <c r="AJ107" s="167"/>
      <c r="AK107" s="168"/>
      <c r="AL107" s="168"/>
    </row>
    <row r="108" spans="1:38" ht="31.95" customHeight="1" x14ac:dyDescent="0.3">
      <c r="A108" s="176">
        <v>44074</v>
      </c>
      <c r="B108" s="177">
        <v>0.66760416666666667</v>
      </c>
      <c r="C108" s="149"/>
      <c r="D108" s="149">
        <v>60</v>
      </c>
      <c r="E108" s="149"/>
      <c r="F108" s="149"/>
      <c r="G108" s="150">
        <v>12</v>
      </c>
      <c r="H108" s="151" t="s">
        <v>77</v>
      </c>
      <c r="I108" s="178" t="s">
        <v>58</v>
      </c>
      <c r="J108" s="152"/>
      <c r="K108" s="153">
        <v>2200</v>
      </c>
      <c r="L108" s="154">
        <v>1</v>
      </c>
      <c r="M108" s="155">
        <v>2.33</v>
      </c>
      <c r="N108" s="155" t="s">
        <v>86</v>
      </c>
      <c r="O108" s="156" t="s">
        <v>87</v>
      </c>
      <c r="P108" s="157" t="s">
        <v>58</v>
      </c>
      <c r="Q108" s="158" t="s">
        <v>58</v>
      </c>
      <c r="R108" s="159"/>
      <c r="S108" s="159"/>
      <c r="T108" s="160"/>
      <c r="U108" s="171"/>
      <c r="V108" s="161">
        <v>3.3</v>
      </c>
      <c r="W108" s="161">
        <v>2.1</v>
      </c>
      <c r="X108" s="164">
        <v>4.8099999999999996</v>
      </c>
      <c r="Y108" s="163"/>
      <c r="Z108" s="163"/>
      <c r="AA108" s="163"/>
      <c r="AB108" s="163"/>
      <c r="AC108" s="163"/>
      <c r="AD108" s="163"/>
      <c r="AE108" s="163"/>
      <c r="AF108" s="163"/>
      <c r="AG108" s="164"/>
      <c r="AH108" s="165"/>
      <c r="AI108" s="166"/>
      <c r="AJ108" s="167"/>
      <c r="AK108" s="168"/>
      <c r="AL108" s="168"/>
    </row>
    <row r="109" spans="1:38" ht="31.95" customHeight="1" x14ac:dyDescent="0.3">
      <c r="A109" s="176">
        <v>44074</v>
      </c>
      <c r="B109" s="177">
        <v>0.6684606481481481</v>
      </c>
      <c r="C109" s="149"/>
      <c r="D109" s="149" t="s">
        <v>58</v>
      </c>
      <c r="E109" s="149"/>
      <c r="F109" s="149"/>
      <c r="G109" s="150" t="s">
        <v>58</v>
      </c>
      <c r="H109" s="151" t="s">
        <v>72</v>
      </c>
      <c r="I109" s="170" t="s">
        <v>58</v>
      </c>
      <c r="J109" s="152"/>
      <c r="K109" s="153">
        <v>2200</v>
      </c>
      <c r="L109" s="154">
        <v>1</v>
      </c>
      <c r="M109" s="155">
        <v>2.33</v>
      </c>
      <c r="N109" s="155" t="s">
        <v>86</v>
      </c>
      <c r="O109" s="156" t="s">
        <v>87</v>
      </c>
      <c r="P109" s="157" t="s">
        <v>58</v>
      </c>
      <c r="Q109" s="158" t="s">
        <v>58</v>
      </c>
      <c r="R109" s="159"/>
      <c r="S109" s="159"/>
      <c r="T109" s="160"/>
      <c r="U109" s="171"/>
      <c r="V109" s="161"/>
      <c r="W109" s="161"/>
      <c r="X109" s="164"/>
      <c r="Y109" s="163"/>
      <c r="Z109" s="163"/>
      <c r="AA109" s="163"/>
      <c r="AB109" s="163"/>
      <c r="AC109" s="163"/>
      <c r="AD109" s="163"/>
      <c r="AE109" s="163"/>
      <c r="AF109" s="163"/>
      <c r="AG109" s="164"/>
      <c r="AH109" s="165"/>
      <c r="AI109" s="166" t="s">
        <v>347</v>
      </c>
      <c r="AJ109" s="167"/>
      <c r="AK109" s="168"/>
      <c r="AL109" s="168"/>
    </row>
    <row r="110" spans="1:38" ht="31.95" customHeight="1" x14ac:dyDescent="0.3">
      <c r="A110" s="176"/>
      <c r="B110" s="177"/>
      <c r="C110" s="149"/>
      <c r="D110" s="149">
        <v>30</v>
      </c>
      <c r="E110" s="149"/>
      <c r="F110" s="149"/>
      <c r="G110" s="150" t="s">
        <v>58</v>
      </c>
      <c r="H110" s="151" t="s">
        <v>66</v>
      </c>
      <c r="I110" s="170" t="s">
        <v>67</v>
      </c>
      <c r="J110" s="152"/>
      <c r="K110" s="153">
        <v>2500</v>
      </c>
      <c r="L110" s="154">
        <v>1</v>
      </c>
      <c r="M110" s="155">
        <v>2.33</v>
      </c>
      <c r="N110" s="155" t="s">
        <v>86</v>
      </c>
      <c r="O110" s="156" t="s">
        <v>87</v>
      </c>
      <c r="P110" s="157" t="s">
        <v>58</v>
      </c>
      <c r="Q110" s="158" t="s">
        <v>58</v>
      </c>
      <c r="R110" s="159"/>
      <c r="S110" s="159"/>
      <c r="T110" s="160"/>
      <c r="U110" s="171"/>
      <c r="V110" s="161"/>
      <c r="W110" s="161"/>
      <c r="X110" s="164"/>
      <c r="Y110" s="163"/>
      <c r="Z110" s="163"/>
      <c r="AA110" s="163"/>
      <c r="AB110" s="163"/>
      <c r="AC110" s="163"/>
      <c r="AD110" s="163"/>
      <c r="AE110" s="163"/>
      <c r="AF110" s="163"/>
      <c r="AG110" s="164"/>
      <c r="AH110" s="165"/>
      <c r="AI110" s="166"/>
      <c r="AJ110" s="167"/>
      <c r="AK110" s="168"/>
      <c r="AL110" s="168"/>
    </row>
    <row r="111" spans="1:38" ht="31.95" customHeight="1" x14ac:dyDescent="0.3">
      <c r="A111" s="147">
        <v>44074</v>
      </c>
      <c r="B111" s="148">
        <v>0.67282407407407396</v>
      </c>
      <c r="C111" s="149"/>
      <c r="D111" s="149">
        <v>120</v>
      </c>
      <c r="E111" s="149"/>
      <c r="F111" s="149"/>
      <c r="G111" s="150">
        <v>13</v>
      </c>
      <c r="H111" s="151" t="s">
        <v>62</v>
      </c>
      <c r="I111" s="170" t="s">
        <v>58</v>
      </c>
      <c r="J111" s="152"/>
      <c r="K111" s="153">
        <v>2500</v>
      </c>
      <c r="L111" s="154">
        <v>1</v>
      </c>
      <c r="M111" s="155">
        <v>2.33</v>
      </c>
      <c r="N111" s="155" t="s">
        <v>86</v>
      </c>
      <c r="O111" s="156" t="s">
        <v>87</v>
      </c>
      <c r="P111" s="157" t="s">
        <v>58</v>
      </c>
      <c r="Q111" s="158" t="s">
        <v>58</v>
      </c>
      <c r="R111" s="171"/>
      <c r="S111" s="171"/>
      <c r="T111" s="172"/>
      <c r="U111" s="171"/>
      <c r="V111" s="173">
        <v>4.0999999999999996</v>
      </c>
      <c r="W111" s="173">
        <v>3</v>
      </c>
      <c r="X111" s="162">
        <v>5.53</v>
      </c>
      <c r="Y111" s="174"/>
      <c r="Z111" s="174"/>
      <c r="AA111" s="174"/>
      <c r="AB111" s="174"/>
      <c r="AC111" s="174"/>
      <c r="AD111" s="174"/>
      <c r="AE111" s="174"/>
      <c r="AF111" s="174"/>
      <c r="AG111" s="162"/>
      <c r="AH111" s="175"/>
      <c r="AI111" s="166"/>
      <c r="AJ111" s="168"/>
      <c r="AK111" s="168"/>
      <c r="AL111" s="168"/>
    </row>
    <row r="112" spans="1:38" ht="31.95" customHeight="1" x14ac:dyDescent="0.3">
      <c r="A112" s="147">
        <v>44074</v>
      </c>
      <c r="B112" s="148">
        <v>0.6742824074074073</v>
      </c>
      <c r="C112" s="149"/>
      <c r="D112" s="149">
        <v>60</v>
      </c>
      <c r="E112" s="149"/>
      <c r="F112" s="149"/>
      <c r="G112" s="150">
        <v>13</v>
      </c>
      <c r="H112" s="151" t="s">
        <v>66</v>
      </c>
      <c r="I112" s="170" t="s">
        <v>327</v>
      </c>
      <c r="J112" s="152"/>
      <c r="K112" s="153">
        <v>2500</v>
      </c>
      <c r="L112" s="154">
        <v>2</v>
      </c>
      <c r="M112" s="155">
        <v>9</v>
      </c>
      <c r="N112" s="155" t="s">
        <v>88</v>
      </c>
      <c r="O112" s="156" t="s">
        <v>87</v>
      </c>
      <c r="P112" s="157" t="s">
        <v>58</v>
      </c>
      <c r="Q112" s="158" t="s">
        <v>58</v>
      </c>
      <c r="R112" s="171"/>
      <c r="S112" s="171"/>
      <c r="T112" s="172"/>
      <c r="U112" s="171"/>
      <c r="V112" s="173"/>
      <c r="W112" s="173"/>
      <c r="X112" s="162"/>
      <c r="Y112" s="174"/>
      <c r="Z112" s="174"/>
      <c r="AA112" s="174"/>
      <c r="AB112" s="174"/>
      <c r="AC112" s="174"/>
      <c r="AD112" s="174"/>
      <c r="AE112" s="174"/>
      <c r="AF112" s="174"/>
      <c r="AG112" s="162"/>
      <c r="AH112" s="175"/>
      <c r="AI112" s="166"/>
      <c r="AJ112" s="168" t="s">
        <v>348</v>
      </c>
      <c r="AK112" s="168"/>
      <c r="AL112" s="168"/>
    </row>
    <row r="113" spans="1:38" ht="31.95" customHeight="1" x14ac:dyDescent="0.3">
      <c r="A113" s="176">
        <v>44074</v>
      </c>
      <c r="B113" s="177">
        <v>0.67512731481481481</v>
      </c>
      <c r="C113" s="149"/>
      <c r="D113" s="149">
        <v>120</v>
      </c>
      <c r="E113" s="149"/>
      <c r="F113" s="149"/>
      <c r="G113" s="150">
        <v>13</v>
      </c>
      <c r="H113" s="151" t="s">
        <v>62</v>
      </c>
      <c r="I113" s="178" t="s">
        <v>58</v>
      </c>
      <c r="J113" s="152"/>
      <c r="K113" s="153">
        <v>2500</v>
      </c>
      <c r="L113" s="154">
        <v>2</v>
      </c>
      <c r="M113" s="155">
        <v>9</v>
      </c>
      <c r="N113" s="155" t="s">
        <v>88</v>
      </c>
      <c r="O113" s="156" t="s">
        <v>87</v>
      </c>
      <c r="P113" s="157" t="s">
        <v>58</v>
      </c>
      <c r="Q113" s="158" t="s">
        <v>58</v>
      </c>
      <c r="R113" s="159"/>
      <c r="S113" s="159"/>
      <c r="T113" s="160"/>
      <c r="U113" s="171"/>
      <c r="V113" s="161">
        <v>4.2</v>
      </c>
      <c r="W113" s="161">
        <v>3</v>
      </c>
      <c r="X113" s="164">
        <v>5.51</v>
      </c>
      <c r="Y113" s="163"/>
      <c r="Z113" s="163"/>
      <c r="AA113" s="163"/>
      <c r="AB113" s="163"/>
      <c r="AC113" s="163"/>
      <c r="AD113" s="163"/>
      <c r="AE113" s="163"/>
      <c r="AF113" s="163"/>
      <c r="AG113" s="164"/>
      <c r="AH113" s="165"/>
      <c r="AI113" s="166"/>
      <c r="AJ113" s="167"/>
      <c r="AK113" s="168"/>
      <c r="AL113" s="168"/>
    </row>
    <row r="114" spans="1:38" ht="31.95" customHeight="1" x14ac:dyDescent="0.3">
      <c r="A114" s="176">
        <v>44074</v>
      </c>
      <c r="B114" s="177">
        <v>0.67670138888888898</v>
      </c>
      <c r="C114" s="149"/>
      <c r="D114" s="149">
        <v>60</v>
      </c>
      <c r="E114" s="149"/>
      <c r="F114" s="149"/>
      <c r="G114" s="150">
        <v>13</v>
      </c>
      <c r="H114" s="151" t="s">
        <v>66</v>
      </c>
      <c r="I114" s="170" t="s">
        <v>327</v>
      </c>
      <c r="J114" s="152"/>
      <c r="K114" s="153">
        <v>2500</v>
      </c>
      <c r="L114" s="154">
        <v>3</v>
      </c>
      <c r="M114" s="155">
        <v>10</v>
      </c>
      <c r="N114" s="155" t="s">
        <v>90</v>
      </c>
      <c r="O114" s="156" t="s">
        <v>87</v>
      </c>
      <c r="P114" s="157" t="s">
        <v>58</v>
      </c>
      <c r="Q114" s="158" t="s">
        <v>58</v>
      </c>
      <c r="R114" s="159"/>
      <c r="S114" s="159"/>
      <c r="T114" s="160"/>
      <c r="U114" s="171"/>
      <c r="V114" s="161"/>
      <c r="W114" s="161"/>
      <c r="X114" s="164"/>
      <c r="Y114" s="163"/>
      <c r="Z114" s="163"/>
      <c r="AA114" s="163"/>
      <c r="AB114" s="163"/>
      <c r="AC114" s="163"/>
      <c r="AD114" s="163"/>
      <c r="AE114" s="163"/>
      <c r="AF114" s="163"/>
      <c r="AG114" s="164"/>
      <c r="AH114" s="165"/>
      <c r="AI114" s="166"/>
      <c r="AJ114" s="167"/>
      <c r="AK114" s="168"/>
      <c r="AL114" s="168"/>
    </row>
    <row r="115" spans="1:38" ht="31.95" customHeight="1" x14ac:dyDescent="0.3">
      <c r="A115" s="176">
        <v>44074</v>
      </c>
      <c r="B115" s="177">
        <v>0.67739583333333331</v>
      </c>
      <c r="C115" s="149"/>
      <c r="D115" s="149">
        <v>120</v>
      </c>
      <c r="E115" s="149"/>
      <c r="F115" s="149"/>
      <c r="G115" s="150">
        <v>13</v>
      </c>
      <c r="H115" s="151" t="s">
        <v>62</v>
      </c>
      <c r="I115" s="178" t="s">
        <v>58</v>
      </c>
      <c r="J115" s="152"/>
      <c r="K115" s="153">
        <v>2500</v>
      </c>
      <c r="L115" s="154">
        <v>3</v>
      </c>
      <c r="M115" s="155">
        <v>10</v>
      </c>
      <c r="N115" s="155" t="s">
        <v>90</v>
      </c>
      <c r="O115" s="156" t="s">
        <v>87</v>
      </c>
      <c r="P115" s="157" t="s">
        <v>58</v>
      </c>
      <c r="Q115" s="158" t="s">
        <v>58</v>
      </c>
      <c r="R115" s="159"/>
      <c r="S115" s="159"/>
      <c r="T115" s="160"/>
      <c r="U115" s="171"/>
      <c r="V115" s="161">
        <v>4.0999999999999996</v>
      </c>
      <c r="W115" s="161">
        <v>3</v>
      </c>
      <c r="X115" s="164">
        <v>5.47</v>
      </c>
      <c r="Y115" s="163"/>
      <c r="Z115" s="163"/>
      <c r="AA115" s="163"/>
      <c r="AB115" s="163"/>
      <c r="AC115" s="163"/>
      <c r="AD115" s="163"/>
      <c r="AE115" s="163"/>
      <c r="AF115" s="163"/>
      <c r="AG115" s="164"/>
      <c r="AH115" s="165"/>
      <c r="AI115" s="166"/>
      <c r="AJ115" s="167"/>
      <c r="AK115" s="168"/>
      <c r="AL115" s="168"/>
    </row>
    <row r="116" spans="1:38" ht="31.95" customHeight="1" x14ac:dyDescent="0.3">
      <c r="A116" s="176">
        <v>44074</v>
      </c>
      <c r="B116" s="177">
        <v>0.67924768518518519</v>
      </c>
      <c r="C116" s="149"/>
      <c r="D116" s="149">
        <v>60</v>
      </c>
      <c r="E116" s="149"/>
      <c r="F116" s="149"/>
      <c r="G116" s="150">
        <v>13</v>
      </c>
      <c r="H116" s="151" t="s">
        <v>66</v>
      </c>
      <c r="I116" s="170" t="s">
        <v>327</v>
      </c>
      <c r="J116" s="152"/>
      <c r="K116" s="153">
        <v>2500</v>
      </c>
      <c r="L116" s="154">
        <v>4</v>
      </c>
      <c r="M116" s="155">
        <v>11</v>
      </c>
      <c r="N116" s="155" t="s">
        <v>91</v>
      </c>
      <c r="O116" s="156" t="s">
        <v>87</v>
      </c>
      <c r="P116" s="157" t="s">
        <v>58</v>
      </c>
      <c r="Q116" s="158" t="s">
        <v>58</v>
      </c>
      <c r="R116" s="159"/>
      <c r="S116" s="159"/>
      <c r="T116" s="160"/>
      <c r="U116" s="171"/>
      <c r="V116" s="161"/>
      <c r="W116" s="161"/>
      <c r="X116" s="164"/>
      <c r="Y116" s="163"/>
      <c r="Z116" s="163"/>
      <c r="AA116" s="163"/>
      <c r="AB116" s="163"/>
      <c r="AC116" s="163"/>
      <c r="AD116" s="163"/>
      <c r="AE116" s="163"/>
      <c r="AF116" s="163"/>
      <c r="AG116" s="164"/>
      <c r="AH116" s="165"/>
      <c r="AI116" s="166"/>
      <c r="AJ116" s="167"/>
      <c r="AK116" s="168"/>
      <c r="AL116" s="168"/>
    </row>
    <row r="117" spans="1:38" ht="31.95" customHeight="1" x14ac:dyDescent="0.3">
      <c r="A117" s="176">
        <v>44074</v>
      </c>
      <c r="B117" s="177">
        <v>0.67994212962962963</v>
      </c>
      <c r="C117" s="149"/>
      <c r="D117" s="149">
        <v>120</v>
      </c>
      <c r="E117" s="149"/>
      <c r="F117" s="149"/>
      <c r="G117" s="150">
        <v>13</v>
      </c>
      <c r="H117" s="151" t="s">
        <v>62</v>
      </c>
      <c r="I117" s="178" t="s">
        <v>58</v>
      </c>
      <c r="J117" s="152"/>
      <c r="K117" s="153">
        <v>2500</v>
      </c>
      <c r="L117" s="154">
        <v>4</v>
      </c>
      <c r="M117" s="155">
        <v>11</v>
      </c>
      <c r="N117" s="155" t="s">
        <v>91</v>
      </c>
      <c r="O117" s="156" t="s">
        <v>87</v>
      </c>
      <c r="P117" s="157" t="s">
        <v>58</v>
      </c>
      <c r="Q117" s="158" t="s">
        <v>58</v>
      </c>
      <c r="R117" s="159"/>
      <c r="S117" s="159"/>
      <c r="T117" s="160"/>
      <c r="U117" s="171"/>
      <c r="V117" s="161">
        <v>3.1</v>
      </c>
      <c r="W117" s="161">
        <v>2.6</v>
      </c>
      <c r="X117" s="164">
        <v>4.16</v>
      </c>
      <c r="Y117" s="163"/>
      <c r="Z117" s="163"/>
      <c r="AA117" s="163"/>
      <c r="AB117" s="163"/>
      <c r="AC117" s="163"/>
      <c r="AD117" s="163"/>
      <c r="AE117" s="163"/>
      <c r="AF117" s="163"/>
      <c r="AG117" s="164"/>
      <c r="AH117" s="165"/>
      <c r="AI117" s="166"/>
      <c r="AJ117" s="167"/>
      <c r="AK117" s="168"/>
      <c r="AL117" s="168"/>
    </row>
    <row r="118" spans="1:38" ht="31.95" customHeight="1" x14ac:dyDescent="0.3">
      <c r="A118" s="176">
        <v>44074</v>
      </c>
      <c r="B118" s="177">
        <v>0.68143518518518509</v>
      </c>
      <c r="C118" s="149"/>
      <c r="D118" s="149">
        <v>60</v>
      </c>
      <c r="E118" s="149"/>
      <c r="F118" s="149"/>
      <c r="G118" s="150">
        <v>13</v>
      </c>
      <c r="H118" s="151" t="s">
        <v>66</v>
      </c>
      <c r="I118" s="170" t="s">
        <v>327</v>
      </c>
      <c r="J118" s="152"/>
      <c r="K118" s="153">
        <v>2500</v>
      </c>
      <c r="L118" s="154">
        <v>5</v>
      </c>
      <c r="M118" s="155">
        <v>12</v>
      </c>
      <c r="N118" s="155" t="s">
        <v>367</v>
      </c>
      <c r="O118" s="156" t="s">
        <v>87</v>
      </c>
      <c r="P118" s="157" t="s">
        <v>58</v>
      </c>
      <c r="Q118" s="158" t="s">
        <v>58</v>
      </c>
      <c r="R118" s="159"/>
      <c r="S118" s="159"/>
      <c r="T118" s="160"/>
      <c r="U118" s="171"/>
      <c r="V118" s="161"/>
      <c r="W118" s="161"/>
      <c r="X118" s="164"/>
      <c r="Y118" s="163"/>
      <c r="Z118" s="163"/>
      <c r="AA118" s="163"/>
      <c r="AB118" s="163"/>
      <c r="AC118" s="163"/>
      <c r="AD118" s="163"/>
      <c r="AE118" s="163"/>
      <c r="AF118" s="163"/>
      <c r="AG118" s="164"/>
      <c r="AH118" s="165"/>
      <c r="AI118" s="166"/>
      <c r="AJ118" s="167"/>
      <c r="AK118" s="168"/>
      <c r="AL118" s="168"/>
    </row>
    <row r="119" spans="1:38" ht="31.95" customHeight="1" x14ac:dyDescent="0.3">
      <c r="A119" s="176">
        <v>44074</v>
      </c>
      <c r="B119" s="177">
        <v>0.68212962962962964</v>
      </c>
      <c r="C119" s="149"/>
      <c r="D119" s="149">
        <v>120</v>
      </c>
      <c r="E119" s="149"/>
      <c r="F119" s="149"/>
      <c r="G119" s="150">
        <v>13</v>
      </c>
      <c r="H119" s="151" t="s">
        <v>62</v>
      </c>
      <c r="I119" s="178" t="s">
        <v>58</v>
      </c>
      <c r="J119" s="152"/>
      <c r="K119" s="153">
        <v>2500</v>
      </c>
      <c r="L119" s="154">
        <v>5</v>
      </c>
      <c r="M119" s="155">
        <v>12</v>
      </c>
      <c r="N119" s="155" t="s">
        <v>367</v>
      </c>
      <c r="O119" s="156" t="s">
        <v>87</v>
      </c>
      <c r="P119" s="157" t="s">
        <v>58</v>
      </c>
      <c r="Q119" s="158" t="s">
        <v>58</v>
      </c>
      <c r="R119" s="159"/>
      <c r="S119" s="159"/>
      <c r="T119" s="160"/>
      <c r="U119" s="171"/>
      <c r="V119" s="161">
        <v>3</v>
      </c>
      <c r="W119" s="161">
        <v>2.6</v>
      </c>
      <c r="X119" s="164">
        <v>4.16</v>
      </c>
      <c r="Y119" s="163"/>
      <c r="Z119" s="163"/>
      <c r="AA119" s="163"/>
      <c r="AB119" s="163"/>
      <c r="AC119" s="163"/>
      <c r="AD119" s="163"/>
      <c r="AE119" s="163"/>
      <c r="AF119" s="163"/>
      <c r="AG119" s="164"/>
      <c r="AH119" s="165"/>
      <c r="AI119" s="166"/>
      <c r="AJ119" s="167"/>
      <c r="AK119" s="168"/>
      <c r="AL119" s="168"/>
    </row>
    <row r="120" spans="1:38" ht="31.95" customHeight="1" x14ac:dyDescent="0.3">
      <c r="A120" s="176">
        <v>44074</v>
      </c>
      <c r="B120" s="177">
        <v>0.68445601851851856</v>
      </c>
      <c r="C120" s="149"/>
      <c r="D120" s="149">
        <v>45</v>
      </c>
      <c r="E120" s="149"/>
      <c r="F120" s="149"/>
      <c r="G120" s="150">
        <v>13</v>
      </c>
      <c r="H120" s="151" t="s">
        <v>66</v>
      </c>
      <c r="I120" s="170" t="s">
        <v>318</v>
      </c>
      <c r="J120" s="152"/>
      <c r="K120" s="153">
        <v>2500</v>
      </c>
      <c r="L120" s="154">
        <v>1</v>
      </c>
      <c r="M120" s="155">
        <v>2.33</v>
      </c>
      <c r="N120" s="155" t="s">
        <v>86</v>
      </c>
      <c r="O120" s="156" t="s">
        <v>87</v>
      </c>
      <c r="P120" s="157" t="s">
        <v>58</v>
      </c>
      <c r="Q120" s="158" t="s">
        <v>58</v>
      </c>
      <c r="R120" s="159"/>
      <c r="S120" s="159"/>
      <c r="T120" s="160"/>
      <c r="U120" s="171"/>
      <c r="V120" s="161"/>
      <c r="W120" s="161"/>
      <c r="X120" s="164"/>
      <c r="Y120" s="163"/>
      <c r="Z120" s="163"/>
      <c r="AA120" s="163"/>
      <c r="AB120" s="163"/>
      <c r="AC120" s="163"/>
      <c r="AD120" s="163"/>
      <c r="AE120" s="163"/>
      <c r="AF120" s="163"/>
      <c r="AG120" s="164"/>
      <c r="AH120" s="165"/>
      <c r="AI120" s="166"/>
      <c r="AJ120" s="167"/>
      <c r="AK120" s="168"/>
      <c r="AL120" s="168"/>
    </row>
    <row r="121" spans="1:38" ht="31.95" customHeight="1" x14ac:dyDescent="0.3">
      <c r="A121" s="176">
        <v>44074</v>
      </c>
      <c r="B121" s="177">
        <v>0.68525462962962969</v>
      </c>
      <c r="C121" s="149"/>
      <c r="D121" s="149">
        <v>60</v>
      </c>
      <c r="E121" s="149"/>
      <c r="F121" s="149"/>
      <c r="G121" s="150">
        <v>13</v>
      </c>
      <c r="H121" s="151" t="s">
        <v>77</v>
      </c>
      <c r="I121" s="178" t="s">
        <v>58</v>
      </c>
      <c r="J121" s="152"/>
      <c r="K121" s="153">
        <v>2500</v>
      </c>
      <c r="L121" s="154">
        <v>1</v>
      </c>
      <c r="M121" s="155">
        <v>2.33</v>
      </c>
      <c r="N121" s="155" t="s">
        <v>86</v>
      </c>
      <c r="O121" s="156" t="s">
        <v>87</v>
      </c>
      <c r="P121" s="157" t="s">
        <v>58</v>
      </c>
      <c r="Q121" s="158" t="s">
        <v>58</v>
      </c>
      <c r="R121" s="159"/>
      <c r="S121" s="159"/>
      <c r="T121" s="160"/>
      <c r="U121" s="171"/>
      <c r="V121" s="161">
        <v>4.0999999999999996</v>
      </c>
      <c r="W121" s="161">
        <v>3</v>
      </c>
      <c r="X121" s="164">
        <v>5.52</v>
      </c>
      <c r="Y121" s="163"/>
      <c r="Z121" s="163"/>
      <c r="AA121" s="163"/>
      <c r="AB121" s="163"/>
      <c r="AC121" s="163"/>
      <c r="AD121" s="163"/>
      <c r="AE121" s="163"/>
      <c r="AF121" s="163"/>
      <c r="AG121" s="164"/>
      <c r="AH121" s="165"/>
      <c r="AI121" s="166"/>
      <c r="AJ121" s="167"/>
      <c r="AK121" s="168"/>
      <c r="AL121" s="168"/>
    </row>
    <row r="122" spans="1:38" ht="31.95" customHeight="1" x14ac:dyDescent="0.3">
      <c r="A122" s="176">
        <v>44074</v>
      </c>
      <c r="B122" s="177">
        <v>0.68598379629629624</v>
      </c>
      <c r="C122" s="149"/>
      <c r="D122" s="149" t="s">
        <v>58</v>
      </c>
      <c r="E122" s="149"/>
      <c r="F122" s="149"/>
      <c r="G122" s="150" t="s">
        <v>58</v>
      </c>
      <c r="H122" s="151" t="s">
        <v>72</v>
      </c>
      <c r="I122" s="170" t="s">
        <v>58</v>
      </c>
      <c r="J122" s="152"/>
      <c r="K122" s="153">
        <v>2800</v>
      </c>
      <c r="L122" s="154">
        <v>1</v>
      </c>
      <c r="M122" s="155">
        <v>2.33</v>
      </c>
      <c r="N122" s="155" t="s">
        <v>86</v>
      </c>
      <c r="O122" s="156" t="s">
        <v>87</v>
      </c>
      <c r="P122" s="157" t="s">
        <v>58</v>
      </c>
      <c r="Q122" s="158" t="s">
        <v>58</v>
      </c>
      <c r="R122" s="159"/>
      <c r="S122" s="159"/>
      <c r="T122" s="160"/>
      <c r="U122" s="171"/>
      <c r="V122" s="161"/>
      <c r="W122" s="161"/>
      <c r="X122" s="164"/>
      <c r="Y122" s="163"/>
      <c r="Z122" s="163"/>
      <c r="AA122" s="163"/>
      <c r="AB122" s="163"/>
      <c r="AC122" s="163"/>
      <c r="AD122" s="163"/>
      <c r="AE122" s="163"/>
      <c r="AF122" s="163"/>
      <c r="AG122" s="164"/>
      <c r="AH122" s="165"/>
      <c r="AI122" s="166" t="s">
        <v>347</v>
      </c>
      <c r="AJ122" s="168"/>
      <c r="AK122" s="168"/>
      <c r="AL122" s="168"/>
    </row>
    <row r="123" spans="1:38" ht="31.95" customHeight="1" x14ac:dyDescent="0.3">
      <c r="A123" s="176">
        <v>44074</v>
      </c>
      <c r="B123" s="177">
        <v>0.73177083333333337</v>
      </c>
      <c r="C123" s="149"/>
      <c r="D123" s="149" t="s">
        <v>58</v>
      </c>
      <c r="E123" s="149"/>
      <c r="F123" s="149"/>
      <c r="G123" s="150" t="s">
        <v>58</v>
      </c>
      <c r="H123" s="151" t="s">
        <v>72</v>
      </c>
      <c r="I123" s="170" t="s">
        <v>58</v>
      </c>
      <c r="J123" s="152"/>
      <c r="K123" s="153">
        <v>2800</v>
      </c>
      <c r="L123" s="154">
        <v>1</v>
      </c>
      <c r="M123" s="155">
        <v>2.33</v>
      </c>
      <c r="N123" s="155" t="s">
        <v>86</v>
      </c>
      <c r="O123" s="156" t="s">
        <v>87</v>
      </c>
      <c r="P123" s="157" t="s">
        <v>58</v>
      </c>
      <c r="Q123" s="158" t="s">
        <v>58</v>
      </c>
      <c r="R123" s="159"/>
      <c r="S123" s="159"/>
      <c r="T123" s="160"/>
      <c r="U123" s="171"/>
      <c r="V123" s="161"/>
      <c r="W123" s="161"/>
      <c r="X123" s="164"/>
      <c r="Y123" s="163"/>
      <c r="Z123" s="163"/>
      <c r="AA123" s="163"/>
      <c r="AB123" s="163"/>
      <c r="AC123" s="163"/>
      <c r="AD123" s="163"/>
      <c r="AE123" s="163"/>
      <c r="AF123" s="163"/>
      <c r="AG123" s="164"/>
      <c r="AH123" s="165"/>
      <c r="AI123" s="166"/>
      <c r="AJ123" s="167" t="s">
        <v>349</v>
      </c>
      <c r="AK123" s="168"/>
      <c r="AL123" s="168"/>
    </row>
    <row r="124" spans="1:38" ht="31.95" customHeight="1" x14ac:dyDescent="0.3">
      <c r="A124" s="147">
        <v>44075</v>
      </c>
      <c r="B124" s="169">
        <v>0.46510416666666665</v>
      </c>
      <c r="C124" s="149"/>
      <c r="D124" s="149">
        <v>120</v>
      </c>
      <c r="E124" s="149"/>
      <c r="F124" s="149"/>
      <c r="G124" s="150">
        <v>14</v>
      </c>
      <c r="H124" s="151" t="s">
        <v>62</v>
      </c>
      <c r="I124" s="170" t="s">
        <v>58</v>
      </c>
      <c r="J124" s="152"/>
      <c r="K124" s="153">
        <v>3100</v>
      </c>
      <c r="L124" s="154" t="s">
        <v>58</v>
      </c>
      <c r="M124" s="155" t="s">
        <v>58</v>
      </c>
      <c r="N124" s="155" t="s">
        <v>58</v>
      </c>
      <c r="O124" s="156" t="s">
        <v>58</v>
      </c>
      <c r="P124" s="157" t="s">
        <v>58</v>
      </c>
      <c r="Q124" s="158" t="s">
        <v>58</v>
      </c>
      <c r="R124" s="171"/>
      <c r="S124" s="171"/>
      <c r="T124" s="172"/>
      <c r="U124" s="171"/>
      <c r="V124" s="173">
        <v>5.5</v>
      </c>
      <c r="W124" s="173">
        <v>5.6</v>
      </c>
      <c r="X124" s="162">
        <v>7.02</v>
      </c>
      <c r="Y124" s="174"/>
      <c r="Z124" s="174"/>
      <c r="AA124" s="174"/>
      <c r="AB124" s="174"/>
      <c r="AC124" s="174"/>
      <c r="AD124" s="174"/>
      <c r="AE124" s="174"/>
      <c r="AF124" s="174"/>
      <c r="AG124" s="162"/>
      <c r="AH124" s="175"/>
      <c r="AI124" s="166" t="s">
        <v>63</v>
      </c>
      <c r="AJ124" s="168" t="s">
        <v>350</v>
      </c>
      <c r="AK124" s="168"/>
      <c r="AL124" s="168" t="s">
        <v>65</v>
      </c>
    </row>
    <row r="125" spans="1:38" ht="31.95" customHeight="1" x14ac:dyDescent="0.3">
      <c r="A125" s="147">
        <v>44075</v>
      </c>
      <c r="B125" s="148">
        <v>0.46674768518518522</v>
      </c>
      <c r="C125" s="149"/>
      <c r="D125" s="149">
        <v>30</v>
      </c>
      <c r="E125" s="149"/>
      <c r="F125" s="149"/>
      <c r="G125" s="150">
        <v>14</v>
      </c>
      <c r="H125" s="151" t="s">
        <v>66</v>
      </c>
      <c r="I125" s="170" t="s">
        <v>67</v>
      </c>
      <c r="J125" s="152"/>
      <c r="K125" s="153">
        <v>2800</v>
      </c>
      <c r="L125" s="154" t="s">
        <v>58</v>
      </c>
      <c r="M125" s="155" t="s">
        <v>58</v>
      </c>
      <c r="N125" s="155" t="s">
        <v>58</v>
      </c>
      <c r="O125" s="156" t="s">
        <v>58</v>
      </c>
      <c r="P125" s="157" t="s">
        <v>58</v>
      </c>
      <c r="Q125" s="158" t="s">
        <v>58</v>
      </c>
      <c r="R125" s="171"/>
      <c r="S125" s="171"/>
      <c r="T125" s="172"/>
      <c r="U125" s="171"/>
      <c r="V125" s="173"/>
      <c r="W125" s="173"/>
      <c r="X125" s="162"/>
      <c r="Y125" s="174"/>
      <c r="Z125" s="174"/>
      <c r="AA125" s="174"/>
      <c r="AB125" s="174"/>
      <c r="AC125" s="174"/>
      <c r="AD125" s="174"/>
      <c r="AE125" s="174"/>
      <c r="AF125" s="174"/>
      <c r="AG125" s="162"/>
      <c r="AH125" s="175"/>
      <c r="AI125" s="166"/>
      <c r="AJ125" s="168"/>
      <c r="AK125" s="168"/>
      <c r="AL125" s="168" t="s">
        <v>67</v>
      </c>
    </row>
    <row r="126" spans="1:38" ht="31.95" customHeight="1" x14ac:dyDescent="0.3">
      <c r="A126" s="147">
        <v>44075</v>
      </c>
      <c r="B126" s="148">
        <v>0.46724537037037034</v>
      </c>
      <c r="C126" s="149"/>
      <c r="D126" s="149">
        <v>120</v>
      </c>
      <c r="E126" s="149"/>
      <c r="F126" s="149"/>
      <c r="G126" s="150">
        <v>14</v>
      </c>
      <c r="H126" s="151" t="s">
        <v>68</v>
      </c>
      <c r="I126" s="170" t="s">
        <v>58</v>
      </c>
      <c r="J126" s="152"/>
      <c r="K126" s="153">
        <v>2800</v>
      </c>
      <c r="L126" s="154" t="s">
        <v>58</v>
      </c>
      <c r="M126" s="155" t="s">
        <v>58</v>
      </c>
      <c r="N126" s="155" t="s">
        <v>58</v>
      </c>
      <c r="O126" s="156" t="s">
        <v>58</v>
      </c>
      <c r="P126" s="157" t="s">
        <v>58</v>
      </c>
      <c r="Q126" s="158" t="s">
        <v>58</v>
      </c>
      <c r="R126" s="171"/>
      <c r="S126" s="171"/>
      <c r="T126" s="172"/>
      <c r="U126" s="171"/>
      <c r="V126" s="173">
        <v>4.5999999999999996</v>
      </c>
      <c r="W126" s="173">
        <v>4.0999999999999996</v>
      </c>
      <c r="X126" s="162">
        <v>6.29</v>
      </c>
      <c r="Y126" s="174"/>
      <c r="Z126" s="174"/>
      <c r="AA126" s="174"/>
      <c r="AB126" s="174"/>
      <c r="AC126" s="174"/>
      <c r="AD126" s="174"/>
      <c r="AE126" s="174"/>
      <c r="AF126" s="174"/>
      <c r="AG126" s="162"/>
      <c r="AH126" s="175"/>
      <c r="AI126" s="166"/>
      <c r="AJ126" s="168"/>
      <c r="AK126" s="168"/>
      <c r="AL126" s="168" t="s">
        <v>69</v>
      </c>
    </row>
    <row r="127" spans="1:38" ht="31.95" customHeight="1" x14ac:dyDescent="0.3">
      <c r="A127" s="147">
        <v>44075</v>
      </c>
      <c r="B127" s="148">
        <v>0.46886574074074078</v>
      </c>
      <c r="C127" s="149"/>
      <c r="D127" s="149">
        <v>30</v>
      </c>
      <c r="E127" s="149"/>
      <c r="F127" s="149"/>
      <c r="G127" s="150">
        <v>14</v>
      </c>
      <c r="H127" s="151" t="s">
        <v>66</v>
      </c>
      <c r="I127" s="170" t="s">
        <v>67</v>
      </c>
      <c r="J127" s="152"/>
      <c r="K127" s="153">
        <v>2500</v>
      </c>
      <c r="L127" s="154" t="s">
        <v>58</v>
      </c>
      <c r="M127" s="155" t="s">
        <v>58</v>
      </c>
      <c r="N127" s="155" t="s">
        <v>58</v>
      </c>
      <c r="O127" s="156" t="s">
        <v>58</v>
      </c>
      <c r="P127" s="157" t="s">
        <v>58</v>
      </c>
      <c r="Q127" s="158" t="s">
        <v>58</v>
      </c>
      <c r="R127" s="171"/>
      <c r="S127" s="171"/>
      <c r="T127" s="172"/>
      <c r="U127" s="171"/>
      <c r="V127" s="173"/>
      <c r="W127" s="173"/>
      <c r="X127" s="162"/>
      <c r="Y127" s="174"/>
      <c r="Z127" s="174"/>
      <c r="AA127" s="174"/>
      <c r="AB127" s="174"/>
      <c r="AC127" s="174"/>
      <c r="AD127" s="174"/>
      <c r="AE127" s="174"/>
      <c r="AF127" s="174"/>
      <c r="AG127" s="162"/>
      <c r="AH127" s="175"/>
      <c r="AI127" s="166"/>
      <c r="AJ127" s="168" t="s">
        <v>351</v>
      </c>
      <c r="AK127" s="168"/>
      <c r="AL127" s="168" t="s">
        <v>67</v>
      </c>
    </row>
    <row r="128" spans="1:38" ht="31.95" customHeight="1" x14ac:dyDescent="0.3">
      <c r="A128" s="147">
        <v>44075</v>
      </c>
      <c r="B128" s="148">
        <v>0.46932870370370372</v>
      </c>
      <c r="C128" s="149"/>
      <c r="D128" s="149">
        <v>120</v>
      </c>
      <c r="E128" s="149"/>
      <c r="F128" s="149"/>
      <c r="G128" s="150">
        <v>14</v>
      </c>
      <c r="H128" s="151" t="s">
        <v>62</v>
      </c>
      <c r="I128" s="170" t="s">
        <v>58</v>
      </c>
      <c r="J128" s="152"/>
      <c r="K128" s="153">
        <v>2500</v>
      </c>
      <c r="L128" s="154" t="s">
        <v>58</v>
      </c>
      <c r="M128" s="155" t="s">
        <v>58</v>
      </c>
      <c r="N128" s="155" t="s">
        <v>58</v>
      </c>
      <c r="O128" s="156" t="s">
        <v>58</v>
      </c>
      <c r="P128" s="157" t="s">
        <v>58</v>
      </c>
      <c r="Q128" s="158" t="s">
        <v>58</v>
      </c>
      <c r="R128" s="171"/>
      <c r="S128" s="171"/>
      <c r="T128" s="172"/>
      <c r="U128" s="159"/>
      <c r="V128" s="173">
        <v>4.0999999999999996</v>
      </c>
      <c r="W128" s="173">
        <v>3</v>
      </c>
      <c r="X128" s="162">
        <v>5.56</v>
      </c>
      <c r="Y128" s="174"/>
      <c r="Z128" s="174"/>
      <c r="AA128" s="174"/>
      <c r="AB128" s="174"/>
      <c r="AC128" s="174"/>
      <c r="AD128" s="174"/>
      <c r="AE128" s="174"/>
      <c r="AF128" s="174"/>
      <c r="AG128" s="162"/>
      <c r="AH128" s="175"/>
      <c r="AI128" s="166"/>
      <c r="AJ128" s="168"/>
      <c r="AK128" s="168"/>
      <c r="AL128" s="168" t="s">
        <v>70</v>
      </c>
    </row>
    <row r="129" spans="1:38" ht="31.95" customHeight="1" x14ac:dyDescent="0.3">
      <c r="A129" s="147">
        <v>44075</v>
      </c>
      <c r="B129" s="148">
        <v>0.47076388888888893</v>
      </c>
      <c r="C129" s="149"/>
      <c r="D129" s="149">
        <v>30</v>
      </c>
      <c r="E129" s="149"/>
      <c r="F129" s="149"/>
      <c r="G129" s="150">
        <v>14</v>
      </c>
      <c r="H129" s="151" t="s">
        <v>66</v>
      </c>
      <c r="I129" s="170" t="s">
        <v>67</v>
      </c>
      <c r="J129" s="152"/>
      <c r="K129" s="153">
        <v>2200</v>
      </c>
      <c r="L129" s="154" t="s">
        <v>58</v>
      </c>
      <c r="M129" s="155" t="s">
        <v>58</v>
      </c>
      <c r="N129" s="155" t="s">
        <v>58</v>
      </c>
      <c r="O129" s="156" t="s">
        <v>58</v>
      </c>
      <c r="P129" s="157" t="s">
        <v>58</v>
      </c>
      <c r="Q129" s="158" t="s">
        <v>58</v>
      </c>
      <c r="R129" s="171"/>
      <c r="S129" s="171"/>
      <c r="T129" s="172"/>
      <c r="U129" s="159"/>
      <c r="V129" s="173"/>
      <c r="W129" s="173"/>
      <c r="X129" s="162"/>
      <c r="Y129" s="174"/>
      <c r="Z129" s="174"/>
      <c r="AA129" s="174"/>
      <c r="AB129" s="174"/>
      <c r="AC129" s="174"/>
      <c r="AD129" s="174"/>
      <c r="AE129" s="174"/>
      <c r="AF129" s="174"/>
      <c r="AG129" s="162"/>
      <c r="AH129" s="175"/>
      <c r="AI129" s="166"/>
      <c r="AJ129" s="168"/>
      <c r="AK129" s="168"/>
      <c r="AL129" s="168" t="s">
        <v>67</v>
      </c>
    </row>
    <row r="130" spans="1:38" ht="31.95" customHeight="1" x14ac:dyDescent="0.3">
      <c r="A130" s="147">
        <v>44075</v>
      </c>
      <c r="B130" s="148">
        <v>0.47143518518518518</v>
      </c>
      <c r="C130" s="149"/>
      <c r="D130" s="149">
        <v>120</v>
      </c>
      <c r="E130" s="149"/>
      <c r="F130" s="149"/>
      <c r="G130" s="150">
        <v>14</v>
      </c>
      <c r="H130" s="151" t="s">
        <v>62</v>
      </c>
      <c r="I130" s="170" t="s">
        <v>58</v>
      </c>
      <c r="J130" s="152"/>
      <c r="K130" s="153">
        <v>2200</v>
      </c>
      <c r="L130" s="154" t="s">
        <v>58</v>
      </c>
      <c r="M130" s="155" t="s">
        <v>58</v>
      </c>
      <c r="N130" s="155" t="s">
        <v>58</v>
      </c>
      <c r="O130" s="156" t="s">
        <v>58</v>
      </c>
      <c r="P130" s="157" t="s">
        <v>58</v>
      </c>
      <c r="Q130" s="158" t="s">
        <v>58</v>
      </c>
      <c r="R130" s="171"/>
      <c r="S130" s="171"/>
      <c r="T130" s="172"/>
      <c r="U130" s="159"/>
      <c r="V130" s="173">
        <v>3.4</v>
      </c>
      <c r="W130" s="173">
        <v>2.1</v>
      </c>
      <c r="X130" s="162">
        <v>4.83</v>
      </c>
      <c r="Y130" s="174"/>
      <c r="Z130" s="174"/>
      <c r="AA130" s="174"/>
      <c r="AB130" s="174"/>
      <c r="AC130" s="174"/>
      <c r="AD130" s="174"/>
      <c r="AE130" s="174"/>
      <c r="AF130" s="174"/>
      <c r="AG130" s="162"/>
      <c r="AH130" s="175"/>
      <c r="AI130" s="166"/>
      <c r="AJ130" s="168"/>
      <c r="AK130" s="168"/>
      <c r="AL130" s="168" t="s">
        <v>71</v>
      </c>
    </row>
    <row r="131" spans="1:38" ht="31.95" customHeight="1" x14ac:dyDescent="0.3">
      <c r="A131" s="176">
        <v>44075</v>
      </c>
      <c r="B131" s="177">
        <v>0.47304398148148147</v>
      </c>
      <c r="C131" s="149"/>
      <c r="D131" s="149" t="s">
        <v>58</v>
      </c>
      <c r="E131" s="149"/>
      <c r="F131" s="149"/>
      <c r="G131" s="150" t="s">
        <v>58</v>
      </c>
      <c r="H131" s="151" t="s">
        <v>72</v>
      </c>
      <c r="I131" s="170" t="s">
        <v>58</v>
      </c>
      <c r="J131" s="152"/>
      <c r="K131" s="153">
        <v>2200</v>
      </c>
      <c r="L131" s="154" t="s">
        <v>58</v>
      </c>
      <c r="M131" s="155" t="s">
        <v>58</v>
      </c>
      <c r="N131" s="155" t="s">
        <v>58</v>
      </c>
      <c r="O131" s="156" t="s">
        <v>58</v>
      </c>
      <c r="P131" s="157" t="s">
        <v>58</v>
      </c>
      <c r="Q131" s="158" t="s">
        <v>58</v>
      </c>
      <c r="R131" s="159"/>
      <c r="S131" s="159"/>
      <c r="T131" s="160"/>
      <c r="U131" s="171"/>
      <c r="V131" s="161"/>
      <c r="W131" s="161"/>
      <c r="X131" s="164"/>
      <c r="Y131" s="163"/>
      <c r="Z131" s="163"/>
      <c r="AA131" s="163"/>
      <c r="AB131" s="163"/>
      <c r="AC131" s="163"/>
      <c r="AD131" s="163"/>
      <c r="AE131" s="163"/>
      <c r="AF131" s="163"/>
      <c r="AG131" s="164"/>
      <c r="AH131" s="165"/>
      <c r="AI131" s="166"/>
      <c r="AJ131" s="167"/>
      <c r="AK131" s="168"/>
      <c r="AL131" s="168"/>
    </row>
    <row r="132" spans="1:38" ht="31.95" customHeight="1" x14ac:dyDescent="0.3">
      <c r="A132" s="147">
        <v>44075</v>
      </c>
      <c r="B132" s="148">
        <v>0.47792824074074075</v>
      </c>
      <c r="C132" s="149"/>
      <c r="D132" s="149" t="s">
        <v>58</v>
      </c>
      <c r="E132" s="149"/>
      <c r="F132" s="149"/>
      <c r="G132" s="150" t="s">
        <v>58</v>
      </c>
      <c r="H132" s="151" t="s">
        <v>72</v>
      </c>
      <c r="I132" s="170" t="s">
        <v>73</v>
      </c>
      <c r="J132" s="152"/>
      <c r="K132" s="153">
        <v>2200</v>
      </c>
      <c r="L132" s="154">
        <v>1</v>
      </c>
      <c r="M132" s="155">
        <v>2.33</v>
      </c>
      <c r="N132" s="155" t="s">
        <v>86</v>
      </c>
      <c r="O132" s="156" t="s">
        <v>87</v>
      </c>
      <c r="P132" s="157" t="s">
        <v>58</v>
      </c>
      <c r="Q132" s="158" t="s">
        <v>58</v>
      </c>
      <c r="R132" s="171"/>
      <c r="S132" s="171"/>
      <c r="T132" s="172"/>
      <c r="U132" s="171"/>
      <c r="V132" s="173"/>
      <c r="W132" s="173"/>
      <c r="X132" s="162"/>
      <c r="Y132" s="174"/>
      <c r="Z132" s="174"/>
      <c r="AA132" s="174"/>
      <c r="AB132" s="174"/>
      <c r="AC132" s="174"/>
      <c r="AD132" s="174"/>
      <c r="AE132" s="174"/>
      <c r="AF132" s="174"/>
      <c r="AG132" s="162"/>
      <c r="AH132" s="175"/>
      <c r="AI132" s="166"/>
      <c r="AJ132" s="168" t="s">
        <v>352</v>
      </c>
      <c r="AK132" s="168"/>
      <c r="AL132" s="168"/>
    </row>
    <row r="133" spans="1:38" ht="31.95" customHeight="1" x14ac:dyDescent="0.3">
      <c r="A133" s="147">
        <v>44075</v>
      </c>
      <c r="B133" s="148">
        <v>0.48386574074074074</v>
      </c>
      <c r="C133" s="149"/>
      <c r="D133" s="149">
        <v>120</v>
      </c>
      <c r="E133" s="149"/>
      <c r="F133" s="149"/>
      <c r="G133" s="150">
        <v>15</v>
      </c>
      <c r="H133" s="151" t="s">
        <v>62</v>
      </c>
      <c r="I133" s="170" t="s">
        <v>58</v>
      </c>
      <c r="J133" s="152"/>
      <c r="K133" s="153">
        <v>2200</v>
      </c>
      <c r="L133" s="154">
        <v>1</v>
      </c>
      <c r="M133" s="155">
        <v>2.33</v>
      </c>
      <c r="N133" s="155" t="s">
        <v>86</v>
      </c>
      <c r="O133" s="156" t="s">
        <v>87</v>
      </c>
      <c r="P133" s="157" t="s">
        <v>58</v>
      </c>
      <c r="Q133" s="158" t="s">
        <v>58</v>
      </c>
      <c r="R133" s="171"/>
      <c r="S133" s="171"/>
      <c r="T133" s="172"/>
      <c r="U133" s="171"/>
      <c r="V133" s="173">
        <v>3.4</v>
      </c>
      <c r="W133" s="173">
        <v>2.1</v>
      </c>
      <c r="X133" s="162">
        <v>4.82</v>
      </c>
      <c r="Y133" s="174"/>
      <c r="Z133" s="174"/>
      <c r="AA133" s="174"/>
      <c r="AB133" s="174"/>
      <c r="AC133" s="174"/>
      <c r="AD133" s="174"/>
      <c r="AE133" s="174"/>
      <c r="AF133" s="174"/>
      <c r="AG133" s="162"/>
      <c r="AH133" s="175"/>
      <c r="AI133" s="166"/>
      <c r="AJ133" s="168"/>
      <c r="AK133" s="168"/>
      <c r="AL133" s="168"/>
    </row>
    <row r="134" spans="1:38" ht="31.95" customHeight="1" x14ac:dyDescent="0.3">
      <c r="A134" s="147">
        <v>44075</v>
      </c>
      <c r="B134" s="148">
        <v>0.48527777777777775</v>
      </c>
      <c r="C134" s="149"/>
      <c r="D134" s="149">
        <v>60</v>
      </c>
      <c r="E134" s="149"/>
      <c r="F134" s="149"/>
      <c r="G134" s="150">
        <v>15</v>
      </c>
      <c r="H134" s="151" t="s">
        <v>66</v>
      </c>
      <c r="I134" s="170" t="s">
        <v>327</v>
      </c>
      <c r="J134" s="152"/>
      <c r="K134" s="153">
        <v>2200</v>
      </c>
      <c r="L134" s="154">
        <v>2</v>
      </c>
      <c r="M134" s="155">
        <v>9</v>
      </c>
      <c r="N134" s="155" t="s">
        <v>88</v>
      </c>
      <c r="O134" s="156" t="s">
        <v>87</v>
      </c>
      <c r="P134" s="157" t="s">
        <v>58</v>
      </c>
      <c r="Q134" s="158" t="s">
        <v>58</v>
      </c>
      <c r="R134" s="171"/>
      <c r="S134" s="171"/>
      <c r="T134" s="172"/>
      <c r="U134" s="171"/>
      <c r="V134" s="173"/>
      <c r="W134" s="173"/>
      <c r="X134" s="162"/>
      <c r="Y134" s="174"/>
      <c r="Z134" s="174"/>
      <c r="AA134" s="174"/>
      <c r="AB134" s="174"/>
      <c r="AC134" s="174"/>
      <c r="AD134" s="174"/>
      <c r="AE134" s="174"/>
      <c r="AF134" s="174"/>
      <c r="AG134" s="162"/>
      <c r="AH134" s="175"/>
      <c r="AI134" s="166"/>
      <c r="AJ134" s="168"/>
      <c r="AK134" s="168"/>
      <c r="AL134" s="168"/>
    </row>
    <row r="135" spans="1:38" ht="31.95" customHeight="1" x14ac:dyDescent="0.3">
      <c r="A135" s="176">
        <v>44075</v>
      </c>
      <c r="B135" s="177">
        <v>0.48591435185185183</v>
      </c>
      <c r="C135" s="149"/>
      <c r="D135" s="149">
        <v>120</v>
      </c>
      <c r="E135" s="149"/>
      <c r="F135" s="149"/>
      <c r="G135" s="150">
        <v>15</v>
      </c>
      <c r="H135" s="151" t="s">
        <v>62</v>
      </c>
      <c r="I135" s="178" t="s">
        <v>58</v>
      </c>
      <c r="J135" s="152"/>
      <c r="K135" s="153">
        <v>2200</v>
      </c>
      <c r="L135" s="154">
        <v>2</v>
      </c>
      <c r="M135" s="155">
        <v>9</v>
      </c>
      <c r="N135" s="155" t="s">
        <v>88</v>
      </c>
      <c r="O135" s="156" t="s">
        <v>87</v>
      </c>
      <c r="P135" s="157" t="s">
        <v>58</v>
      </c>
      <c r="Q135" s="158" t="s">
        <v>58</v>
      </c>
      <c r="R135" s="159"/>
      <c r="S135" s="159"/>
      <c r="T135" s="160"/>
      <c r="U135" s="171"/>
      <c r="V135" s="161">
        <v>3.4</v>
      </c>
      <c r="W135" s="161">
        <v>2.1</v>
      </c>
      <c r="X135" s="164">
        <v>4.67</v>
      </c>
      <c r="Y135" s="163"/>
      <c r="Z135" s="163"/>
      <c r="AA135" s="163"/>
      <c r="AB135" s="163"/>
      <c r="AC135" s="163"/>
      <c r="AD135" s="163"/>
      <c r="AE135" s="163"/>
      <c r="AF135" s="163"/>
      <c r="AG135" s="164"/>
      <c r="AH135" s="165"/>
      <c r="AI135" s="166"/>
      <c r="AJ135" s="167"/>
      <c r="AK135" s="168"/>
      <c r="AL135" s="168"/>
    </row>
    <row r="136" spans="1:38" ht="31.95" customHeight="1" x14ac:dyDescent="0.3">
      <c r="A136" s="176">
        <v>44075</v>
      </c>
      <c r="B136" s="177">
        <v>0.48744212962962963</v>
      </c>
      <c r="C136" s="149"/>
      <c r="D136" s="149">
        <v>60</v>
      </c>
      <c r="E136" s="149"/>
      <c r="F136" s="149"/>
      <c r="G136" s="150">
        <v>15</v>
      </c>
      <c r="H136" s="151" t="s">
        <v>66</v>
      </c>
      <c r="I136" s="170" t="s">
        <v>327</v>
      </c>
      <c r="J136" s="152"/>
      <c r="K136" s="153">
        <v>2200</v>
      </c>
      <c r="L136" s="154">
        <v>3</v>
      </c>
      <c r="M136" s="155">
        <v>10</v>
      </c>
      <c r="N136" s="155" t="s">
        <v>90</v>
      </c>
      <c r="O136" s="156" t="s">
        <v>87</v>
      </c>
      <c r="P136" s="157" t="s">
        <v>58</v>
      </c>
      <c r="Q136" s="158" t="s">
        <v>58</v>
      </c>
      <c r="R136" s="159"/>
      <c r="S136" s="159"/>
      <c r="T136" s="160"/>
      <c r="U136" s="171"/>
      <c r="V136" s="161"/>
      <c r="W136" s="161"/>
      <c r="X136" s="164"/>
      <c r="Y136" s="163"/>
      <c r="Z136" s="163"/>
      <c r="AA136" s="163"/>
      <c r="AB136" s="163"/>
      <c r="AC136" s="163"/>
      <c r="AD136" s="163"/>
      <c r="AE136" s="163"/>
      <c r="AF136" s="163"/>
      <c r="AG136" s="164"/>
      <c r="AH136" s="165"/>
      <c r="AI136" s="166"/>
      <c r="AJ136" s="167"/>
      <c r="AK136" s="168"/>
      <c r="AL136" s="168"/>
    </row>
    <row r="137" spans="1:38" ht="31.95" customHeight="1" x14ac:dyDescent="0.3">
      <c r="A137" s="176">
        <v>44075</v>
      </c>
      <c r="B137" s="177">
        <v>0.48813657407407413</v>
      </c>
      <c r="C137" s="149"/>
      <c r="D137" s="149">
        <v>120</v>
      </c>
      <c r="E137" s="149"/>
      <c r="F137" s="149"/>
      <c r="G137" s="150">
        <v>15</v>
      </c>
      <c r="H137" s="151" t="s">
        <v>62</v>
      </c>
      <c r="I137" s="178" t="s">
        <v>58</v>
      </c>
      <c r="J137" s="152"/>
      <c r="K137" s="153">
        <v>2200</v>
      </c>
      <c r="L137" s="154">
        <v>3</v>
      </c>
      <c r="M137" s="155">
        <v>10</v>
      </c>
      <c r="N137" s="155" t="s">
        <v>90</v>
      </c>
      <c r="O137" s="156" t="s">
        <v>87</v>
      </c>
      <c r="P137" s="157" t="s">
        <v>58</v>
      </c>
      <c r="Q137" s="158" t="s">
        <v>58</v>
      </c>
      <c r="R137" s="159"/>
      <c r="S137" s="159"/>
      <c r="T137" s="160"/>
      <c r="U137" s="171"/>
      <c r="V137" s="161">
        <v>3</v>
      </c>
      <c r="W137" s="161">
        <v>2</v>
      </c>
      <c r="X137" s="164">
        <v>4.3099999999999996</v>
      </c>
      <c r="Y137" s="163"/>
      <c r="Z137" s="163"/>
      <c r="AA137" s="163"/>
      <c r="AB137" s="163"/>
      <c r="AC137" s="163"/>
      <c r="AD137" s="163"/>
      <c r="AE137" s="163"/>
      <c r="AF137" s="163"/>
      <c r="AG137" s="164"/>
      <c r="AH137" s="165"/>
      <c r="AI137" s="166"/>
      <c r="AJ137" s="167"/>
      <c r="AK137" s="168"/>
      <c r="AL137" s="168"/>
    </row>
    <row r="138" spans="1:38" ht="31.95" customHeight="1" x14ac:dyDescent="0.3">
      <c r="A138" s="176">
        <v>44075</v>
      </c>
      <c r="B138" s="177">
        <v>0.48982638888888891</v>
      </c>
      <c r="C138" s="149"/>
      <c r="D138" s="149">
        <v>60</v>
      </c>
      <c r="E138" s="149"/>
      <c r="F138" s="149"/>
      <c r="G138" s="150">
        <v>15</v>
      </c>
      <c r="H138" s="151" t="s">
        <v>66</v>
      </c>
      <c r="I138" s="170" t="s">
        <v>327</v>
      </c>
      <c r="J138" s="152"/>
      <c r="K138" s="153">
        <v>2200</v>
      </c>
      <c r="L138" s="154">
        <v>4</v>
      </c>
      <c r="M138" s="155">
        <v>11</v>
      </c>
      <c r="N138" s="155" t="s">
        <v>91</v>
      </c>
      <c r="O138" s="156" t="s">
        <v>87</v>
      </c>
      <c r="P138" s="157" t="s">
        <v>58</v>
      </c>
      <c r="Q138" s="158" t="s">
        <v>58</v>
      </c>
      <c r="R138" s="159"/>
      <c r="S138" s="159"/>
      <c r="T138" s="160"/>
      <c r="U138" s="171"/>
      <c r="V138" s="161"/>
      <c r="W138" s="161"/>
      <c r="X138" s="164"/>
      <c r="Y138" s="163"/>
      <c r="Z138" s="163"/>
      <c r="AA138" s="163"/>
      <c r="AB138" s="163"/>
      <c r="AC138" s="163"/>
      <c r="AD138" s="163"/>
      <c r="AE138" s="163"/>
      <c r="AF138" s="163"/>
      <c r="AG138" s="164"/>
      <c r="AH138" s="165"/>
      <c r="AI138" s="166"/>
      <c r="AJ138" s="167"/>
      <c r="AK138" s="168"/>
      <c r="AL138" s="168"/>
    </row>
    <row r="139" spans="1:38" ht="31.95" customHeight="1" x14ac:dyDescent="0.3">
      <c r="A139" s="176">
        <v>44075</v>
      </c>
      <c r="B139" s="177">
        <v>0.49068287037037034</v>
      </c>
      <c r="C139" s="149"/>
      <c r="D139" s="149">
        <v>120</v>
      </c>
      <c r="E139" s="149"/>
      <c r="F139" s="149"/>
      <c r="G139" s="150">
        <v>15</v>
      </c>
      <c r="H139" s="151" t="s">
        <v>62</v>
      </c>
      <c r="I139" s="178" t="s">
        <v>58</v>
      </c>
      <c r="J139" s="152"/>
      <c r="K139" s="153">
        <v>2200</v>
      </c>
      <c r="L139" s="154">
        <v>4</v>
      </c>
      <c r="M139" s="155">
        <v>11</v>
      </c>
      <c r="N139" s="155" t="s">
        <v>91</v>
      </c>
      <c r="O139" s="156" t="s">
        <v>87</v>
      </c>
      <c r="P139" s="157" t="s">
        <v>58</v>
      </c>
      <c r="Q139" s="158" t="s">
        <v>58</v>
      </c>
      <c r="R139" s="159"/>
      <c r="S139" s="159"/>
      <c r="T139" s="160"/>
      <c r="U139" s="171"/>
      <c r="V139" s="161">
        <v>2.4</v>
      </c>
      <c r="W139" s="161">
        <v>1.9</v>
      </c>
      <c r="X139" s="164">
        <v>3.57</v>
      </c>
      <c r="Y139" s="163"/>
      <c r="Z139" s="163"/>
      <c r="AA139" s="163"/>
      <c r="AB139" s="163"/>
      <c r="AC139" s="163"/>
      <c r="AD139" s="163"/>
      <c r="AE139" s="163"/>
      <c r="AF139" s="163"/>
      <c r="AG139" s="164"/>
      <c r="AH139" s="165"/>
      <c r="AI139" s="166"/>
      <c r="AJ139" s="167"/>
      <c r="AK139" s="168"/>
      <c r="AL139" s="168"/>
    </row>
    <row r="140" spans="1:38" ht="31.95" customHeight="1" x14ac:dyDescent="0.3">
      <c r="A140" s="176">
        <v>44075</v>
      </c>
      <c r="B140" s="177">
        <v>0.4927199074074074</v>
      </c>
      <c r="C140" s="149"/>
      <c r="D140" s="149">
        <v>60</v>
      </c>
      <c r="E140" s="149"/>
      <c r="F140" s="149"/>
      <c r="G140" s="150">
        <v>15</v>
      </c>
      <c r="H140" s="151" t="s">
        <v>66</v>
      </c>
      <c r="I140" s="170" t="s">
        <v>327</v>
      </c>
      <c r="J140" s="152"/>
      <c r="K140" s="153">
        <v>2200</v>
      </c>
      <c r="L140" s="154">
        <v>5</v>
      </c>
      <c r="M140" s="155">
        <v>12</v>
      </c>
      <c r="N140" s="155" t="s">
        <v>367</v>
      </c>
      <c r="O140" s="156" t="s">
        <v>87</v>
      </c>
      <c r="P140" s="157" t="s">
        <v>58</v>
      </c>
      <c r="Q140" s="158" t="s">
        <v>58</v>
      </c>
      <c r="R140" s="159"/>
      <c r="S140" s="159"/>
      <c r="T140" s="160"/>
      <c r="U140" s="171"/>
      <c r="V140" s="161"/>
      <c r="W140" s="161"/>
      <c r="X140" s="164"/>
      <c r="Y140" s="163"/>
      <c r="Z140" s="163"/>
      <c r="AA140" s="163"/>
      <c r="AB140" s="163"/>
      <c r="AC140" s="163"/>
      <c r="AD140" s="163"/>
      <c r="AE140" s="163"/>
      <c r="AF140" s="163"/>
      <c r="AG140" s="164"/>
      <c r="AH140" s="165"/>
      <c r="AI140" s="166"/>
      <c r="AJ140" s="167" t="s">
        <v>343</v>
      </c>
      <c r="AK140" s="168"/>
      <c r="AL140" s="168"/>
    </row>
    <row r="141" spans="1:38" ht="31.95" customHeight="1" x14ac:dyDescent="0.3">
      <c r="A141" s="176">
        <v>44075</v>
      </c>
      <c r="B141" s="148">
        <v>0.51898148148148149</v>
      </c>
      <c r="C141" s="149"/>
      <c r="D141" s="149" t="s">
        <v>58</v>
      </c>
      <c r="E141" s="149"/>
      <c r="F141" s="149"/>
      <c r="G141" s="150" t="s">
        <v>58</v>
      </c>
      <c r="H141" s="151" t="s">
        <v>72</v>
      </c>
      <c r="I141" s="170" t="s">
        <v>73</v>
      </c>
      <c r="J141" s="152"/>
      <c r="K141" s="153">
        <v>2200</v>
      </c>
      <c r="L141" s="154">
        <v>1</v>
      </c>
      <c r="M141" s="155">
        <v>2.33</v>
      </c>
      <c r="N141" s="155" t="s">
        <v>86</v>
      </c>
      <c r="O141" s="156" t="s">
        <v>87</v>
      </c>
      <c r="P141" s="157" t="s">
        <v>58</v>
      </c>
      <c r="Q141" s="158" t="s">
        <v>58</v>
      </c>
      <c r="R141" s="171"/>
      <c r="S141" s="171"/>
      <c r="T141" s="172"/>
      <c r="U141" s="171"/>
      <c r="V141" s="173"/>
      <c r="W141" s="173"/>
      <c r="X141" s="162"/>
      <c r="Y141" s="174"/>
      <c r="Z141" s="174"/>
      <c r="AA141" s="174"/>
      <c r="AB141" s="174"/>
      <c r="AC141" s="174"/>
      <c r="AD141" s="174"/>
      <c r="AE141" s="174"/>
      <c r="AF141" s="174"/>
      <c r="AG141" s="162"/>
      <c r="AH141" s="175"/>
      <c r="AI141" s="166"/>
      <c r="AJ141" s="168" t="s">
        <v>352</v>
      </c>
      <c r="AK141" s="168"/>
      <c r="AL141" s="168"/>
    </row>
    <row r="142" spans="1:38" ht="31.95" customHeight="1" x14ac:dyDescent="0.3">
      <c r="A142" s="147">
        <v>44075</v>
      </c>
      <c r="B142" s="148">
        <v>0.52037037037037037</v>
      </c>
      <c r="C142" s="149"/>
      <c r="D142" s="149">
        <v>120</v>
      </c>
      <c r="E142" s="149"/>
      <c r="F142" s="149"/>
      <c r="G142" s="150">
        <v>16</v>
      </c>
      <c r="H142" s="151" t="s">
        <v>62</v>
      </c>
      <c r="I142" s="170" t="s">
        <v>58</v>
      </c>
      <c r="J142" s="152"/>
      <c r="K142" s="153">
        <v>2200</v>
      </c>
      <c r="L142" s="154">
        <v>1</v>
      </c>
      <c r="M142" s="155">
        <v>2.33</v>
      </c>
      <c r="N142" s="155" t="s">
        <v>86</v>
      </c>
      <c r="O142" s="156" t="s">
        <v>87</v>
      </c>
      <c r="P142" s="157" t="s">
        <v>58</v>
      </c>
      <c r="Q142" s="158" t="s">
        <v>58</v>
      </c>
      <c r="R142" s="171"/>
      <c r="S142" s="171"/>
      <c r="T142" s="172"/>
      <c r="U142" s="171"/>
      <c r="V142" s="173">
        <v>3.4</v>
      </c>
      <c r="W142" s="173">
        <v>2.1</v>
      </c>
      <c r="X142" s="162">
        <v>4.82</v>
      </c>
      <c r="Y142" s="174"/>
      <c r="Z142" s="174"/>
      <c r="AA142" s="174"/>
      <c r="AB142" s="174"/>
      <c r="AC142" s="174"/>
      <c r="AD142" s="174"/>
      <c r="AE142" s="174"/>
      <c r="AF142" s="174"/>
      <c r="AG142" s="162"/>
      <c r="AH142" s="175"/>
      <c r="AI142" s="166"/>
      <c r="AJ142" s="168"/>
      <c r="AK142" s="168"/>
      <c r="AL142" s="168"/>
    </row>
    <row r="143" spans="1:38" ht="31.95" customHeight="1" x14ac:dyDescent="0.3">
      <c r="A143" s="147">
        <v>44075</v>
      </c>
      <c r="B143" s="148">
        <v>0.52178240740740744</v>
      </c>
      <c r="C143" s="149"/>
      <c r="D143" s="149">
        <v>60</v>
      </c>
      <c r="E143" s="149"/>
      <c r="F143" s="149"/>
      <c r="G143" s="150">
        <v>16</v>
      </c>
      <c r="H143" s="151" t="s">
        <v>66</v>
      </c>
      <c r="I143" s="170" t="s">
        <v>327</v>
      </c>
      <c r="J143" s="152"/>
      <c r="K143" s="153">
        <v>2200</v>
      </c>
      <c r="L143" s="154">
        <v>2</v>
      </c>
      <c r="M143" s="155">
        <v>9</v>
      </c>
      <c r="N143" s="155" t="s">
        <v>88</v>
      </c>
      <c r="O143" s="156" t="s">
        <v>87</v>
      </c>
      <c r="P143" s="157" t="s">
        <v>58</v>
      </c>
      <c r="Q143" s="158" t="s">
        <v>58</v>
      </c>
      <c r="R143" s="171"/>
      <c r="S143" s="171"/>
      <c r="T143" s="172"/>
      <c r="U143" s="171"/>
      <c r="V143" s="173"/>
      <c r="W143" s="173"/>
      <c r="X143" s="162"/>
      <c r="Y143" s="174"/>
      <c r="Z143" s="174"/>
      <c r="AA143" s="174"/>
      <c r="AB143" s="174"/>
      <c r="AC143" s="174"/>
      <c r="AD143" s="174"/>
      <c r="AE143" s="174"/>
      <c r="AF143" s="174"/>
      <c r="AG143" s="162"/>
      <c r="AH143" s="175"/>
      <c r="AI143" s="166"/>
      <c r="AJ143" s="168"/>
      <c r="AK143" s="168"/>
      <c r="AL143" s="168"/>
    </row>
    <row r="144" spans="1:38" ht="31.95" customHeight="1" x14ac:dyDescent="0.3">
      <c r="A144" s="176">
        <v>44075</v>
      </c>
      <c r="B144" s="177">
        <v>0.52251157407407411</v>
      </c>
      <c r="C144" s="149"/>
      <c r="D144" s="149">
        <v>120</v>
      </c>
      <c r="E144" s="149"/>
      <c r="F144" s="149"/>
      <c r="G144" s="150">
        <v>16</v>
      </c>
      <c r="H144" s="151" t="s">
        <v>62</v>
      </c>
      <c r="I144" s="178" t="s">
        <v>58</v>
      </c>
      <c r="J144" s="152"/>
      <c r="K144" s="153">
        <v>2200</v>
      </c>
      <c r="L144" s="154">
        <v>2</v>
      </c>
      <c r="M144" s="155">
        <v>9</v>
      </c>
      <c r="N144" s="155" t="s">
        <v>88</v>
      </c>
      <c r="O144" s="156" t="s">
        <v>87</v>
      </c>
      <c r="P144" s="157" t="s">
        <v>58</v>
      </c>
      <c r="Q144" s="158" t="s">
        <v>58</v>
      </c>
      <c r="R144" s="159"/>
      <c r="S144" s="159"/>
      <c r="T144" s="160"/>
      <c r="U144" s="171"/>
      <c r="V144" s="161">
        <v>3.6</v>
      </c>
      <c r="W144" s="161">
        <v>2.1</v>
      </c>
      <c r="X144" s="164">
        <v>4.7699999999999996</v>
      </c>
      <c r="Y144" s="163"/>
      <c r="Z144" s="163"/>
      <c r="AA144" s="163"/>
      <c r="AB144" s="163"/>
      <c r="AC144" s="163"/>
      <c r="AD144" s="163"/>
      <c r="AE144" s="163"/>
      <c r="AF144" s="163"/>
      <c r="AG144" s="164"/>
      <c r="AH144" s="165"/>
      <c r="AI144" s="166"/>
      <c r="AJ144" s="167" t="s">
        <v>89</v>
      </c>
      <c r="AK144" s="168"/>
      <c r="AL144" s="168"/>
    </row>
    <row r="145" spans="1:38" ht="31.95" customHeight="1" x14ac:dyDescent="0.3">
      <c r="A145" s="176">
        <v>44075</v>
      </c>
      <c r="B145" s="177">
        <v>0.52417824074074071</v>
      </c>
      <c r="C145" s="149"/>
      <c r="D145" s="149">
        <v>60</v>
      </c>
      <c r="E145" s="149"/>
      <c r="F145" s="149"/>
      <c r="G145" s="150">
        <v>16</v>
      </c>
      <c r="H145" s="151" t="s">
        <v>66</v>
      </c>
      <c r="I145" s="170" t="s">
        <v>327</v>
      </c>
      <c r="J145" s="152"/>
      <c r="K145" s="153">
        <v>2200</v>
      </c>
      <c r="L145" s="154">
        <v>3</v>
      </c>
      <c r="M145" s="155">
        <v>10</v>
      </c>
      <c r="N145" s="155" t="s">
        <v>90</v>
      </c>
      <c r="O145" s="156" t="s">
        <v>87</v>
      </c>
      <c r="P145" s="157" t="s">
        <v>58</v>
      </c>
      <c r="Q145" s="158" t="s">
        <v>58</v>
      </c>
      <c r="R145" s="159"/>
      <c r="S145" s="159"/>
      <c r="T145" s="160"/>
      <c r="U145" s="171"/>
      <c r="V145" s="161"/>
      <c r="W145" s="161"/>
      <c r="X145" s="164"/>
      <c r="Y145" s="163"/>
      <c r="Z145" s="163"/>
      <c r="AA145" s="163"/>
      <c r="AB145" s="163"/>
      <c r="AC145" s="163"/>
      <c r="AD145" s="163"/>
      <c r="AE145" s="163"/>
      <c r="AF145" s="163"/>
      <c r="AG145" s="164"/>
      <c r="AH145" s="165"/>
      <c r="AI145" s="166"/>
      <c r="AJ145" s="167"/>
      <c r="AK145" s="168"/>
      <c r="AL145" s="168"/>
    </row>
    <row r="146" spans="1:38" ht="31.95" customHeight="1" x14ac:dyDescent="0.3">
      <c r="A146" s="176">
        <v>44075</v>
      </c>
      <c r="B146" s="177">
        <v>0.52495370370370364</v>
      </c>
      <c r="C146" s="149"/>
      <c r="D146" s="149">
        <v>120</v>
      </c>
      <c r="E146" s="149"/>
      <c r="F146" s="149"/>
      <c r="G146" s="150">
        <v>16</v>
      </c>
      <c r="H146" s="151" t="s">
        <v>62</v>
      </c>
      <c r="I146" s="178" t="s">
        <v>58</v>
      </c>
      <c r="J146" s="152"/>
      <c r="K146" s="153">
        <v>2200</v>
      </c>
      <c r="L146" s="154">
        <v>3</v>
      </c>
      <c r="M146" s="155">
        <v>10</v>
      </c>
      <c r="N146" s="155" t="s">
        <v>90</v>
      </c>
      <c r="O146" s="156" t="s">
        <v>87</v>
      </c>
      <c r="P146" s="157" t="s">
        <v>58</v>
      </c>
      <c r="Q146" s="158" t="s">
        <v>58</v>
      </c>
      <c r="R146" s="159"/>
      <c r="S146" s="159"/>
      <c r="T146" s="160"/>
      <c r="U146" s="171"/>
      <c r="V146" s="161">
        <v>3.1</v>
      </c>
      <c r="W146" s="161">
        <v>2</v>
      </c>
      <c r="X146" s="164">
        <v>4.3</v>
      </c>
      <c r="Y146" s="163"/>
      <c r="Z146" s="163"/>
      <c r="AA146" s="163"/>
      <c r="AB146" s="163"/>
      <c r="AC146" s="163"/>
      <c r="AD146" s="163"/>
      <c r="AE146" s="163"/>
      <c r="AF146" s="163"/>
      <c r="AG146" s="164"/>
      <c r="AH146" s="165"/>
      <c r="AI146" s="166"/>
      <c r="AJ146" s="167"/>
      <c r="AK146" s="168"/>
      <c r="AL146" s="168"/>
    </row>
    <row r="147" spans="1:38" ht="31.95" customHeight="1" x14ac:dyDescent="0.3">
      <c r="A147" s="176">
        <v>44075</v>
      </c>
      <c r="B147" s="177">
        <v>0.5264699074074074</v>
      </c>
      <c r="C147" s="149"/>
      <c r="D147" s="149">
        <v>60</v>
      </c>
      <c r="E147" s="149"/>
      <c r="F147" s="149"/>
      <c r="G147" s="150">
        <v>16</v>
      </c>
      <c r="H147" s="151" t="s">
        <v>66</v>
      </c>
      <c r="I147" s="170" t="s">
        <v>327</v>
      </c>
      <c r="J147" s="152"/>
      <c r="K147" s="153">
        <v>2200</v>
      </c>
      <c r="L147" s="154">
        <v>4</v>
      </c>
      <c r="M147" s="155">
        <v>11</v>
      </c>
      <c r="N147" s="155" t="s">
        <v>91</v>
      </c>
      <c r="O147" s="156" t="s">
        <v>87</v>
      </c>
      <c r="P147" s="157" t="s">
        <v>58</v>
      </c>
      <c r="Q147" s="158" t="s">
        <v>58</v>
      </c>
      <c r="R147" s="159"/>
      <c r="S147" s="159"/>
      <c r="T147" s="160"/>
      <c r="U147" s="171"/>
      <c r="V147" s="161"/>
      <c r="W147" s="161"/>
      <c r="X147" s="164"/>
      <c r="Y147" s="163"/>
      <c r="Z147" s="163"/>
      <c r="AA147" s="163"/>
      <c r="AB147" s="163"/>
      <c r="AC147" s="163"/>
      <c r="AD147" s="163"/>
      <c r="AE147" s="163"/>
      <c r="AF147" s="163"/>
      <c r="AG147" s="164"/>
      <c r="AH147" s="165"/>
      <c r="AI147" s="166"/>
      <c r="AJ147" s="167"/>
      <c r="AK147" s="168"/>
      <c r="AL147" s="168"/>
    </row>
    <row r="148" spans="1:38" ht="31.95" customHeight="1" x14ac:dyDescent="0.3">
      <c r="A148" s="176">
        <v>44075</v>
      </c>
      <c r="B148" s="177">
        <v>0.52728009259259256</v>
      </c>
      <c r="C148" s="149"/>
      <c r="D148" s="149">
        <v>120</v>
      </c>
      <c r="E148" s="149"/>
      <c r="F148" s="149"/>
      <c r="G148" s="150">
        <v>16</v>
      </c>
      <c r="H148" s="151" t="s">
        <v>62</v>
      </c>
      <c r="I148" s="178" t="s">
        <v>58</v>
      </c>
      <c r="J148" s="152"/>
      <c r="K148" s="153">
        <v>2200</v>
      </c>
      <c r="L148" s="154">
        <v>4</v>
      </c>
      <c r="M148" s="155">
        <v>11</v>
      </c>
      <c r="N148" s="155" t="s">
        <v>91</v>
      </c>
      <c r="O148" s="156" t="s">
        <v>87</v>
      </c>
      <c r="P148" s="157" t="s">
        <v>58</v>
      </c>
      <c r="Q148" s="158" t="s">
        <v>58</v>
      </c>
      <c r="R148" s="159"/>
      <c r="S148" s="159"/>
      <c r="T148" s="160"/>
      <c r="U148" s="171"/>
      <c r="V148" s="161">
        <v>2.7</v>
      </c>
      <c r="W148" s="161">
        <v>1.9</v>
      </c>
      <c r="X148" s="164">
        <v>3.84</v>
      </c>
      <c r="Y148" s="163"/>
      <c r="Z148" s="163"/>
      <c r="AA148" s="163"/>
      <c r="AB148" s="163"/>
      <c r="AC148" s="163"/>
      <c r="AD148" s="163"/>
      <c r="AE148" s="163"/>
      <c r="AF148" s="163"/>
      <c r="AG148" s="164"/>
      <c r="AH148" s="165"/>
      <c r="AI148" s="166"/>
      <c r="AJ148" s="167"/>
      <c r="AK148" s="168"/>
      <c r="AL148" s="168"/>
    </row>
    <row r="149" spans="1:38" ht="31.95" customHeight="1" x14ac:dyDescent="0.3">
      <c r="A149" s="176">
        <v>44075</v>
      </c>
      <c r="B149" s="177">
        <v>0.52899305555555554</v>
      </c>
      <c r="C149" s="149"/>
      <c r="D149" s="149">
        <v>60</v>
      </c>
      <c r="E149" s="149"/>
      <c r="F149" s="149"/>
      <c r="G149" s="150">
        <v>16</v>
      </c>
      <c r="H149" s="151" t="s">
        <v>66</v>
      </c>
      <c r="I149" s="170" t="s">
        <v>327</v>
      </c>
      <c r="J149" s="152"/>
      <c r="K149" s="153">
        <v>2200</v>
      </c>
      <c r="L149" s="154">
        <v>5</v>
      </c>
      <c r="M149" s="155">
        <v>12</v>
      </c>
      <c r="N149" s="155" t="s">
        <v>367</v>
      </c>
      <c r="O149" s="156" t="s">
        <v>87</v>
      </c>
      <c r="P149" s="157" t="s">
        <v>58</v>
      </c>
      <c r="Q149" s="158" t="s">
        <v>58</v>
      </c>
      <c r="R149" s="159"/>
      <c r="S149" s="159"/>
      <c r="T149" s="160"/>
      <c r="U149" s="171"/>
      <c r="V149" s="161"/>
      <c r="W149" s="161"/>
      <c r="X149" s="164"/>
      <c r="Y149" s="163"/>
      <c r="Z149" s="163"/>
      <c r="AA149" s="163"/>
      <c r="AB149" s="163"/>
      <c r="AC149" s="163"/>
      <c r="AD149" s="163"/>
      <c r="AE149" s="163"/>
      <c r="AF149" s="163"/>
      <c r="AG149" s="164"/>
      <c r="AH149" s="165"/>
      <c r="AI149" s="166"/>
      <c r="AJ149" s="167"/>
      <c r="AK149" s="168"/>
      <c r="AL149" s="168"/>
    </row>
    <row r="150" spans="1:38" ht="31.95" customHeight="1" x14ac:dyDescent="0.3">
      <c r="A150" s="176">
        <v>44075</v>
      </c>
      <c r="B150" s="177">
        <v>0.52984953703703697</v>
      </c>
      <c r="C150" s="149"/>
      <c r="D150" s="149">
        <v>120</v>
      </c>
      <c r="E150" s="149"/>
      <c r="F150" s="149"/>
      <c r="G150" s="150">
        <v>16</v>
      </c>
      <c r="H150" s="151" t="s">
        <v>62</v>
      </c>
      <c r="I150" s="178" t="s">
        <v>58</v>
      </c>
      <c r="J150" s="152"/>
      <c r="K150" s="153">
        <v>2200</v>
      </c>
      <c r="L150" s="154">
        <v>5</v>
      </c>
      <c r="M150" s="155">
        <v>12</v>
      </c>
      <c r="N150" s="155" t="s">
        <v>367</v>
      </c>
      <c r="O150" s="156" t="s">
        <v>87</v>
      </c>
      <c r="P150" s="157" t="s">
        <v>58</v>
      </c>
      <c r="Q150" s="158" t="s">
        <v>58</v>
      </c>
      <c r="R150" s="159"/>
      <c r="S150" s="159"/>
      <c r="T150" s="160"/>
      <c r="U150" s="171"/>
      <c r="V150" s="161">
        <v>1.9</v>
      </c>
      <c r="W150" s="161">
        <v>1.7</v>
      </c>
      <c r="X150" s="164">
        <v>2.96</v>
      </c>
      <c r="Y150" s="163"/>
      <c r="Z150" s="163"/>
      <c r="AA150" s="163"/>
      <c r="AB150" s="163"/>
      <c r="AC150" s="163"/>
      <c r="AD150" s="163"/>
      <c r="AE150" s="163"/>
      <c r="AF150" s="163"/>
      <c r="AG150" s="164"/>
      <c r="AH150" s="165"/>
      <c r="AI150" s="166"/>
      <c r="AJ150" s="167"/>
      <c r="AK150" s="168"/>
      <c r="AL150" s="168"/>
    </row>
    <row r="151" spans="1:38" ht="31.95" customHeight="1" x14ac:dyDescent="0.3">
      <c r="A151" s="176">
        <v>44075</v>
      </c>
      <c r="B151" s="177">
        <v>0.53128472222222223</v>
      </c>
      <c r="C151" s="149"/>
      <c r="D151" s="149">
        <v>45</v>
      </c>
      <c r="E151" s="149"/>
      <c r="F151" s="149"/>
      <c r="G151" s="150">
        <v>16</v>
      </c>
      <c r="H151" s="151" t="s">
        <v>66</v>
      </c>
      <c r="I151" s="170" t="s">
        <v>318</v>
      </c>
      <c r="J151" s="152"/>
      <c r="K151" s="153">
        <v>2200</v>
      </c>
      <c r="L151" s="154">
        <v>1</v>
      </c>
      <c r="M151" s="155">
        <v>2.33</v>
      </c>
      <c r="N151" s="155" t="s">
        <v>86</v>
      </c>
      <c r="O151" s="156" t="s">
        <v>87</v>
      </c>
      <c r="P151" s="157" t="s">
        <v>58</v>
      </c>
      <c r="Q151" s="158" t="s">
        <v>58</v>
      </c>
      <c r="R151" s="159"/>
      <c r="S151" s="159"/>
      <c r="T151" s="160"/>
      <c r="U151" s="171"/>
      <c r="V151" s="161"/>
      <c r="W151" s="161"/>
      <c r="X151" s="164"/>
      <c r="Y151" s="163"/>
      <c r="Z151" s="163"/>
      <c r="AA151" s="163"/>
      <c r="AB151" s="163"/>
      <c r="AC151" s="163"/>
      <c r="AD151" s="163"/>
      <c r="AE151" s="163"/>
      <c r="AF151" s="163"/>
      <c r="AG151" s="164"/>
      <c r="AH151" s="165"/>
      <c r="AI151" s="166"/>
      <c r="AJ151" s="167"/>
      <c r="AK151" s="168"/>
      <c r="AL151" s="168"/>
    </row>
    <row r="152" spans="1:38" ht="31.95" customHeight="1" x14ac:dyDescent="0.3">
      <c r="A152" s="176">
        <v>44075</v>
      </c>
      <c r="B152" s="177">
        <v>0.53194444444444444</v>
      </c>
      <c r="C152" s="149"/>
      <c r="D152" s="149">
        <v>60</v>
      </c>
      <c r="E152" s="149"/>
      <c r="F152" s="149"/>
      <c r="G152" s="150">
        <v>16</v>
      </c>
      <c r="H152" s="151" t="s">
        <v>77</v>
      </c>
      <c r="I152" s="178" t="s">
        <v>58</v>
      </c>
      <c r="J152" s="152"/>
      <c r="K152" s="153">
        <v>2200</v>
      </c>
      <c r="L152" s="154">
        <v>1</v>
      </c>
      <c r="M152" s="155">
        <v>2.33</v>
      </c>
      <c r="N152" s="155" t="s">
        <v>86</v>
      </c>
      <c r="O152" s="156" t="s">
        <v>87</v>
      </c>
      <c r="P152" s="157" t="s">
        <v>58</v>
      </c>
      <c r="Q152" s="158" t="s">
        <v>58</v>
      </c>
      <c r="R152" s="159"/>
      <c r="S152" s="159"/>
      <c r="T152" s="160"/>
      <c r="U152" s="171"/>
      <c r="V152" s="161">
        <v>3.4</v>
      </c>
      <c r="W152" s="161">
        <v>2.1</v>
      </c>
      <c r="X152" s="164">
        <v>4.82</v>
      </c>
      <c r="Y152" s="163"/>
      <c r="Z152" s="163"/>
      <c r="AA152" s="163"/>
      <c r="AB152" s="163"/>
      <c r="AC152" s="163"/>
      <c r="AD152" s="163"/>
      <c r="AE152" s="163"/>
      <c r="AF152" s="163"/>
      <c r="AG152" s="164"/>
      <c r="AH152" s="165"/>
      <c r="AI152" s="166"/>
      <c r="AJ152" s="167"/>
      <c r="AK152" s="168"/>
      <c r="AL152" s="168"/>
    </row>
    <row r="153" spans="1:38" ht="31.95" customHeight="1" x14ac:dyDescent="0.3">
      <c r="A153" s="176">
        <v>44075</v>
      </c>
      <c r="B153" s="177">
        <v>0.53281250000000002</v>
      </c>
      <c r="C153" s="149"/>
      <c r="D153" s="149" t="s">
        <v>58</v>
      </c>
      <c r="E153" s="149"/>
      <c r="F153" s="149"/>
      <c r="G153" s="150" t="s">
        <v>58</v>
      </c>
      <c r="H153" s="151" t="s">
        <v>72</v>
      </c>
      <c r="I153" s="170" t="s">
        <v>58</v>
      </c>
      <c r="J153" s="152"/>
      <c r="K153" s="153">
        <v>2500</v>
      </c>
      <c r="L153" s="154">
        <v>1</v>
      </c>
      <c r="M153" s="155">
        <v>2.33</v>
      </c>
      <c r="N153" s="155" t="s">
        <v>86</v>
      </c>
      <c r="O153" s="156" t="s">
        <v>87</v>
      </c>
      <c r="P153" s="157" t="s">
        <v>58</v>
      </c>
      <c r="Q153" s="158" t="s">
        <v>58</v>
      </c>
      <c r="R153" s="159"/>
      <c r="S153" s="159"/>
      <c r="T153" s="160"/>
      <c r="U153" s="171"/>
      <c r="V153" s="161"/>
      <c r="W153" s="161"/>
      <c r="X153" s="164"/>
      <c r="Y153" s="163"/>
      <c r="Z153" s="163"/>
      <c r="AA153" s="163"/>
      <c r="AB153" s="163"/>
      <c r="AC153" s="163"/>
      <c r="AD153" s="163"/>
      <c r="AE153" s="163"/>
      <c r="AF153" s="163"/>
      <c r="AG153" s="164"/>
      <c r="AH153" s="165"/>
      <c r="AI153" s="166"/>
      <c r="AJ153" s="167"/>
      <c r="AK153" s="168"/>
      <c r="AL153" s="168"/>
    </row>
    <row r="154" spans="1:38" ht="31.95" customHeight="1" x14ac:dyDescent="0.3">
      <c r="A154" s="176"/>
      <c r="B154" s="177"/>
      <c r="C154" s="149"/>
      <c r="D154" s="149">
        <v>30</v>
      </c>
      <c r="E154" s="149"/>
      <c r="F154" s="149"/>
      <c r="G154" s="150" t="s">
        <v>58</v>
      </c>
      <c r="H154" s="151" t="s">
        <v>66</v>
      </c>
      <c r="I154" s="170" t="s">
        <v>67</v>
      </c>
      <c r="J154" s="152"/>
      <c r="K154" s="153">
        <v>2500</v>
      </c>
      <c r="L154" s="154">
        <v>1</v>
      </c>
      <c r="M154" s="155">
        <v>2.33</v>
      </c>
      <c r="N154" s="155" t="s">
        <v>86</v>
      </c>
      <c r="O154" s="156" t="s">
        <v>87</v>
      </c>
      <c r="P154" s="157" t="s">
        <v>58</v>
      </c>
      <c r="Q154" s="158" t="s">
        <v>58</v>
      </c>
      <c r="R154" s="159"/>
      <c r="S154" s="159"/>
      <c r="T154" s="160"/>
      <c r="U154" s="171"/>
      <c r="V154" s="161"/>
      <c r="W154" s="161"/>
      <c r="X154" s="164"/>
      <c r="Y154" s="163"/>
      <c r="Z154" s="163"/>
      <c r="AA154" s="163"/>
      <c r="AB154" s="163"/>
      <c r="AC154" s="163"/>
      <c r="AD154" s="163"/>
      <c r="AE154" s="163"/>
      <c r="AF154" s="163"/>
      <c r="AG154" s="164"/>
      <c r="AH154" s="165"/>
      <c r="AI154" s="166" t="s">
        <v>63</v>
      </c>
      <c r="AJ154" s="168" t="s">
        <v>353</v>
      </c>
      <c r="AK154" s="168"/>
      <c r="AL154" s="168"/>
    </row>
    <row r="155" spans="1:38" ht="31.95" customHeight="1" x14ac:dyDescent="0.3">
      <c r="A155" s="147">
        <v>44075</v>
      </c>
      <c r="B155" s="148">
        <v>0.53332175925925929</v>
      </c>
      <c r="C155" s="149"/>
      <c r="D155" s="149">
        <v>120</v>
      </c>
      <c r="E155" s="149"/>
      <c r="F155" s="149"/>
      <c r="G155" s="150">
        <v>17</v>
      </c>
      <c r="H155" s="151" t="s">
        <v>62</v>
      </c>
      <c r="I155" s="170" t="s">
        <v>58</v>
      </c>
      <c r="J155" s="152"/>
      <c r="K155" s="153">
        <v>2500</v>
      </c>
      <c r="L155" s="154">
        <v>1</v>
      </c>
      <c r="M155" s="155">
        <v>2.33</v>
      </c>
      <c r="N155" s="155" t="s">
        <v>86</v>
      </c>
      <c r="O155" s="156" t="s">
        <v>87</v>
      </c>
      <c r="P155" s="157" t="s">
        <v>58</v>
      </c>
      <c r="Q155" s="158" t="s">
        <v>58</v>
      </c>
      <c r="R155" s="171"/>
      <c r="S155" s="171"/>
      <c r="T155" s="172"/>
      <c r="U155" s="171"/>
      <c r="V155" s="173">
        <v>4</v>
      </c>
      <c r="W155" s="173">
        <v>2.9</v>
      </c>
      <c r="X155" s="162">
        <v>5.54</v>
      </c>
      <c r="Y155" s="174"/>
      <c r="Z155" s="174"/>
      <c r="AA155" s="174"/>
      <c r="AB155" s="174"/>
      <c r="AC155" s="174"/>
      <c r="AD155" s="174"/>
      <c r="AE155" s="174"/>
      <c r="AF155" s="174"/>
      <c r="AG155" s="162"/>
      <c r="AH155" s="175"/>
      <c r="AI155" s="166"/>
      <c r="AJ155" s="168" t="s">
        <v>352</v>
      </c>
      <c r="AK155" s="168"/>
      <c r="AL155" s="168"/>
    </row>
    <row r="156" spans="1:38" ht="31.95" customHeight="1" x14ac:dyDescent="0.3">
      <c r="A156" s="147">
        <v>44075</v>
      </c>
      <c r="B156" s="148">
        <v>0.53479166666666667</v>
      </c>
      <c r="C156" s="149"/>
      <c r="D156" s="149">
        <v>60</v>
      </c>
      <c r="E156" s="149"/>
      <c r="F156" s="149"/>
      <c r="G156" s="150">
        <v>17</v>
      </c>
      <c r="H156" s="151" t="s">
        <v>66</v>
      </c>
      <c r="I156" s="170" t="s">
        <v>327</v>
      </c>
      <c r="J156" s="152"/>
      <c r="K156" s="153">
        <v>2500</v>
      </c>
      <c r="L156" s="154">
        <v>2</v>
      </c>
      <c r="M156" s="155">
        <v>9</v>
      </c>
      <c r="N156" s="155" t="s">
        <v>88</v>
      </c>
      <c r="O156" s="156" t="s">
        <v>87</v>
      </c>
      <c r="P156" s="157" t="s">
        <v>58</v>
      </c>
      <c r="Q156" s="158" t="s">
        <v>58</v>
      </c>
      <c r="R156" s="171"/>
      <c r="S156" s="171"/>
      <c r="T156" s="172"/>
      <c r="U156" s="171"/>
      <c r="V156" s="173"/>
      <c r="W156" s="173"/>
      <c r="X156" s="162"/>
      <c r="Y156" s="174"/>
      <c r="Z156" s="174"/>
      <c r="AA156" s="174"/>
      <c r="AB156" s="174"/>
      <c r="AC156" s="174"/>
      <c r="AD156" s="174"/>
      <c r="AE156" s="174"/>
      <c r="AF156" s="174"/>
      <c r="AG156" s="162"/>
      <c r="AH156" s="175"/>
      <c r="AI156" s="166"/>
      <c r="AJ156" s="168"/>
      <c r="AK156" s="168"/>
      <c r="AL156" s="168"/>
    </row>
    <row r="157" spans="1:38" ht="31.95" customHeight="1" x14ac:dyDescent="0.3">
      <c r="A157" s="176">
        <v>44075</v>
      </c>
      <c r="B157" s="177">
        <v>0.53553240740740737</v>
      </c>
      <c r="C157" s="149"/>
      <c r="D157" s="149">
        <v>120</v>
      </c>
      <c r="E157" s="149"/>
      <c r="F157" s="149"/>
      <c r="G157" s="150">
        <v>17</v>
      </c>
      <c r="H157" s="151" t="s">
        <v>62</v>
      </c>
      <c r="I157" s="178" t="s">
        <v>58</v>
      </c>
      <c r="J157" s="152"/>
      <c r="K157" s="153">
        <v>2500</v>
      </c>
      <c r="L157" s="154">
        <v>2</v>
      </c>
      <c r="M157" s="155">
        <v>9</v>
      </c>
      <c r="N157" s="155" t="s">
        <v>88</v>
      </c>
      <c r="O157" s="156" t="s">
        <v>87</v>
      </c>
      <c r="P157" s="157" t="s">
        <v>58</v>
      </c>
      <c r="Q157" s="158" t="s">
        <v>58</v>
      </c>
      <c r="R157" s="159"/>
      <c r="S157" s="159"/>
      <c r="T157" s="160"/>
      <c r="U157" s="171"/>
      <c r="V157" s="161">
        <v>4.0999999999999996</v>
      </c>
      <c r="W157" s="161">
        <v>3</v>
      </c>
      <c r="X157" s="164">
        <v>5.35</v>
      </c>
      <c r="Y157" s="163"/>
      <c r="Z157" s="163"/>
      <c r="AA157" s="163"/>
      <c r="AB157" s="163"/>
      <c r="AC157" s="163"/>
      <c r="AD157" s="163"/>
      <c r="AE157" s="163"/>
      <c r="AF157" s="163"/>
      <c r="AG157" s="164"/>
      <c r="AH157" s="165"/>
      <c r="AI157" s="166"/>
      <c r="AJ157" s="167"/>
      <c r="AK157" s="168"/>
      <c r="AL157" s="168"/>
    </row>
    <row r="158" spans="1:38" ht="31.95" customHeight="1" x14ac:dyDescent="0.3">
      <c r="A158" s="176">
        <v>44075</v>
      </c>
      <c r="B158" s="177">
        <v>0.53728009259259257</v>
      </c>
      <c r="C158" s="149"/>
      <c r="D158" s="149">
        <v>60</v>
      </c>
      <c r="E158" s="149"/>
      <c r="F158" s="149"/>
      <c r="G158" s="150">
        <v>17</v>
      </c>
      <c r="H158" s="151" t="s">
        <v>66</v>
      </c>
      <c r="I158" s="170" t="s">
        <v>327</v>
      </c>
      <c r="J158" s="152"/>
      <c r="K158" s="153">
        <v>2500</v>
      </c>
      <c r="L158" s="154">
        <v>3</v>
      </c>
      <c r="M158" s="155">
        <v>10</v>
      </c>
      <c r="N158" s="155" t="s">
        <v>90</v>
      </c>
      <c r="O158" s="156" t="s">
        <v>87</v>
      </c>
      <c r="P158" s="157" t="s">
        <v>58</v>
      </c>
      <c r="Q158" s="158" t="s">
        <v>58</v>
      </c>
      <c r="R158" s="159"/>
      <c r="S158" s="159"/>
      <c r="T158" s="160"/>
      <c r="U158" s="171"/>
      <c r="V158" s="161"/>
      <c r="W158" s="161"/>
      <c r="X158" s="164"/>
      <c r="Y158" s="163"/>
      <c r="Z158" s="163"/>
      <c r="AA158" s="163"/>
      <c r="AB158" s="163"/>
      <c r="AC158" s="163"/>
      <c r="AD158" s="163"/>
      <c r="AE158" s="163"/>
      <c r="AF158" s="163"/>
      <c r="AG158" s="164"/>
      <c r="AH158" s="165"/>
      <c r="AI158" s="166"/>
      <c r="AJ158" s="167"/>
      <c r="AK158" s="168"/>
      <c r="AL158" s="168"/>
    </row>
    <row r="159" spans="1:38" ht="31.95" customHeight="1" x14ac:dyDescent="0.3">
      <c r="A159" s="176">
        <v>44075</v>
      </c>
      <c r="B159" s="177">
        <v>0.53809027777777774</v>
      </c>
      <c r="C159" s="149"/>
      <c r="D159" s="149">
        <v>120</v>
      </c>
      <c r="E159" s="149"/>
      <c r="F159" s="149"/>
      <c r="G159" s="150">
        <v>17</v>
      </c>
      <c r="H159" s="151" t="s">
        <v>62</v>
      </c>
      <c r="I159" s="178" t="s">
        <v>58</v>
      </c>
      <c r="J159" s="152"/>
      <c r="K159" s="153">
        <v>2500</v>
      </c>
      <c r="L159" s="154">
        <v>3</v>
      </c>
      <c r="M159" s="155">
        <v>10</v>
      </c>
      <c r="N159" s="155" t="s">
        <v>90</v>
      </c>
      <c r="O159" s="156" t="s">
        <v>87</v>
      </c>
      <c r="P159" s="157" t="s">
        <v>58</v>
      </c>
      <c r="Q159" s="158" t="s">
        <v>58</v>
      </c>
      <c r="R159" s="159"/>
      <c r="S159" s="159"/>
      <c r="T159" s="160"/>
      <c r="U159" s="171"/>
      <c r="V159" s="161">
        <v>3.8</v>
      </c>
      <c r="W159" s="161">
        <v>2.9</v>
      </c>
      <c r="X159" s="164">
        <v>5.01</v>
      </c>
      <c r="Y159" s="163"/>
      <c r="Z159" s="163"/>
      <c r="AA159" s="163"/>
      <c r="AB159" s="163"/>
      <c r="AC159" s="163"/>
      <c r="AD159" s="163"/>
      <c r="AE159" s="163"/>
      <c r="AF159" s="163"/>
      <c r="AG159" s="164"/>
      <c r="AH159" s="165"/>
      <c r="AI159" s="166"/>
      <c r="AJ159" s="167"/>
      <c r="AK159" s="168"/>
      <c r="AL159" s="168"/>
    </row>
    <row r="160" spans="1:38" ht="31.95" customHeight="1" x14ac:dyDescent="0.3">
      <c r="A160" s="176">
        <v>44075</v>
      </c>
      <c r="B160" s="177">
        <v>0.53971064814814818</v>
      </c>
      <c r="C160" s="149"/>
      <c r="D160" s="149">
        <v>60</v>
      </c>
      <c r="E160" s="149"/>
      <c r="F160" s="149"/>
      <c r="G160" s="150">
        <v>17</v>
      </c>
      <c r="H160" s="151" t="s">
        <v>66</v>
      </c>
      <c r="I160" s="170" t="s">
        <v>327</v>
      </c>
      <c r="J160" s="152"/>
      <c r="K160" s="153">
        <v>2500</v>
      </c>
      <c r="L160" s="154">
        <v>4</v>
      </c>
      <c r="M160" s="155">
        <v>11</v>
      </c>
      <c r="N160" s="155" t="s">
        <v>91</v>
      </c>
      <c r="O160" s="156" t="s">
        <v>87</v>
      </c>
      <c r="P160" s="157" t="s">
        <v>58</v>
      </c>
      <c r="Q160" s="158" t="s">
        <v>58</v>
      </c>
      <c r="R160" s="159"/>
      <c r="S160" s="159"/>
      <c r="T160" s="160"/>
      <c r="U160" s="171"/>
      <c r="V160" s="161"/>
      <c r="W160" s="161"/>
      <c r="X160" s="164"/>
      <c r="Y160" s="163"/>
      <c r="Z160" s="163"/>
      <c r="AA160" s="163"/>
      <c r="AB160" s="163"/>
      <c r="AC160" s="163"/>
      <c r="AD160" s="163"/>
      <c r="AE160" s="163"/>
      <c r="AF160" s="163"/>
      <c r="AG160" s="164"/>
      <c r="AH160" s="165"/>
      <c r="AI160" s="166"/>
      <c r="AJ160" s="167"/>
      <c r="AK160" s="168"/>
      <c r="AL160" s="168"/>
    </row>
    <row r="161" spans="1:38" ht="31.95" customHeight="1" x14ac:dyDescent="0.3">
      <c r="A161" s="176">
        <v>44075</v>
      </c>
      <c r="B161" s="177">
        <v>0.54048611111111111</v>
      </c>
      <c r="C161" s="149"/>
      <c r="D161" s="149">
        <v>120</v>
      </c>
      <c r="E161" s="149"/>
      <c r="F161" s="149"/>
      <c r="G161" s="150">
        <v>17</v>
      </c>
      <c r="H161" s="151" t="s">
        <v>62</v>
      </c>
      <c r="I161" s="178" t="s">
        <v>58</v>
      </c>
      <c r="J161" s="152"/>
      <c r="K161" s="153">
        <v>2500</v>
      </c>
      <c r="L161" s="154">
        <v>4</v>
      </c>
      <c r="M161" s="155">
        <v>11</v>
      </c>
      <c r="N161" s="155" t="s">
        <v>91</v>
      </c>
      <c r="O161" s="156" t="s">
        <v>87</v>
      </c>
      <c r="P161" s="157" t="s">
        <v>58</v>
      </c>
      <c r="Q161" s="158" t="s">
        <v>58</v>
      </c>
      <c r="R161" s="159"/>
      <c r="S161" s="159"/>
      <c r="T161" s="160"/>
      <c r="U161" s="171"/>
      <c r="V161" s="161">
        <v>3.3</v>
      </c>
      <c r="W161" s="161">
        <v>2.7</v>
      </c>
      <c r="X161" s="164">
        <v>4.46</v>
      </c>
      <c r="Y161" s="163"/>
      <c r="Z161" s="163"/>
      <c r="AA161" s="163"/>
      <c r="AB161" s="163"/>
      <c r="AC161" s="163"/>
      <c r="AD161" s="163"/>
      <c r="AE161" s="163"/>
      <c r="AF161" s="163"/>
      <c r="AG161" s="164"/>
      <c r="AH161" s="165"/>
      <c r="AI161" s="166"/>
      <c r="AJ161" s="167"/>
      <c r="AK161" s="168"/>
      <c r="AL161" s="168"/>
    </row>
    <row r="162" spans="1:38" ht="31.95" customHeight="1" x14ac:dyDescent="0.3">
      <c r="A162" s="176">
        <v>44075</v>
      </c>
      <c r="B162" s="177">
        <v>0.54196759259259253</v>
      </c>
      <c r="C162" s="149"/>
      <c r="D162" s="149">
        <v>60</v>
      </c>
      <c r="E162" s="149"/>
      <c r="F162" s="149"/>
      <c r="G162" s="150">
        <v>17</v>
      </c>
      <c r="H162" s="151" t="s">
        <v>66</v>
      </c>
      <c r="I162" s="170" t="s">
        <v>327</v>
      </c>
      <c r="J162" s="152"/>
      <c r="K162" s="153">
        <v>2500</v>
      </c>
      <c r="L162" s="154">
        <v>5</v>
      </c>
      <c r="M162" s="155">
        <v>12</v>
      </c>
      <c r="N162" s="155" t="s">
        <v>367</v>
      </c>
      <c r="O162" s="156" t="s">
        <v>87</v>
      </c>
      <c r="P162" s="157" t="s">
        <v>58</v>
      </c>
      <c r="Q162" s="158" t="s">
        <v>58</v>
      </c>
      <c r="R162" s="159"/>
      <c r="S162" s="159"/>
      <c r="T162" s="160"/>
      <c r="U162" s="171"/>
      <c r="V162" s="161"/>
      <c r="W162" s="161"/>
      <c r="X162" s="164"/>
      <c r="Y162" s="163"/>
      <c r="Z162" s="163"/>
      <c r="AA162" s="163"/>
      <c r="AB162" s="163"/>
      <c r="AC162" s="163"/>
      <c r="AD162" s="163"/>
      <c r="AE162" s="163"/>
      <c r="AF162" s="163"/>
      <c r="AG162" s="164"/>
      <c r="AH162" s="165"/>
      <c r="AI162" s="166"/>
      <c r="AJ162" s="167"/>
      <c r="AK162" s="168"/>
      <c r="AL162" s="168"/>
    </row>
    <row r="163" spans="1:38" ht="31.95" customHeight="1" x14ac:dyDescent="0.3">
      <c r="A163" s="176">
        <v>44075</v>
      </c>
      <c r="B163" s="177">
        <v>0.54268518518518516</v>
      </c>
      <c r="C163" s="149"/>
      <c r="D163" s="149">
        <v>120</v>
      </c>
      <c r="E163" s="149"/>
      <c r="F163" s="149"/>
      <c r="G163" s="150">
        <v>17</v>
      </c>
      <c r="H163" s="151" t="s">
        <v>62</v>
      </c>
      <c r="I163" s="178" t="s">
        <v>58</v>
      </c>
      <c r="J163" s="152"/>
      <c r="K163" s="153">
        <v>2500</v>
      </c>
      <c r="L163" s="154">
        <v>5</v>
      </c>
      <c r="M163" s="155">
        <v>12</v>
      </c>
      <c r="N163" s="155" t="s">
        <v>367</v>
      </c>
      <c r="O163" s="156" t="s">
        <v>87</v>
      </c>
      <c r="P163" s="157" t="s">
        <v>58</v>
      </c>
      <c r="Q163" s="158" t="s">
        <v>58</v>
      </c>
      <c r="R163" s="159"/>
      <c r="S163" s="159"/>
      <c r="T163" s="160"/>
      <c r="U163" s="171"/>
      <c r="V163" s="161">
        <v>2.2999999999999998</v>
      </c>
      <c r="W163" s="161">
        <v>2.4</v>
      </c>
      <c r="X163" s="164">
        <v>3.36</v>
      </c>
      <c r="Y163" s="163"/>
      <c r="Z163" s="163"/>
      <c r="AA163" s="163"/>
      <c r="AB163" s="163"/>
      <c r="AC163" s="163"/>
      <c r="AD163" s="163"/>
      <c r="AE163" s="163"/>
      <c r="AF163" s="163"/>
      <c r="AG163" s="164"/>
      <c r="AH163" s="165"/>
      <c r="AI163" s="166"/>
      <c r="AJ163" s="167"/>
      <c r="AK163" s="168"/>
      <c r="AL163" s="168"/>
    </row>
    <row r="164" spans="1:38" ht="31.95" customHeight="1" x14ac:dyDescent="0.3">
      <c r="A164" s="176">
        <v>44075</v>
      </c>
      <c r="B164" s="177">
        <v>0.54421296296296295</v>
      </c>
      <c r="C164" s="149"/>
      <c r="D164" s="149">
        <v>45</v>
      </c>
      <c r="E164" s="149"/>
      <c r="F164" s="149"/>
      <c r="G164" s="150">
        <v>17</v>
      </c>
      <c r="H164" s="151" t="s">
        <v>66</v>
      </c>
      <c r="I164" s="170" t="s">
        <v>318</v>
      </c>
      <c r="J164" s="152"/>
      <c r="K164" s="153">
        <v>2500</v>
      </c>
      <c r="L164" s="154">
        <v>1</v>
      </c>
      <c r="M164" s="155">
        <v>2.33</v>
      </c>
      <c r="N164" s="155" t="s">
        <v>86</v>
      </c>
      <c r="O164" s="156" t="s">
        <v>87</v>
      </c>
      <c r="P164" s="157" t="s">
        <v>58</v>
      </c>
      <c r="Q164" s="158" t="s">
        <v>58</v>
      </c>
      <c r="R164" s="159"/>
      <c r="S164" s="159"/>
      <c r="T164" s="160"/>
      <c r="U164" s="171"/>
      <c r="V164" s="161"/>
      <c r="W164" s="161"/>
      <c r="X164" s="164"/>
      <c r="Y164" s="163"/>
      <c r="Z164" s="163"/>
      <c r="AA164" s="163"/>
      <c r="AB164" s="163"/>
      <c r="AC164" s="163"/>
      <c r="AD164" s="163"/>
      <c r="AE164" s="163"/>
      <c r="AF164" s="163"/>
      <c r="AG164" s="164"/>
      <c r="AH164" s="165"/>
      <c r="AI164" s="166"/>
      <c r="AJ164" s="167"/>
      <c r="AK164" s="168"/>
      <c r="AL164" s="168"/>
    </row>
    <row r="165" spans="1:38" ht="31.95" customHeight="1" x14ac:dyDescent="0.3">
      <c r="A165" s="176">
        <v>44075</v>
      </c>
      <c r="B165" s="177">
        <v>0.54481481481481475</v>
      </c>
      <c r="C165" s="149"/>
      <c r="D165" s="149">
        <v>60</v>
      </c>
      <c r="E165" s="149"/>
      <c r="F165" s="149"/>
      <c r="G165" s="150">
        <v>17</v>
      </c>
      <c r="H165" s="151" t="s">
        <v>77</v>
      </c>
      <c r="I165" s="178" t="s">
        <v>58</v>
      </c>
      <c r="J165" s="152"/>
      <c r="K165" s="153">
        <v>2500</v>
      </c>
      <c r="L165" s="154">
        <v>1</v>
      </c>
      <c r="M165" s="155">
        <v>2.33</v>
      </c>
      <c r="N165" s="155" t="s">
        <v>86</v>
      </c>
      <c r="O165" s="156" t="s">
        <v>87</v>
      </c>
      <c r="P165" s="157" t="s">
        <v>58</v>
      </c>
      <c r="Q165" s="158" t="s">
        <v>58</v>
      </c>
      <c r="R165" s="159"/>
      <c r="S165" s="159"/>
      <c r="T165" s="160"/>
      <c r="U165" s="171"/>
      <c r="V165" s="161">
        <v>4.0999999999999996</v>
      </c>
      <c r="W165" s="161">
        <v>3</v>
      </c>
      <c r="X165" s="164">
        <v>5.54</v>
      </c>
      <c r="Y165" s="163"/>
      <c r="Z165" s="163"/>
      <c r="AA165" s="163"/>
      <c r="AB165" s="163"/>
      <c r="AC165" s="163"/>
      <c r="AD165" s="163"/>
      <c r="AE165" s="163"/>
      <c r="AF165" s="163"/>
      <c r="AG165" s="164"/>
      <c r="AH165" s="165"/>
      <c r="AI165" s="166"/>
      <c r="AJ165" s="167"/>
      <c r="AK165" s="168"/>
      <c r="AL165" s="168"/>
    </row>
    <row r="166" spans="1:38" ht="31.95" customHeight="1" x14ac:dyDescent="0.3">
      <c r="A166" s="176">
        <v>44075</v>
      </c>
      <c r="B166" s="177">
        <v>0.54563657407407407</v>
      </c>
      <c r="C166" s="149"/>
      <c r="D166" s="149">
        <v>30</v>
      </c>
      <c r="E166" s="149"/>
      <c r="F166" s="149"/>
      <c r="G166" s="150" t="s">
        <v>58</v>
      </c>
      <c r="H166" s="151" t="s">
        <v>66</v>
      </c>
      <c r="I166" s="170" t="s">
        <v>67</v>
      </c>
      <c r="J166" s="152"/>
      <c r="K166" s="153">
        <v>2800</v>
      </c>
      <c r="L166" s="154">
        <v>1</v>
      </c>
      <c r="M166" s="155">
        <v>2.33</v>
      </c>
      <c r="N166" s="155" t="s">
        <v>86</v>
      </c>
      <c r="O166" s="156" t="s">
        <v>87</v>
      </c>
      <c r="P166" s="157" t="s">
        <v>58</v>
      </c>
      <c r="Q166" s="158" t="s">
        <v>58</v>
      </c>
      <c r="R166" s="159"/>
      <c r="S166" s="159"/>
      <c r="T166" s="160"/>
      <c r="U166" s="171"/>
      <c r="V166" s="161"/>
      <c r="W166" s="161"/>
      <c r="X166" s="164"/>
      <c r="Y166" s="163"/>
      <c r="Z166" s="163"/>
      <c r="AA166" s="163"/>
      <c r="AB166" s="163"/>
      <c r="AC166" s="163"/>
      <c r="AD166" s="163"/>
      <c r="AE166" s="163"/>
      <c r="AF166" s="163"/>
      <c r="AG166" s="164"/>
      <c r="AH166" s="165"/>
      <c r="AI166" s="166"/>
      <c r="AJ166" s="167"/>
      <c r="AK166" s="168"/>
      <c r="AL166" s="168"/>
    </row>
    <row r="167" spans="1:38" ht="31.95" customHeight="1" x14ac:dyDescent="0.3">
      <c r="A167" s="147">
        <v>44075</v>
      </c>
      <c r="B167" s="148">
        <v>0.54618055555555556</v>
      </c>
      <c r="C167" s="149"/>
      <c r="D167" s="149">
        <v>120</v>
      </c>
      <c r="E167" s="149"/>
      <c r="F167" s="149"/>
      <c r="G167" s="150">
        <v>18</v>
      </c>
      <c r="H167" s="151" t="s">
        <v>62</v>
      </c>
      <c r="I167" s="170" t="s">
        <v>58</v>
      </c>
      <c r="J167" s="152"/>
      <c r="K167" s="153">
        <v>2800</v>
      </c>
      <c r="L167" s="154">
        <v>1</v>
      </c>
      <c r="M167" s="155">
        <v>2.33</v>
      </c>
      <c r="N167" s="155" t="s">
        <v>86</v>
      </c>
      <c r="O167" s="156" t="s">
        <v>87</v>
      </c>
      <c r="P167" s="157" t="s">
        <v>58</v>
      </c>
      <c r="Q167" s="158" t="s">
        <v>58</v>
      </c>
      <c r="R167" s="171"/>
      <c r="S167" s="171"/>
      <c r="T167" s="172"/>
      <c r="U167" s="171"/>
      <c r="V167" s="173">
        <v>4.5999999999999996</v>
      </c>
      <c r="W167" s="173">
        <v>4.0999999999999996</v>
      </c>
      <c r="X167" s="162">
        <v>6.26</v>
      </c>
      <c r="Y167" s="174"/>
      <c r="Z167" s="174"/>
      <c r="AA167" s="174"/>
      <c r="AB167" s="174"/>
      <c r="AC167" s="174"/>
      <c r="AD167" s="174"/>
      <c r="AE167" s="174"/>
      <c r="AF167" s="174"/>
      <c r="AG167" s="162"/>
      <c r="AH167" s="175"/>
      <c r="AI167" s="166"/>
      <c r="AJ167" s="167"/>
      <c r="AK167" s="168"/>
      <c r="AL167" s="168"/>
    </row>
    <row r="168" spans="1:38" ht="31.95" customHeight="1" x14ac:dyDescent="0.3">
      <c r="A168" s="147">
        <v>44075</v>
      </c>
      <c r="B168" s="148">
        <v>0.54767361111111112</v>
      </c>
      <c r="C168" s="149"/>
      <c r="D168" s="149">
        <v>60</v>
      </c>
      <c r="E168" s="149"/>
      <c r="F168" s="149"/>
      <c r="G168" s="150">
        <v>18</v>
      </c>
      <c r="H168" s="151" t="s">
        <v>66</v>
      </c>
      <c r="I168" s="170" t="s">
        <v>327</v>
      </c>
      <c r="J168" s="152"/>
      <c r="K168" s="153">
        <v>2800</v>
      </c>
      <c r="L168" s="154">
        <v>2</v>
      </c>
      <c r="M168" s="155">
        <v>9</v>
      </c>
      <c r="N168" s="155" t="s">
        <v>88</v>
      </c>
      <c r="O168" s="156" t="s">
        <v>87</v>
      </c>
      <c r="P168" s="157" t="s">
        <v>58</v>
      </c>
      <c r="Q168" s="158" t="s">
        <v>58</v>
      </c>
      <c r="R168" s="171"/>
      <c r="S168" s="171"/>
      <c r="T168" s="172"/>
      <c r="U168" s="171"/>
      <c r="V168" s="173"/>
      <c r="W168" s="173"/>
      <c r="X168" s="162"/>
      <c r="Y168" s="174"/>
      <c r="Z168" s="174"/>
      <c r="AA168" s="174"/>
      <c r="AB168" s="174"/>
      <c r="AC168" s="174"/>
      <c r="AD168" s="174"/>
      <c r="AE168" s="174"/>
      <c r="AF168" s="174"/>
      <c r="AG168" s="162"/>
      <c r="AH168" s="175"/>
      <c r="AI168" s="166"/>
      <c r="AJ168" s="167"/>
      <c r="AK168" s="168"/>
      <c r="AL168" s="168"/>
    </row>
    <row r="169" spans="1:38" ht="31.95" customHeight="1" x14ac:dyDescent="0.3">
      <c r="A169" s="176">
        <v>44075</v>
      </c>
      <c r="B169" s="177">
        <v>0.54844907407407406</v>
      </c>
      <c r="C169" s="149"/>
      <c r="D169" s="149">
        <v>120</v>
      </c>
      <c r="E169" s="149"/>
      <c r="F169" s="149"/>
      <c r="G169" s="150">
        <v>18</v>
      </c>
      <c r="H169" s="151" t="s">
        <v>62</v>
      </c>
      <c r="I169" s="178" t="s">
        <v>58</v>
      </c>
      <c r="J169" s="152"/>
      <c r="K169" s="153">
        <v>2800</v>
      </c>
      <c r="L169" s="154">
        <v>2</v>
      </c>
      <c r="M169" s="155">
        <v>9</v>
      </c>
      <c r="N169" s="155" t="s">
        <v>88</v>
      </c>
      <c r="O169" s="156" t="s">
        <v>87</v>
      </c>
      <c r="P169" s="157" t="s">
        <v>58</v>
      </c>
      <c r="Q169" s="158" t="s">
        <v>58</v>
      </c>
      <c r="R169" s="159"/>
      <c r="S169" s="159"/>
      <c r="T169" s="160"/>
      <c r="U169" s="171"/>
      <c r="V169" s="161">
        <v>4.7</v>
      </c>
      <c r="W169" s="161">
        <v>4.2</v>
      </c>
      <c r="X169" s="164">
        <v>6.06</v>
      </c>
      <c r="Y169" s="163"/>
      <c r="Z169" s="163"/>
      <c r="AA169" s="163"/>
      <c r="AB169" s="163"/>
      <c r="AC169" s="163"/>
      <c r="AD169" s="163"/>
      <c r="AE169" s="163"/>
      <c r="AF169" s="163"/>
      <c r="AG169" s="164"/>
      <c r="AH169" s="165"/>
      <c r="AI169" s="166"/>
      <c r="AJ169" s="167"/>
      <c r="AK169" s="168"/>
      <c r="AL169" s="168"/>
    </row>
    <row r="170" spans="1:38" ht="31.95" customHeight="1" x14ac:dyDescent="0.3">
      <c r="A170" s="176">
        <v>44075</v>
      </c>
      <c r="B170" s="177">
        <v>0.54994212962962963</v>
      </c>
      <c r="C170" s="149"/>
      <c r="D170" s="149">
        <v>60</v>
      </c>
      <c r="E170" s="149"/>
      <c r="F170" s="149"/>
      <c r="G170" s="150">
        <v>18</v>
      </c>
      <c r="H170" s="151" t="s">
        <v>66</v>
      </c>
      <c r="I170" s="170" t="s">
        <v>327</v>
      </c>
      <c r="J170" s="152"/>
      <c r="K170" s="153">
        <v>2800</v>
      </c>
      <c r="L170" s="154">
        <v>3</v>
      </c>
      <c r="M170" s="155">
        <v>10</v>
      </c>
      <c r="N170" s="155" t="s">
        <v>90</v>
      </c>
      <c r="O170" s="156" t="s">
        <v>87</v>
      </c>
      <c r="P170" s="157" t="s">
        <v>58</v>
      </c>
      <c r="Q170" s="158" t="s">
        <v>58</v>
      </c>
      <c r="R170" s="159"/>
      <c r="S170" s="159"/>
      <c r="T170" s="160"/>
      <c r="U170" s="171"/>
      <c r="V170" s="161"/>
      <c r="W170" s="161"/>
      <c r="X170" s="164"/>
      <c r="Y170" s="163"/>
      <c r="Z170" s="163"/>
      <c r="AA170" s="163"/>
      <c r="AB170" s="163"/>
      <c r="AC170" s="163"/>
      <c r="AD170" s="163"/>
      <c r="AE170" s="163"/>
      <c r="AF170" s="163"/>
      <c r="AG170" s="164"/>
      <c r="AH170" s="165"/>
      <c r="AI170" s="166"/>
      <c r="AJ170" s="167"/>
      <c r="AK170" s="168"/>
      <c r="AL170" s="168"/>
    </row>
    <row r="171" spans="1:38" ht="31.95" customHeight="1" x14ac:dyDescent="0.3">
      <c r="A171" s="176">
        <v>44075</v>
      </c>
      <c r="B171" s="177">
        <v>0.55078703703703702</v>
      </c>
      <c r="C171" s="149"/>
      <c r="D171" s="149">
        <v>120</v>
      </c>
      <c r="E171" s="149"/>
      <c r="F171" s="149"/>
      <c r="G171" s="150">
        <v>18</v>
      </c>
      <c r="H171" s="151" t="s">
        <v>62</v>
      </c>
      <c r="I171" s="178" t="s">
        <v>58</v>
      </c>
      <c r="J171" s="152"/>
      <c r="K171" s="153">
        <v>2800</v>
      </c>
      <c r="L171" s="154">
        <v>3</v>
      </c>
      <c r="M171" s="155">
        <v>10</v>
      </c>
      <c r="N171" s="155" t="s">
        <v>90</v>
      </c>
      <c r="O171" s="156" t="s">
        <v>87</v>
      </c>
      <c r="P171" s="157" t="s">
        <v>58</v>
      </c>
      <c r="Q171" s="158" t="s">
        <v>58</v>
      </c>
      <c r="R171" s="159"/>
      <c r="S171" s="159"/>
      <c r="T171" s="160"/>
      <c r="U171" s="171"/>
      <c r="V171" s="161">
        <v>4.4000000000000004</v>
      </c>
      <c r="W171" s="161">
        <v>4</v>
      </c>
      <c r="X171" s="164">
        <v>5.75</v>
      </c>
      <c r="Y171" s="163"/>
      <c r="Z171" s="163"/>
      <c r="AA171" s="163"/>
      <c r="AB171" s="163"/>
      <c r="AC171" s="163"/>
      <c r="AD171" s="163"/>
      <c r="AE171" s="163"/>
      <c r="AF171" s="163"/>
      <c r="AG171" s="164"/>
      <c r="AH171" s="165"/>
      <c r="AI171" s="166"/>
      <c r="AJ171" s="167"/>
      <c r="AK171" s="168"/>
      <c r="AL171" s="168"/>
    </row>
    <row r="172" spans="1:38" ht="31.95" customHeight="1" x14ac:dyDescent="0.3">
      <c r="A172" s="176">
        <v>44075</v>
      </c>
      <c r="B172" s="177">
        <v>0.55229166666666674</v>
      </c>
      <c r="C172" s="149"/>
      <c r="D172" s="149">
        <v>60</v>
      </c>
      <c r="E172" s="149"/>
      <c r="F172" s="149"/>
      <c r="G172" s="150">
        <v>18</v>
      </c>
      <c r="H172" s="151" t="s">
        <v>66</v>
      </c>
      <c r="I172" s="170" t="s">
        <v>327</v>
      </c>
      <c r="J172" s="152"/>
      <c r="K172" s="153">
        <v>2800</v>
      </c>
      <c r="L172" s="154">
        <v>4</v>
      </c>
      <c r="M172" s="155">
        <v>11</v>
      </c>
      <c r="N172" s="155" t="s">
        <v>91</v>
      </c>
      <c r="O172" s="156" t="s">
        <v>87</v>
      </c>
      <c r="P172" s="157" t="s">
        <v>58</v>
      </c>
      <c r="Q172" s="158" t="s">
        <v>58</v>
      </c>
      <c r="R172" s="159"/>
      <c r="S172" s="159"/>
      <c r="T172" s="160"/>
      <c r="U172" s="171"/>
      <c r="V172" s="161"/>
      <c r="W172" s="161"/>
      <c r="X172" s="164"/>
      <c r="Y172" s="163"/>
      <c r="Z172" s="163"/>
      <c r="AA172" s="163"/>
      <c r="AB172" s="163"/>
      <c r="AC172" s="163"/>
      <c r="AD172" s="163"/>
      <c r="AE172" s="163"/>
      <c r="AF172" s="163"/>
      <c r="AG172" s="164"/>
      <c r="AH172" s="165"/>
      <c r="AI172" s="166"/>
      <c r="AJ172" s="167"/>
      <c r="AK172" s="168"/>
      <c r="AL172" s="168"/>
    </row>
    <row r="173" spans="1:38" ht="31.95" customHeight="1" x14ac:dyDescent="0.3">
      <c r="A173" s="176">
        <v>44075</v>
      </c>
      <c r="B173" s="177">
        <v>0.55320601851851847</v>
      </c>
      <c r="C173" s="149"/>
      <c r="D173" s="149">
        <v>120</v>
      </c>
      <c r="E173" s="149"/>
      <c r="F173" s="149"/>
      <c r="G173" s="150">
        <v>18</v>
      </c>
      <c r="H173" s="151" t="s">
        <v>62</v>
      </c>
      <c r="I173" s="178" t="s">
        <v>58</v>
      </c>
      <c r="J173" s="152"/>
      <c r="K173" s="153">
        <v>2800</v>
      </c>
      <c r="L173" s="154">
        <v>4</v>
      </c>
      <c r="M173" s="155">
        <v>11</v>
      </c>
      <c r="N173" s="155" t="s">
        <v>91</v>
      </c>
      <c r="O173" s="156" t="s">
        <v>87</v>
      </c>
      <c r="P173" s="157" t="s">
        <v>58</v>
      </c>
      <c r="Q173" s="158" t="s">
        <v>58</v>
      </c>
      <c r="R173" s="159"/>
      <c r="S173" s="159"/>
      <c r="T173" s="160"/>
      <c r="U173" s="171"/>
      <c r="V173" s="161">
        <v>3.7</v>
      </c>
      <c r="W173" s="161">
        <v>3.8</v>
      </c>
      <c r="X173" s="164">
        <v>5.16</v>
      </c>
      <c r="Y173" s="163"/>
      <c r="Z173" s="163"/>
      <c r="AA173" s="163"/>
      <c r="AB173" s="163"/>
      <c r="AC173" s="163"/>
      <c r="AD173" s="163"/>
      <c r="AE173" s="163"/>
      <c r="AF173" s="163"/>
      <c r="AG173" s="164"/>
      <c r="AH173" s="165"/>
      <c r="AI173" s="166"/>
      <c r="AJ173" s="167"/>
      <c r="AK173" s="168"/>
      <c r="AL173" s="168"/>
    </row>
    <row r="174" spans="1:38" ht="31.95" customHeight="1" x14ac:dyDescent="0.3">
      <c r="A174" s="176">
        <v>44075</v>
      </c>
      <c r="B174" s="177">
        <v>0.55478009259259264</v>
      </c>
      <c r="C174" s="149"/>
      <c r="D174" s="149">
        <v>60</v>
      </c>
      <c r="E174" s="149"/>
      <c r="F174" s="149"/>
      <c r="G174" s="150">
        <v>18</v>
      </c>
      <c r="H174" s="151" t="s">
        <v>66</v>
      </c>
      <c r="I174" s="170" t="s">
        <v>327</v>
      </c>
      <c r="J174" s="152"/>
      <c r="K174" s="153">
        <v>2800</v>
      </c>
      <c r="L174" s="154">
        <v>5</v>
      </c>
      <c r="M174" s="155">
        <v>12</v>
      </c>
      <c r="N174" s="155" t="s">
        <v>367</v>
      </c>
      <c r="O174" s="156" t="s">
        <v>87</v>
      </c>
      <c r="P174" s="157" t="s">
        <v>58</v>
      </c>
      <c r="Q174" s="158" t="s">
        <v>58</v>
      </c>
      <c r="R174" s="159"/>
      <c r="S174" s="159"/>
      <c r="T174" s="160"/>
      <c r="U174" s="171"/>
      <c r="V174" s="161"/>
      <c r="W174" s="161"/>
      <c r="X174" s="164"/>
      <c r="Y174" s="163"/>
      <c r="Z174" s="163"/>
      <c r="AA174" s="163"/>
      <c r="AB174" s="163"/>
      <c r="AC174" s="163"/>
      <c r="AD174" s="163"/>
      <c r="AE174" s="163"/>
      <c r="AF174" s="163"/>
      <c r="AG174" s="164"/>
      <c r="AH174" s="165"/>
      <c r="AI174" s="166"/>
      <c r="AJ174" s="167"/>
      <c r="AK174" s="168"/>
      <c r="AL174" s="168"/>
    </row>
    <row r="175" spans="1:38" ht="31.95" customHeight="1" x14ac:dyDescent="0.3">
      <c r="A175" s="176">
        <v>44075</v>
      </c>
      <c r="B175" s="177">
        <v>0.55500000000000005</v>
      </c>
      <c r="C175" s="149"/>
      <c r="D175" s="149">
        <v>120</v>
      </c>
      <c r="E175" s="149"/>
      <c r="F175" s="149"/>
      <c r="G175" s="150">
        <v>18</v>
      </c>
      <c r="H175" s="151" t="s">
        <v>62</v>
      </c>
      <c r="I175" s="178" t="s">
        <v>58</v>
      </c>
      <c r="J175" s="152"/>
      <c r="K175" s="153">
        <v>2800</v>
      </c>
      <c r="L175" s="154">
        <v>5</v>
      </c>
      <c r="M175" s="155">
        <v>12</v>
      </c>
      <c r="N175" s="155" t="s">
        <v>367</v>
      </c>
      <c r="O175" s="156" t="s">
        <v>87</v>
      </c>
      <c r="P175" s="157" t="s">
        <v>58</v>
      </c>
      <c r="Q175" s="158" t="s">
        <v>58</v>
      </c>
      <c r="R175" s="159"/>
      <c r="S175" s="159"/>
      <c r="T175" s="160"/>
      <c r="U175" s="171"/>
      <c r="V175" s="161">
        <v>2.7</v>
      </c>
      <c r="W175" s="161">
        <v>3.4</v>
      </c>
      <c r="X175" s="164">
        <v>3.99</v>
      </c>
      <c r="Y175" s="163"/>
      <c r="Z175" s="163"/>
      <c r="AA175" s="163"/>
      <c r="AB175" s="163"/>
      <c r="AC175" s="163"/>
      <c r="AD175" s="163"/>
      <c r="AE175" s="163"/>
      <c r="AF175" s="163"/>
      <c r="AG175" s="164"/>
      <c r="AH175" s="165"/>
      <c r="AI175" s="166"/>
      <c r="AJ175" s="167"/>
      <c r="AK175" s="168"/>
      <c r="AL175" s="168"/>
    </row>
    <row r="176" spans="1:38" ht="31.95" customHeight="1" x14ac:dyDescent="0.3">
      <c r="A176" s="176">
        <v>44075</v>
      </c>
      <c r="B176" s="177">
        <v>0.55648148148148147</v>
      </c>
      <c r="C176" s="149"/>
      <c r="D176" s="149">
        <v>45</v>
      </c>
      <c r="E176" s="149"/>
      <c r="F176" s="149"/>
      <c r="G176" s="150">
        <v>18</v>
      </c>
      <c r="H176" s="151" t="s">
        <v>66</v>
      </c>
      <c r="I176" s="170" t="s">
        <v>318</v>
      </c>
      <c r="J176" s="152"/>
      <c r="K176" s="153">
        <v>2800</v>
      </c>
      <c r="L176" s="154">
        <v>1</v>
      </c>
      <c r="M176" s="155">
        <v>2.33</v>
      </c>
      <c r="N176" s="155" t="s">
        <v>86</v>
      </c>
      <c r="O176" s="156" t="s">
        <v>87</v>
      </c>
      <c r="P176" s="157" t="s">
        <v>58</v>
      </c>
      <c r="Q176" s="158" t="s">
        <v>58</v>
      </c>
      <c r="R176" s="159"/>
      <c r="S176" s="159"/>
      <c r="T176" s="160"/>
      <c r="U176" s="171"/>
      <c r="V176" s="161"/>
      <c r="W176" s="161"/>
      <c r="X176" s="164"/>
      <c r="Y176" s="163"/>
      <c r="Z176" s="163"/>
      <c r="AA176" s="163"/>
      <c r="AB176" s="163"/>
      <c r="AC176" s="163"/>
      <c r="AD176" s="163"/>
      <c r="AE176" s="163"/>
      <c r="AF176" s="163"/>
      <c r="AG176" s="164"/>
      <c r="AH176" s="165"/>
      <c r="AI176" s="166"/>
      <c r="AJ176" s="167"/>
      <c r="AK176" s="168"/>
      <c r="AL176" s="168"/>
    </row>
    <row r="177" spans="1:38" ht="31.95" customHeight="1" x14ac:dyDescent="0.3">
      <c r="A177" s="176">
        <v>44075</v>
      </c>
      <c r="B177" s="177">
        <v>0.55703703703703711</v>
      </c>
      <c r="C177" s="149"/>
      <c r="D177" s="149">
        <v>60</v>
      </c>
      <c r="E177" s="149"/>
      <c r="F177" s="149"/>
      <c r="G177" s="150">
        <v>18</v>
      </c>
      <c r="H177" s="151" t="s">
        <v>77</v>
      </c>
      <c r="I177" s="178" t="s">
        <v>58</v>
      </c>
      <c r="J177" s="152"/>
      <c r="K177" s="153">
        <v>2800</v>
      </c>
      <c r="L177" s="154">
        <v>1</v>
      </c>
      <c r="M177" s="155">
        <v>2.33</v>
      </c>
      <c r="N177" s="155" t="s">
        <v>86</v>
      </c>
      <c r="O177" s="156" t="s">
        <v>87</v>
      </c>
      <c r="P177" s="157" t="s">
        <v>58</v>
      </c>
      <c r="Q177" s="158" t="s">
        <v>58</v>
      </c>
      <c r="R177" s="159"/>
      <c r="S177" s="159"/>
      <c r="T177" s="160"/>
      <c r="U177" s="171"/>
      <c r="V177" s="161">
        <v>4.5</v>
      </c>
      <c r="W177" s="161">
        <v>4.0999999999999996</v>
      </c>
      <c r="X177" s="164">
        <v>6.26</v>
      </c>
      <c r="Y177" s="163"/>
      <c r="Z177" s="163"/>
      <c r="AA177" s="163"/>
      <c r="AB177" s="163"/>
      <c r="AC177" s="163"/>
      <c r="AD177" s="163"/>
      <c r="AE177" s="163"/>
      <c r="AF177" s="163"/>
      <c r="AG177" s="164"/>
      <c r="AH177" s="165"/>
      <c r="AI177" s="166"/>
      <c r="AJ177" s="167"/>
      <c r="AK177" s="168"/>
      <c r="AL177" s="168"/>
    </row>
    <row r="178" spans="1:38" ht="31.95" customHeight="1" x14ac:dyDescent="0.3">
      <c r="A178" s="176">
        <v>44075</v>
      </c>
      <c r="B178" s="177">
        <v>0.55798611111111118</v>
      </c>
      <c r="C178" s="149"/>
      <c r="D178" s="149">
        <v>30</v>
      </c>
      <c r="E178" s="149"/>
      <c r="F178" s="149"/>
      <c r="G178" s="150" t="s">
        <v>58</v>
      </c>
      <c r="H178" s="151" t="s">
        <v>72</v>
      </c>
      <c r="I178" s="170" t="s">
        <v>67</v>
      </c>
      <c r="J178" s="152"/>
      <c r="K178" s="153">
        <v>3100</v>
      </c>
      <c r="L178" s="154">
        <v>1</v>
      </c>
      <c r="M178" s="155">
        <v>2.33</v>
      </c>
      <c r="N178" s="155" t="s">
        <v>86</v>
      </c>
      <c r="O178" s="156" t="s">
        <v>87</v>
      </c>
      <c r="P178" s="157" t="s">
        <v>58</v>
      </c>
      <c r="Q178" s="158" t="s">
        <v>58</v>
      </c>
      <c r="R178" s="159"/>
      <c r="S178" s="159"/>
      <c r="T178" s="160"/>
      <c r="U178" s="171"/>
      <c r="V178" s="161"/>
      <c r="W178" s="161"/>
      <c r="X178" s="164"/>
      <c r="Y178" s="163"/>
      <c r="Z178" s="163"/>
      <c r="AA178" s="163"/>
      <c r="AB178" s="163"/>
      <c r="AC178" s="163"/>
      <c r="AD178" s="163"/>
      <c r="AE178" s="163"/>
      <c r="AF178" s="163"/>
      <c r="AG178" s="164"/>
      <c r="AH178" s="165"/>
      <c r="AI178" s="166" t="s">
        <v>63</v>
      </c>
      <c r="AJ178" s="168" t="s">
        <v>354</v>
      </c>
      <c r="AK178" s="168"/>
      <c r="AL178" s="168"/>
    </row>
    <row r="179" spans="1:38" ht="31.95" customHeight="1" x14ac:dyDescent="0.3">
      <c r="A179" s="147">
        <v>44075</v>
      </c>
      <c r="B179" s="148">
        <v>0.55902777777777779</v>
      </c>
      <c r="C179" s="149"/>
      <c r="D179" s="149">
        <v>120</v>
      </c>
      <c r="E179" s="149"/>
      <c r="F179" s="149"/>
      <c r="G179" s="150">
        <v>19</v>
      </c>
      <c r="H179" s="151" t="s">
        <v>62</v>
      </c>
      <c r="I179" s="170" t="s">
        <v>58</v>
      </c>
      <c r="J179" s="152"/>
      <c r="K179" s="153">
        <v>3100</v>
      </c>
      <c r="L179" s="154">
        <v>1</v>
      </c>
      <c r="M179" s="155">
        <v>2.33</v>
      </c>
      <c r="N179" s="155" t="s">
        <v>86</v>
      </c>
      <c r="O179" s="156" t="s">
        <v>87</v>
      </c>
      <c r="P179" s="157" t="s">
        <v>58</v>
      </c>
      <c r="Q179" s="158" t="s">
        <v>58</v>
      </c>
      <c r="R179" s="171"/>
      <c r="S179" s="171"/>
      <c r="T179" s="172"/>
      <c r="U179" s="171"/>
      <c r="V179" s="173">
        <v>5.4</v>
      </c>
      <c r="W179" s="173">
        <v>5.6</v>
      </c>
      <c r="X179" s="162">
        <v>7</v>
      </c>
      <c r="Y179" s="174"/>
      <c r="Z179" s="174"/>
      <c r="AA179" s="174"/>
      <c r="AB179" s="174"/>
      <c r="AC179" s="174"/>
      <c r="AD179" s="174"/>
      <c r="AE179" s="174"/>
      <c r="AF179" s="174"/>
      <c r="AG179" s="162"/>
      <c r="AH179" s="175"/>
      <c r="AI179" s="166"/>
      <c r="AJ179" s="168"/>
      <c r="AK179" s="168"/>
      <c r="AL179" s="168"/>
    </row>
    <row r="180" spans="1:38" ht="31.95" customHeight="1" x14ac:dyDescent="0.3">
      <c r="A180" s="147">
        <v>44075</v>
      </c>
      <c r="B180" s="148">
        <v>0.56048611111111113</v>
      </c>
      <c r="C180" s="149"/>
      <c r="D180" s="149">
        <v>60</v>
      </c>
      <c r="E180" s="149"/>
      <c r="F180" s="149"/>
      <c r="G180" s="150">
        <v>19</v>
      </c>
      <c r="H180" s="151" t="s">
        <v>66</v>
      </c>
      <c r="I180" s="170" t="s">
        <v>327</v>
      </c>
      <c r="J180" s="152"/>
      <c r="K180" s="153">
        <v>3100</v>
      </c>
      <c r="L180" s="154">
        <v>2</v>
      </c>
      <c r="M180" s="155">
        <v>9</v>
      </c>
      <c r="N180" s="155" t="s">
        <v>88</v>
      </c>
      <c r="O180" s="156" t="s">
        <v>87</v>
      </c>
      <c r="P180" s="157" t="s">
        <v>58</v>
      </c>
      <c r="Q180" s="158" t="s">
        <v>58</v>
      </c>
      <c r="R180" s="171"/>
      <c r="S180" s="171"/>
      <c r="T180" s="172"/>
      <c r="U180" s="171"/>
      <c r="V180" s="173"/>
      <c r="W180" s="173"/>
      <c r="X180" s="162"/>
      <c r="Y180" s="174"/>
      <c r="Z180" s="174"/>
      <c r="AA180" s="174"/>
      <c r="AB180" s="174"/>
      <c r="AC180" s="174"/>
      <c r="AD180" s="174"/>
      <c r="AE180" s="174"/>
      <c r="AF180" s="174"/>
      <c r="AG180" s="162"/>
      <c r="AH180" s="175"/>
      <c r="AI180" s="166"/>
      <c r="AJ180" s="168"/>
      <c r="AK180" s="168"/>
      <c r="AL180" s="168"/>
    </row>
    <row r="181" spans="1:38" ht="31.95" customHeight="1" x14ac:dyDescent="0.3">
      <c r="A181" s="176">
        <v>44075</v>
      </c>
      <c r="B181" s="177">
        <v>0.56118055555555557</v>
      </c>
      <c r="C181" s="149"/>
      <c r="D181" s="149">
        <v>120</v>
      </c>
      <c r="E181" s="149"/>
      <c r="F181" s="149"/>
      <c r="G181" s="150">
        <v>19</v>
      </c>
      <c r="H181" s="151" t="s">
        <v>62</v>
      </c>
      <c r="I181" s="178" t="s">
        <v>58</v>
      </c>
      <c r="J181" s="152"/>
      <c r="K181" s="153">
        <v>3100</v>
      </c>
      <c r="L181" s="154">
        <v>2</v>
      </c>
      <c r="M181" s="155">
        <v>9</v>
      </c>
      <c r="N181" s="155" t="s">
        <v>88</v>
      </c>
      <c r="O181" s="156" t="s">
        <v>87</v>
      </c>
      <c r="P181" s="157" t="s">
        <v>58</v>
      </c>
      <c r="Q181" s="158" t="s">
        <v>58</v>
      </c>
      <c r="R181" s="159"/>
      <c r="S181" s="159"/>
      <c r="T181" s="160"/>
      <c r="U181" s="171"/>
      <c r="V181" s="161">
        <v>5.5</v>
      </c>
      <c r="W181" s="161">
        <v>5.7</v>
      </c>
      <c r="X181" s="164">
        <v>6.85</v>
      </c>
      <c r="Y181" s="163"/>
      <c r="Z181" s="163"/>
      <c r="AA181" s="163"/>
      <c r="AB181" s="163"/>
      <c r="AC181" s="163"/>
      <c r="AD181" s="163"/>
      <c r="AE181" s="163"/>
      <c r="AF181" s="163"/>
      <c r="AG181" s="164"/>
      <c r="AH181" s="165"/>
      <c r="AI181" s="166"/>
      <c r="AJ181" s="167"/>
      <c r="AK181" s="168"/>
      <c r="AL181" s="168"/>
    </row>
    <row r="182" spans="1:38" ht="31.95" customHeight="1" x14ac:dyDescent="0.3">
      <c r="A182" s="176">
        <v>44075</v>
      </c>
      <c r="B182" s="177">
        <v>0.56282407407407409</v>
      </c>
      <c r="C182" s="149"/>
      <c r="D182" s="149">
        <v>60</v>
      </c>
      <c r="E182" s="149"/>
      <c r="F182" s="149"/>
      <c r="G182" s="150">
        <v>19</v>
      </c>
      <c r="H182" s="151" t="s">
        <v>66</v>
      </c>
      <c r="I182" s="170" t="s">
        <v>327</v>
      </c>
      <c r="J182" s="152"/>
      <c r="K182" s="153">
        <v>3100</v>
      </c>
      <c r="L182" s="154">
        <v>3</v>
      </c>
      <c r="M182" s="155">
        <v>10</v>
      </c>
      <c r="N182" s="155" t="s">
        <v>90</v>
      </c>
      <c r="O182" s="156" t="s">
        <v>87</v>
      </c>
      <c r="P182" s="157" t="s">
        <v>58</v>
      </c>
      <c r="Q182" s="158" t="s">
        <v>58</v>
      </c>
      <c r="R182" s="159"/>
      <c r="S182" s="159"/>
      <c r="T182" s="160"/>
      <c r="U182" s="171"/>
      <c r="V182" s="161"/>
      <c r="W182" s="161"/>
      <c r="X182" s="164"/>
      <c r="Y182" s="163"/>
      <c r="Z182" s="163"/>
      <c r="AA182" s="163"/>
      <c r="AB182" s="163"/>
      <c r="AC182" s="163"/>
      <c r="AD182" s="163"/>
      <c r="AE182" s="163"/>
      <c r="AF182" s="163"/>
      <c r="AG182" s="164"/>
      <c r="AH182" s="165"/>
      <c r="AI182" s="166"/>
      <c r="AJ182" s="167"/>
      <c r="AK182" s="168"/>
      <c r="AL182" s="168"/>
    </row>
    <row r="183" spans="1:38" ht="31.95" customHeight="1" x14ac:dyDescent="0.3">
      <c r="A183" s="176">
        <v>44075</v>
      </c>
      <c r="B183" s="177">
        <v>0.56364583333333329</v>
      </c>
      <c r="C183" s="149"/>
      <c r="D183" s="149">
        <v>120</v>
      </c>
      <c r="E183" s="149"/>
      <c r="F183" s="149"/>
      <c r="G183" s="150">
        <v>19</v>
      </c>
      <c r="H183" s="151" t="s">
        <v>62</v>
      </c>
      <c r="I183" s="178" t="s">
        <v>58</v>
      </c>
      <c r="J183" s="152"/>
      <c r="K183" s="153">
        <v>3100</v>
      </c>
      <c r="L183" s="154">
        <v>3</v>
      </c>
      <c r="M183" s="155">
        <v>10</v>
      </c>
      <c r="N183" s="155" t="s">
        <v>90</v>
      </c>
      <c r="O183" s="156" t="s">
        <v>87</v>
      </c>
      <c r="P183" s="157" t="s">
        <v>58</v>
      </c>
      <c r="Q183" s="158" t="s">
        <v>58</v>
      </c>
      <c r="R183" s="159"/>
      <c r="S183" s="159"/>
      <c r="T183" s="160"/>
      <c r="U183" s="171"/>
      <c r="V183" s="161">
        <v>5.2</v>
      </c>
      <c r="W183" s="161">
        <v>5.5</v>
      </c>
      <c r="X183" s="164">
        <v>6.44</v>
      </c>
      <c r="Y183" s="163"/>
      <c r="Z183" s="163"/>
      <c r="AA183" s="163"/>
      <c r="AB183" s="163"/>
      <c r="AC183" s="163"/>
      <c r="AD183" s="163"/>
      <c r="AE183" s="163"/>
      <c r="AF183" s="163"/>
      <c r="AG183" s="164"/>
      <c r="AH183" s="165"/>
      <c r="AI183" s="166"/>
      <c r="AJ183" s="167"/>
      <c r="AK183" s="168"/>
      <c r="AL183" s="168"/>
    </row>
    <row r="184" spans="1:38" ht="31.95" customHeight="1" x14ac:dyDescent="0.3">
      <c r="A184" s="176">
        <v>44075</v>
      </c>
      <c r="B184" s="177">
        <v>0.56524305555555554</v>
      </c>
      <c r="C184" s="149"/>
      <c r="D184" s="149">
        <v>60</v>
      </c>
      <c r="E184" s="149"/>
      <c r="F184" s="149"/>
      <c r="G184" s="150">
        <v>19</v>
      </c>
      <c r="H184" s="151" t="s">
        <v>66</v>
      </c>
      <c r="I184" s="170" t="s">
        <v>327</v>
      </c>
      <c r="J184" s="152"/>
      <c r="K184" s="153">
        <v>3100</v>
      </c>
      <c r="L184" s="154">
        <v>4</v>
      </c>
      <c r="M184" s="155">
        <v>11</v>
      </c>
      <c r="N184" s="155" t="s">
        <v>91</v>
      </c>
      <c r="O184" s="156" t="s">
        <v>87</v>
      </c>
      <c r="P184" s="157" t="s">
        <v>58</v>
      </c>
      <c r="Q184" s="158" t="s">
        <v>58</v>
      </c>
      <c r="R184" s="159"/>
      <c r="S184" s="159"/>
      <c r="T184" s="160"/>
      <c r="U184" s="171"/>
      <c r="V184" s="161"/>
      <c r="W184" s="161"/>
      <c r="X184" s="164"/>
      <c r="Y184" s="163"/>
      <c r="Z184" s="163"/>
      <c r="AA184" s="163"/>
      <c r="AB184" s="163"/>
      <c r="AC184" s="163"/>
      <c r="AD184" s="163"/>
      <c r="AE184" s="163"/>
      <c r="AF184" s="163"/>
      <c r="AG184" s="164"/>
      <c r="AH184" s="165"/>
      <c r="AI184" s="166"/>
      <c r="AJ184" s="167"/>
      <c r="AK184" s="168"/>
      <c r="AL184" s="168"/>
    </row>
    <row r="185" spans="1:38" ht="31.95" customHeight="1" x14ac:dyDescent="0.3">
      <c r="A185" s="176">
        <v>44075</v>
      </c>
      <c r="B185" s="177">
        <v>0.56593749999999998</v>
      </c>
      <c r="C185" s="149"/>
      <c r="D185" s="149">
        <v>120</v>
      </c>
      <c r="E185" s="149"/>
      <c r="F185" s="149"/>
      <c r="G185" s="150">
        <v>19</v>
      </c>
      <c r="H185" s="151" t="s">
        <v>62</v>
      </c>
      <c r="I185" s="178" t="s">
        <v>58</v>
      </c>
      <c r="J185" s="152"/>
      <c r="K185" s="153">
        <v>3100</v>
      </c>
      <c r="L185" s="154">
        <v>4</v>
      </c>
      <c r="M185" s="155">
        <v>11</v>
      </c>
      <c r="N185" s="155" t="s">
        <v>91</v>
      </c>
      <c r="O185" s="156" t="s">
        <v>87</v>
      </c>
      <c r="P185" s="157" t="s">
        <v>58</v>
      </c>
      <c r="Q185" s="158" t="s">
        <v>58</v>
      </c>
      <c r="R185" s="159"/>
      <c r="S185" s="159"/>
      <c r="T185" s="160"/>
      <c r="U185" s="171"/>
      <c r="V185" s="161">
        <v>4.3</v>
      </c>
      <c r="W185" s="161">
        <v>5.0999999999999996</v>
      </c>
      <c r="X185" s="164">
        <v>5.77</v>
      </c>
      <c r="Y185" s="163"/>
      <c r="Z185" s="163"/>
      <c r="AA185" s="163"/>
      <c r="AB185" s="163"/>
      <c r="AC185" s="163"/>
      <c r="AD185" s="163"/>
      <c r="AE185" s="163"/>
      <c r="AF185" s="163"/>
      <c r="AG185" s="164"/>
      <c r="AH185" s="165"/>
      <c r="AI185" s="166"/>
      <c r="AJ185" s="167"/>
      <c r="AK185" s="168"/>
      <c r="AL185" s="168"/>
    </row>
    <row r="186" spans="1:38" ht="31.95" customHeight="1" x14ac:dyDescent="0.3">
      <c r="A186" s="176">
        <v>44075</v>
      </c>
      <c r="B186" s="177">
        <v>0.56743055555555555</v>
      </c>
      <c r="C186" s="149"/>
      <c r="D186" s="149">
        <v>60</v>
      </c>
      <c r="E186" s="149"/>
      <c r="F186" s="149"/>
      <c r="G186" s="150">
        <v>19</v>
      </c>
      <c r="H186" s="151" t="s">
        <v>66</v>
      </c>
      <c r="I186" s="170" t="s">
        <v>327</v>
      </c>
      <c r="J186" s="152"/>
      <c r="K186" s="153">
        <v>3100</v>
      </c>
      <c r="L186" s="154">
        <v>5</v>
      </c>
      <c r="M186" s="155">
        <v>12</v>
      </c>
      <c r="N186" s="155" t="s">
        <v>367</v>
      </c>
      <c r="O186" s="156" t="s">
        <v>87</v>
      </c>
      <c r="P186" s="157" t="s">
        <v>58</v>
      </c>
      <c r="Q186" s="158" t="s">
        <v>58</v>
      </c>
      <c r="R186" s="159"/>
      <c r="S186" s="159"/>
      <c r="T186" s="160"/>
      <c r="U186" s="171"/>
      <c r="V186" s="161"/>
      <c r="W186" s="161"/>
      <c r="X186" s="164"/>
      <c r="Y186" s="163"/>
      <c r="Z186" s="163"/>
      <c r="AA186" s="163"/>
      <c r="AB186" s="163"/>
      <c r="AC186" s="163"/>
      <c r="AD186" s="163"/>
      <c r="AE186" s="163"/>
      <c r="AF186" s="163"/>
      <c r="AG186" s="164"/>
      <c r="AH186" s="165"/>
      <c r="AI186" s="166"/>
      <c r="AJ186" s="167"/>
      <c r="AK186" s="168"/>
      <c r="AL186" s="168"/>
    </row>
    <row r="187" spans="1:38" ht="31.95" customHeight="1" x14ac:dyDescent="0.3">
      <c r="A187" s="176">
        <v>44075</v>
      </c>
      <c r="B187" s="177">
        <v>0.56815972222222222</v>
      </c>
      <c r="C187" s="149"/>
      <c r="D187" s="149">
        <v>120</v>
      </c>
      <c r="E187" s="149"/>
      <c r="F187" s="149"/>
      <c r="G187" s="150">
        <v>19</v>
      </c>
      <c r="H187" s="151" t="s">
        <v>62</v>
      </c>
      <c r="I187" s="178" t="s">
        <v>58</v>
      </c>
      <c r="J187" s="152"/>
      <c r="K187" s="153">
        <v>3100</v>
      </c>
      <c r="L187" s="154">
        <v>5</v>
      </c>
      <c r="M187" s="155">
        <v>12</v>
      </c>
      <c r="N187" s="155" t="s">
        <v>367</v>
      </c>
      <c r="O187" s="156" t="s">
        <v>87</v>
      </c>
      <c r="P187" s="157" t="s">
        <v>58</v>
      </c>
      <c r="Q187" s="158" t="s">
        <v>58</v>
      </c>
      <c r="R187" s="159"/>
      <c r="S187" s="159"/>
      <c r="T187" s="160"/>
      <c r="U187" s="171"/>
      <c r="V187" s="161">
        <v>3.2</v>
      </c>
      <c r="W187" s="161">
        <v>4.5</v>
      </c>
      <c r="X187" s="164">
        <v>4.5</v>
      </c>
      <c r="Y187" s="163"/>
      <c r="Z187" s="163"/>
      <c r="AA187" s="163"/>
      <c r="AB187" s="163"/>
      <c r="AC187" s="163"/>
      <c r="AD187" s="163"/>
      <c r="AE187" s="163"/>
      <c r="AF187" s="163"/>
      <c r="AG187" s="164"/>
      <c r="AH187" s="165"/>
      <c r="AI187" s="166"/>
      <c r="AJ187" s="167"/>
      <c r="AK187" s="168"/>
      <c r="AL187" s="168"/>
    </row>
    <row r="188" spans="1:38" ht="31.95" customHeight="1" x14ac:dyDescent="0.3">
      <c r="A188" s="176">
        <v>44075</v>
      </c>
      <c r="B188" s="177">
        <v>0.56959490740740748</v>
      </c>
      <c r="C188" s="149"/>
      <c r="D188" s="149">
        <v>45</v>
      </c>
      <c r="E188" s="149"/>
      <c r="F188" s="149"/>
      <c r="G188" s="150">
        <v>19</v>
      </c>
      <c r="H188" s="151" t="s">
        <v>66</v>
      </c>
      <c r="I188" s="170" t="s">
        <v>318</v>
      </c>
      <c r="J188" s="152"/>
      <c r="K188" s="153">
        <v>3100</v>
      </c>
      <c r="L188" s="154">
        <v>1</v>
      </c>
      <c r="M188" s="155">
        <v>2.33</v>
      </c>
      <c r="N188" s="155" t="s">
        <v>86</v>
      </c>
      <c r="O188" s="156" t="s">
        <v>87</v>
      </c>
      <c r="P188" s="157" t="s">
        <v>58</v>
      </c>
      <c r="Q188" s="158" t="s">
        <v>58</v>
      </c>
      <c r="R188" s="159"/>
      <c r="S188" s="159"/>
      <c r="T188" s="160"/>
      <c r="U188" s="171"/>
      <c r="V188" s="161"/>
      <c r="W188" s="161"/>
      <c r="X188" s="164"/>
      <c r="Y188" s="163"/>
      <c r="Z188" s="163"/>
      <c r="AA188" s="163"/>
      <c r="AB188" s="163"/>
      <c r="AC188" s="163"/>
      <c r="AD188" s="163"/>
      <c r="AE188" s="163"/>
      <c r="AF188" s="163"/>
      <c r="AG188" s="164"/>
      <c r="AH188" s="165"/>
      <c r="AI188" s="166"/>
      <c r="AJ188" s="167"/>
      <c r="AK188" s="168"/>
      <c r="AL188" s="168"/>
    </row>
    <row r="189" spans="1:38" ht="31.95" customHeight="1" x14ac:dyDescent="0.3">
      <c r="A189" s="176">
        <v>44075</v>
      </c>
      <c r="B189" s="177">
        <v>0.57042824074074072</v>
      </c>
      <c r="C189" s="149"/>
      <c r="D189" s="149">
        <v>60</v>
      </c>
      <c r="E189" s="149"/>
      <c r="F189" s="149"/>
      <c r="G189" s="150">
        <v>19</v>
      </c>
      <c r="H189" s="151" t="s">
        <v>77</v>
      </c>
      <c r="I189" s="178" t="s">
        <v>58</v>
      </c>
      <c r="J189" s="152"/>
      <c r="K189" s="153">
        <v>3100</v>
      </c>
      <c r="L189" s="154">
        <v>1</v>
      </c>
      <c r="M189" s="155">
        <v>2.33</v>
      </c>
      <c r="N189" s="155" t="s">
        <v>86</v>
      </c>
      <c r="O189" s="156" t="s">
        <v>87</v>
      </c>
      <c r="P189" s="157" t="s">
        <v>58</v>
      </c>
      <c r="Q189" s="158" t="s">
        <v>58</v>
      </c>
      <c r="R189" s="159"/>
      <c r="S189" s="159"/>
      <c r="T189" s="160"/>
      <c r="U189" s="171"/>
      <c r="V189" s="161">
        <v>5.4</v>
      </c>
      <c r="W189" s="161">
        <v>5.6</v>
      </c>
      <c r="X189" s="164">
        <v>7</v>
      </c>
      <c r="Y189" s="163"/>
      <c r="Z189" s="163"/>
      <c r="AA189" s="163"/>
      <c r="AB189" s="163"/>
      <c r="AC189" s="163"/>
      <c r="AD189" s="163"/>
      <c r="AE189" s="163"/>
      <c r="AF189" s="163"/>
      <c r="AG189" s="164"/>
      <c r="AH189" s="165"/>
      <c r="AI189" s="166"/>
      <c r="AJ189" s="167"/>
      <c r="AK189" s="168"/>
      <c r="AL189" s="168"/>
    </row>
    <row r="190" spans="1:38" ht="31.95" customHeight="1" x14ac:dyDescent="0.3">
      <c r="A190" s="147">
        <v>44075</v>
      </c>
      <c r="B190" s="148">
        <v>0.57121527777777781</v>
      </c>
      <c r="C190" s="149"/>
      <c r="D190" s="149" t="s">
        <v>58</v>
      </c>
      <c r="E190" s="149"/>
      <c r="F190" s="149"/>
      <c r="G190" s="150" t="s">
        <v>58</v>
      </c>
      <c r="H190" s="151" t="s">
        <v>72</v>
      </c>
      <c r="I190" s="170" t="s">
        <v>79</v>
      </c>
      <c r="J190" s="152"/>
      <c r="K190" s="153">
        <v>3100</v>
      </c>
      <c r="L190" s="154" t="s">
        <v>58</v>
      </c>
      <c r="M190" s="155" t="s">
        <v>58</v>
      </c>
      <c r="N190" s="155" t="s">
        <v>58</v>
      </c>
      <c r="O190" s="156" t="s">
        <v>58</v>
      </c>
      <c r="P190" s="157" t="s">
        <v>58</v>
      </c>
      <c r="Q190" s="158" t="s">
        <v>58</v>
      </c>
      <c r="R190" s="171"/>
      <c r="S190" s="171"/>
      <c r="T190" s="172"/>
      <c r="U190" s="171"/>
      <c r="V190" s="173"/>
      <c r="W190" s="173"/>
      <c r="X190" s="162"/>
      <c r="Y190" s="174"/>
      <c r="Z190" s="174"/>
      <c r="AA190" s="174"/>
      <c r="AB190" s="174"/>
      <c r="AC190" s="174"/>
      <c r="AD190" s="174"/>
      <c r="AE190" s="174"/>
      <c r="AF190" s="174"/>
      <c r="AG190" s="162"/>
      <c r="AH190" s="175"/>
      <c r="AI190" s="166"/>
      <c r="AJ190" s="168"/>
      <c r="AK190" s="168"/>
      <c r="AL190" s="168"/>
    </row>
    <row r="191" spans="1:38" ht="31.95" customHeight="1" x14ac:dyDescent="0.3">
      <c r="A191" s="147">
        <v>44075</v>
      </c>
      <c r="B191" s="148">
        <v>0.57337962962962963</v>
      </c>
      <c r="C191" s="149"/>
      <c r="D191" s="149" t="s">
        <v>58</v>
      </c>
      <c r="E191" s="149"/>
      <c r="F191" s="149"/>
      <c r="G191" s="150" t="s">
        <v>58</v>
      </c>
      <c r="H191" s="151" t="s">
        <v>72</v>
      </c>
      <c r="I191" s="170" t="s">
        <v>73</v>
      </c>
      <c r="J191" s="152"/>
      <c r="K191" s="180">
        <v>2200</v>
      </c>
      <c r="L191" s="154">
        <v>1</v>
      </c>
      <c r="M191" s="155">
        <v>1.73</v>
      </c>
      <c r="N191" s="155" t="s">
        <v>74</v>
      </c>
      <c r="O191" s="156" t="s">
        <v>80</v>
      </c>
      <c r="P191" s="157" t="s">
        <v>58</v>
      </c>
      <c r="Q191" s="158" t="s">
        <v>58</v>
      </c>
      <c r="R191" s="171"/>
      <c r="S191" s="171"/>
      <c r="T191" s="172"/>
      <c r="U191" s="171"/>
      <c r="V191" s="173"/>
      <c r="W191" s="173"/>
      <c r="X191" s="162"/>
      <c r="Y191" s="174"/>
      <c r="Z191" s="174"/>
      <c r="AA191" s="174"/>
      <c r="AB191" s="174"/>
      <c r="AC191" s="174"/>
      <c r="AD191" s="174"/>
      <c r="AE191" s="174"/>
      <c r="AF191" s="174"/>
      <c r="AG191" s="162"/>
      <c r="AH191" s="175"/>
      <c r="AI191" s="166"/>
      <c r="AJ191" s="168"/>
      <c r="AK191" s="168"/>
      <c r="AL191" s="168"/>
    </row>
    <row r="192" spans="1:38" ht="31.95" customHeight="1" x14ac:dyDescent="0.3">
      <c r="A192" s="176">
        <v>44075</v>
      </c>
      <c r="B192" s="177">
        <v>0.5750925925925926</v>
      </c>
      <c r="C192" s="149"/>
      <c r="D192" s="149">
        <v>30</v>
      </c>
      <c r="E192" s="149"/>
      <c r="F192" s="149"/>
      <c r="G192" s="150" t="s">
        <v>58</v>
      </c>
      <c r="H192" s="151" t="s">
        <v>66</v>
      </c>
      <c r="I192" s="170" t="s">
        <v>67</v>
      </c>
      <c r="J192" s="152"/>
      <c r="K192" s="153">
        <v>2800</v>
      </c>
      <c r="L192" s="154">
        <v>1</v>
      </c>
      <c r="M192" s="155">
        <v>1.73</v>
      </c>
      <c r="N192" s="155" t="s">
        <v>74</v>
      </c>
      <c r="O192" s="156" t="s">
        <v>80</v>
      </c>
      <c r="P192" s="157" t="s">
        <v>58</v>
      </c>
      <c r="Q192" s="158" t="s">
        <v>58</v>
      </c>
      <c r="R192" s="159"/>
      <c r="S192" s="159"/>
      <c r="T192" s="160"/>
      <c r="U192" s="171"/>
      <c r="V192" s="161"/>
      <c r="W192" s="161"/>
      <c r="X192" s="164"/>
      <c r="Y192" s="163"/>
      <c r="Z192" s="163"/>
      <c r="AA192" s="163"/>
      <c r="AB192" s="163"/>
      <c r="AC192" s="163"/>
      <c r="AD192" s="163"/>
      <c r="AE192" s="163"/>
      <c r="AF192" s="163"/>
      <c r="AG192" s="164"/>
      <c r="AH192" s="165"/>
      <c r="AI192" s="166"/>
      <c r="AJ192" s="168"/>
      <c r="AK192" s="168"/>
      <c r="AL192" s="168"/>
    </row>
    <row r="193" spans="1:38" ht="31.95" customHeight="1" x14ac:dyDescent="0.3">
      <c r="A193" s="147">
        <v>44075</v>
      </c>
      <c r="B193" s="148">
        <v>0.57626157407407408</v>
      </c>
      <c r="C193" s="149"/>
      <c r="D193" s="149">
        <v>120</v>
      </c>
      <c r="E193" s="149"/>
      <c r="F193" s="149"/>
      <c r="G193" s="150">
        <v>20</v>
      </c>
      <c r="H193" s="151" t="s">
        <v>62</v>
      </c>
      <c r="I193" s="170" t="s">
        <v>58</v>
      </c>
      <c r="J193" s="152"/>
      <c r="K193" s="153">
        <v>2800</v>
      </c>
      <c r="L193" s="154">
        <v>1</v>
      </c>
      <c r="M193" s="155">
        <v>1.73</v>
      </c>
      <c r="N193" s="155" t="s">
        <v>74</v>
      </c>
      <c r="O193" s="156" t="s">
        <v>80</v>
      </c>
      <c r="P193" s="157" t="s">
        <v>58</v>
      </c>
      <c r="Q193" s="158" t="s">
        <v>58</v>
      </c>
      <c r="R193" s="171"/>
      <c r="S193" s="171"/>
      <c r="T193" s="172"/>
      <c r="U193" s="171"/>
      <c r="V193" s="173">
        <v>4.5</v>
      </c>
      <c r="W193" s="173">
        <v>4.0999999999999996</v>
      </c>
      <c r="X193" s="162">
        <v>6.28</v>
      </c>
      <c r="Y193" s="174"/>
      <c r="Z193" s="174"/>
      <c r="AA193" s="174"/>
      <c r="AB193" s="174"/>
      <c r="AC193" s="174"/>
      <c r="AD193" s="174"/>
      <c r="AE193" s="174"/>
      <c r="AF193" s="174"/>
      <c r="AG193" s="162"/>
      <c r="AH193" s="175"/>
      <c r="AI193" s="166" t="s">
        <v>78</v>
      </c>
      <c r="AJ193" s="168"/>
      <c r="AK193" s="168"/>
      <c r="AL193" s="168"/>
    </row>
    <row r="194" spans="1:38" ht="31.95" customHeight="1" x14ac:dyDescent="0.3">
      <c r="A194" s="147">
        <v>44075</v>
      </c>
      <c r="B194" s="148">
        <v>0.57789351851851845</v>
      </c>
      <c r="C194" s="149"/>
      <c r="D194" s="149">
        <v>30</v>
      </c>
      <c r="E194" s="149"/>
      <c r="F194" s="149"/>
      <c r="G194" s="150">
        <v>20</v>
      </c>
      <c r="H194" s="151" t="s">
        <v>66</v>
      </c>
      <c r="I194" s="170" t="s">
        <v>326</v>
      </c>
      <c r="J194" s="152"/>
      <c r="K194" s="153">
        <v>2800</v>
      </c>
      <c r="L194" s="154">
        <v>2</v>
      </c>
      <c r="M194" s="155">
        <v>6</v>
      </c>
      <c r="N194" s="155" t="s">
        <v>81</v>
      </c>
      <c r="O194" s="156" t="s">
        <v>80</v>
      </c>
      <c r="P194" s="157" t="s">
        <v>58</v>
      </c>
      <c r="Q194" s="158" t="s">
        <v>58</v>
      </c>
      <c r="R194" s="171"/>
      <c r="S194" s="171"/>
      <c r="T194" s="172"/>
      <c r="U194" s="171"/>
      <c r="V194" s="173"/>
      <c r="W194" s="173"/>
      <c r="X194" s="162"/>
      <c r="Y194" s="174"/>
      <c r="Z194" s="174"/>
      <c r="AA194" s="174"/>
      <c r="AB194" s="174"/>
      <c r="AC194" s="174"/>
      <c r="AD194" s="174"/>
      <c r="AE194" s="174"/>
      <c r="AF194" s="174"/>
      <c r="AG194" s="162"/>
      <c r="AH194" s="175"/>
      <c r="AI194" s="166"/>
      <c r="AJ194" s="168"/>
      <c r="AK194" s="168"/>
      <c r="AL194" s="168"/>
    </row>
    <row r="195" spans="1:38" ht="31.95" customHeight="1" x14ac:dyDescent="0.3">
      <c r="A195" s="176">
        <v>44075</v>
      </c>
      <c r="B195" s="177">
        <v>0.5782870370370371</v>
      </c>
      <c r="C195" s="149"/>
      <c r="D195" s="149">
        <v>120</v>
      </c>
      <c r="E195" s="149"/>
      <c r="F195" s="149"/>
      <c r="G195" s="150">
        <v>20</v>
      </c>
      <c r="H195" s="151" t="s">
        <v>62</v>
      </c>
      <c r="I195" s="178" t="s">
        <v>58</v>
      </c>
      <c r="J195" s="152"/>
      <c r="K195" s="153">
        <v>2800</v>
      </c>
      <c r="L195" s="154">
        <v>2</v>
      </c>
      <c r="M195" s="155">
        <v>6</v>
      </c>
      <c r="N195" s="155" t="s">
        <v>81</v>
      </c>
      <c r="O195" s="156" t="s">
        <v>80</v>
      </c>
      <c r="P195" s="157" t="s">
        <v>58</v>
      </c>
      <c r="Q195" s="158" t="s">
        <v>58</v>
      </c>
      <c r="R195" s="159"/>
      <c r="S195" s="159"/>
      <c r="T195" s="160"/>
      <c r="U195" s="171"/>
      <c r="V195" s="161">
        <v>4.5</v>
      </c>
      <c r="W195" s="161">
        <v>4.0999999999999996</v>
      </c>
      <c r="X195" s="164">
        <v>6.25</v>
      </c>
      <c r="Y195" s="163"/>
      <c r="Z195" s="163"/>
      <c r="AA195" s="163"/>
      <c r="AB195" s="163"/>
      <c r="AC195" s="163"/>
      <c r="AD195" s="163"/>
      <c r="AE195" s="163"/>
      <c r="AF195" s="163"/>
      <c r="AG195" s="164"/>
      <c r="AH195" s="165"/>
      <c r="AI195" s="166" t="s">
        <v>78</v>
      </c>
      <c r="AJ195" s="167"/>
      <c r="AK195" s="168"/>
      <c r="AL195" s="168"/>
    </row>
    <row r="196" spans="1:38" ht="31.95" customHeight="1" x14ac:dyDescent="0.3">
      <c r="A196" s="176">
        <v>44075</v>
      </c>
      <c r="B196" s="177">
        <v>0.57997685185185188</v>
      </c>
      <c r="C196" s="149"/>
      <c r="D196" s="149">
        <v>30</v>
      </c>
      <c r="E196" s="149"/>
      <c r="F196" s="149"/>
      <c r="G196" s="150">
        <v>20</v>
      </c>
      <c r="H196" s="151" t="s">
        <v>66</v>
      </c>
      <c r="I196" s="170" t="s">
        <v>326</v>
      </c>
      <c r="J196" s="152"/>
      <c r="K196" s="153">
        <v>2800</v>
      </c>
      <c r="L196" s="154">
        <v>3</v>
      </c>
      <c r="M196" s="155">
        <v>6.6</v>
      </c>
      <c r="N196" s="155" t="s">
        <v>330</v>
      </c>
      <c r="O196" s="156" t="s">
        <v>80</v>
      </c>
      <c r="P196" s="157" t="s">
        <v>58</v>
      </c>
      <c r="Q196" s="158" t="s">
        <v>58</v>
      </c>
      <c r="R196" s="159"/>
      <c r="S196" s="159"/>
      <c r="T196" s="160"/>
      <c r="U196" s="171"/>
      <c r="V196" s="161"/>
      <c r="W196" s="161"/>
      <c r="X196" s="164"/>
      <c r="Y196" s="163"/>
      <c r="Z196" s="163"/>
      <c r="AA196" s="163"/>
      <c r="AB196" s="163"/>
      <c r="AC196" s="163"/>
      <c r="AD196" s="163"/>
      <c r="AE196" s="163"/>
      <c r="AF196" s="163"/>
      <c r="AG196" s="164"/>
      <c r="AH196" s="165"/>
      <c r="AI196" s="166"/>
      <c r="AJ196" s="167" t="s">
        <v>355</v>
      </c>
      <c r="AK196" s="168"/>
      <c r="AL196" s="168"/>
    </row>
    <row r="197" spans="1:38" ht="31.95" customHeight="1" x14ac:dyDescent="0.3">
      <c r="A197" s="176">
        <v>44075</v>
      </c>
      <c r="B197" s="177">
        <v>0.58067129629629632</v>
      </c>
      <c r="C197" s="149"/>
      <c r="D197" s="149">
        <v>120</v>
      </c>
      <c r="E197" s="149"/>
      <c r="F197" s="149"/>
      <c r="G197" s="150">
        <v>20</v>
      </c>
      <c r="H197" s="151" t="s">
        <v>62</v>
      </c>
      <c r="I197" s="178" t="s">
        <v>58</v>
      </c>
      <c r="J197" s="152"/>
      <c r="K197" s="153">
        <v>2800</v>
      </c>
      <c r="L197" s="154">
        <v>3</v>
      </c>
      <c r="M197" s="155">
        <v>6.6</v>
      </c>
      <c r="N197" s="155" t="s">
        <v>330</v>
      </c>
      <c r="O197" s="156" t="s">
        <v>80</v>
      </c>
      <c r="P197" s="157" t="s">
        <v>58</v>
      </c>
      <c r="Q197" s="158" t="s">
        <v>58</v>
      </c>
      <c r="R197" s="159"/>
      <c r="S197" s="159"/>
      <c r="T197" s="160"/>
      <c r="U197" s="171"/>
      <c r="V197" s="161">
        <v>4.5999999999999996</v>
      </c>
      <c r="W197" s="161">
        <v>4.2</v>
      </c>
      <c r="X197" s="164">
        <v>6.25</v>
      </c>
      <c r="Y197" s="163"/>
      <c r="Z197" s="163"/>
      <c r="AA197" s="163"/>
      <c r="AB197" s="163"/>
      <c r="AC197" s="163"/>
      <c r="AD197" s="163"/>
      <c r="AE197" s="163"/>
      <c r="AF197" s="163"/>
      <c r="AG197" s="164"/>
      <c r="AH197" s="165"/>
      <c r="AI197" s="166" t="s">
        <v>78</v>
      </c>
      <c r="AJ197" s="167"/>
      <c r="AK197" s="168"/>
      <c r="AL197" s="168"/>
    </row>
    <row r="198" spans="1:38" ht="31.95" customHeight="1" x14ac:dyDescent="0.3">
      <c r="A198" s="176">
        <v>44075</v>
      </c>
      <c r="B198" s="177">
        <v>0.58219907407407401</v>
      </c>
      <c r="C198" s="149"/>
      <c r="D198" s="149">
        <v>30</v>
      </c>
      <c r="E198" s="149"/>
      <c r="F198" s="149"/>
      <c r="G198" s="150">
        <v>20</v>
      </c>
      <c r="H198" s="151" t="s">
        <v>66</v>
      </c>
      <c r="I198" s="170" t="s">
        <v>317</v>
      </c>
      <c r="J198" s="152"/>
      <c r="K198" s="153">
        <v>2800</v>
      </c>
      <c r="L198" s="154">
        <v>1</v>
      </c>
      <c r="M198" s="155">
        <v>1.73</v>
      </c>
      <c r="N198" s="155" t="s">
        <v>74</v>
      </c>
      <c r="O198" s="156" t="s">
        <v>80</v>
      </c>
      <c r="P198" s="157" t="s">
        <v>58</v>
      </c>
      <c r="Q198" s="158" t="s">
        <v>58</v>
      </c>
      <c r="R198" s="159"/>
      <c r="S198" s="159"/>
      <c r="T198" s="160"/>
      <c r="U198" s="171"/>
      <c r="V198" s="161"/>
      <c r="W198" s="161"/>
      <c r="X198" s="164"/>
      <c r="Y198" s="163"/>
      <c r="Z198" s="163"/>
      <c r="AA198" s="163"/>
      <c r="AB198" s="163"/>
      <c r="AC198" s="163"/>
      <c r="AD198" s="163"/>
      <c r="AE198" s="163"/>
      <c r="AF198" s="163"/>
      <c r="AG198" s="164"/>
      <c r="AH198" s="165"/>
      <c r="AI198" s="166"/>
      <c r="AJ198" s="167"/>
      <c r="AK198" s="168"/>
      <c r="AL198" s="168"/>
    </row>
    <row r="199" spans="1:38" ht="31.95" customHeight="1" x14ac:dyDescent="0.3">
      <c r="A199" s="176">
        <v>44075</v>
      </c>
      <c r="B199" s="177">
        <v>0.5826041666666667</v>
      </c>
      <c r="C199" s="149"/>
      <c r="D199" s="149">
        <v>60</v>
      </c>
      <c r="E199" s="149"/>
      <c r="F199" s="149"/>
      <c r="G199" s="150">
        <v>20</v>
      </c>
      <c r="H199" s="151" t="s">
        <v>77</v>
      </c>
      <c r="I199" s="178" t="s">
        <v>58</v>
      </c>
      <c r="J199" s="152"/>
      <c r="K199" s="153">
        <v>2800</v>
      </c>
      <c r="L199" s="154">
        <v>1</v>
      </c>
      <c r="M199" s="155">
        <v>1.73</v>
      </c>
      <c r="N199" s="155" t="s">
        <v>74</v>
      </c>
      <c r="O199" s="156" t="s">
        <v>80</v>
      </c>
      <c r="P199" s="157" t="s">
        <v>58</v>
      </c>
      <c r="Q199" s="158" t="s">
        <v>58</v>
      </c>
      <c r="R199" s="159"/>
      <c r="S199" s="159"/>
      <c r="T199" s="160"/>
      <c r="U199" s="171"/>
      <c r="V199" s="161">
        <v>4.5</v>
      </c>
      <c r="W199" s="161">
        <v>4.0999999999999996</v>
      </c>
      <c r="X199" s="164">
        <v>6.27</v>
      </c>
      <c r="Y199" s="163"/>
      <c r="Z199" s="163"/>
      <c r="AA199" s="163"/>
      <c r="AB199" s="163"/>
      <c r="AC199" s="163"/>
      <c r="AD199" s="163"/>
      <c r="AE199" s="163"/>
      <c r="AF199" s="163"/>
      <c r="AG199" s="164"/>
      <c r="AH199" s="165"/>
      <c r="AI199" s="166" t="s">
        <v>78</v>
      </c>
      <c r="AJ199" s="167"/>
      <c r="AK199" s="168"/>
      <c r="AL199" s="168"/>
    </row>
    <row r="200" spans="1:38" ht="31.95" customHeight="1" x14ac:dyDescent="0.3">
      <c r="A200" s="176">
        <v>44075</v>
      </c>
      <c r="B200" s="177">
        <v>0.58336805555555549</v>
      </c>
      <c r="C200" s="149"/>
      <c r="D200" s="149">
        <v>30</v>
      </c>
      <c r="E200" s="149"/>
      <c r="F200" s="149"/>
      <c r="G200" s="150" t="s">
        <v>58</v>
      </c>
      <c r="H200" s="151" t="s">
        <v>72</v>
      </c>
      <c r="I200" s="170" t="s">
        <v>67</v>
      </c>
      <c r="J200" s="152"/>
      <c r="K200" s="153">
        <v>3100</v>
      </c>
      <c r="L200" s="154">
        <v>1</v>
      </c>
      <c r="M200" s="155">
        <v>1.73</v>
      </c>
      <c r="N200" s="155" t="s">
        <v>74</v>
      </c>
      <c r="O200" s="156" t="s">
        <v>80</v>
      </c>
      <c r="P200" s="157" t="s">
        <v>58</v>
      </c>
      <c r="Q200" s="158" t="s">
        <v>58</v>
      </c>
      <c r="R200" s="159"/>
      <c r="S200" s="159"/>
      <c r="T200" s="160"/>
      <c r="U200" s="171"/>
      <c r="V200" s="161"/>
      <c r="W200" s="161"/>
      <c r="X200" s="164"/>
      <c r="Y200" s="163"/>
      <c r="Z200" s="163"/>
      <c r="AA200" s="163"/>
      <c r="AB200" s="163"/>
      <c r="AC200" s="163"/>
      <c r="AD200" s="163"/>
      <c r="AE200" s="163"/>
      <c r="AF200" s="163"/>
      <c r="AG200" s="164"/>
      <c r="AH200" s="165"/>
      <c r="AI200" s="166" t="s">
        <v>63</v>
      </c>
      <c r="AJ200" s="168" t="s">
        <v>356</v>
      </c>
      <c r="AK200" s="168"/>
      <c r="AL200" s="168"/>
    </row>
    <row r="201" spans="1:38" ht="31.95" customHeight="1" x14ac:dyDescent="0.3">
      <c r="A201" s="147">
        <v>44075</v>
      </c>
      <c r="B201" s="148">
        <v>0.58471064814814822</v>
      </c>
      <c r="C201" s="149"/>
      <c r="D201" s="149">
        <v>120</v>
      </c>
      <c r="E201" s="149"/>
      <c r="F201" s="149"/>
      <c r="G201" s="150">
        <v>21</v>
      </c>
      <c r="H201" s="151" t="s">
        <v>62</v>
      </c>
      <c r="I201" s="170" t="s">
        <v>58</v>
      </c>
      <c r="J201" s="152"/>
      <c r="K201" s="153">
        <v>3100</v>
      </c>
      <c r="L201" s="154">
        <v>1</v>
      </c>
      <c r="M201" s="155">
        <v>1.73</v>
      </c>
      <c r="N201" s="155" t="s">
        <v>74</v>
      </c>
      <c r="O201" s="156" t="s">
        <v>80</v>
      </c>
      <c r="P201" s="157" t="s">
        <v>58</v>
      </c>
      <c r="Q201" s="158" t="s">
        <v>58</v>
      </c>
      <c r="R201" s="171"/>
      <c r="S201" s="171"/>
      <c r="T201" s="172"/>
      <c r="U201" s="171"/>
      <c r="V201" s="173">
        <v>5.5</v>
      </c>
      <c r="W201" s="173">
        <v>5.6</v>
      </c>
      <c r="X201" s="162">
        <v>7.03</v>
      </c>
      <c r="Y201" s="174"/>
      <c r="Z201" s="174"/>
      <c r="AA201" s="174"/>
      <c r="AB201" s="174"/>
      <c r="AC201" s="174"/>
      <c r="AD201" s="174"/>
      <c r="AE201" s="174"/>
      <c r="AF201" s="174"/>
      <c r="AG201" s="162"/>
      <c r="AH201" s="175"/>
      <c r="AI201" s="166"/>
      <c r="AJ201" s="168"/>
      <c r="AK201" s="168"/>
      <c r="AL201" s="168"/>
    </row>
    <row r="202" spans="1:38" ht="31.95" customHeight="1" x14ac:dyDescent="0.3">
      <c r="A202" s="147">
        <v>44075</v>
      </c>
      <c r="B202" s="148">
        <v>0.58689814814814811</v>
      </c>
      <c r="C202" s="149"/>
      <c r="D202" s="149">
        <v>30</v>
      </c>
      <c r="E202" s="149"/>
      <c r="F202" s="149"/>
      <c r="G202" s="150">
        <v>21</v>
      </c>
      <c r="H202" s="151" t="s">
        <v>66</v>
      </c>
      <c r="I202" s="170" t="s">
        <v>326</v>
      </c>
      <c r="J202" s="152"/>
      <c r="K202" s="153">
        <v>3100</v>
      </c>
      <c r="L202" s="154">
        <v>2</v>
      </c>
      <c r="M202" s="155">
        <v>6</v>
      </c>
      <c r="N202" s="155" t="s">
        <v>81</v>
      </c>
      <c r="O202" s="156" t="s">
        <v>80</v>
      </c>
      <c r="P202" s="157" t="s">
        <v>58</v>
      </c>
      <c r="Q202" s="158" t="s">
        <v>58</v>
      </c>
      <c r="R202" s="171"/>
      <c r="S202" s="171"/>
      <c r="T202" s="172"/>
      <c r="U202" s="171"/>
      <c r="V202" s="173"/>
      <c r="W202" s="173"/>
      <c r="X202" s="162"/>
      <c r="Y202" s="174"/>
      <c r="Z202" s="174"/>
      <c r="AA202" s="174"/>
      <c r="AB202" s="174"/>
      <c r="AC202" s="174"/>
      <c r="AD202" s="174"/>
      <c r="AE202" s="174"/>
      <c r="AF202" s="174"/>
      <c r="AG202" s="162"/>
      <c r="AH202" s="175"/>
      <c r="AI202" s="166"/>
      <c r="AJ202" s="168"/>
      <c r="AK202" s="168"/>
      <c r="AL202" s="168"/>
    </row>
    <row r="203" spans="1:38" ht="31.95" customHeight="1" x14ac:dyDescent="0.3">
      <c r="A203" s="176">
        <v>44075</v>
      </c>
      <c r="B203" s="177">
        <v>0.5873032407407407</v>
      </c>
      <c r="C203" s="149"/>
      <c r="D203" s="149">
        <v>120</v>
      </c>
      <c r="E203" s="149"/>
      <c r="F203" s="149"/>
      <c r="G203" s="150">
        <v>21</v>
      </c>
      <c r="H203" s="151" t="s">
        <v>62</v>
      </c>
      <c r="I203" s="178" t="s">
        <v>58</v>
      </c>
      <c r="J203" s="152"/>
      <c r="K203" s="153">
        <v>3100</v>
      </c>
      <c r="L203" s="154">
        <v>2</v>
      </c>
      <c r="M203" s="155">
        <v>6</v>
      </c>
      <c r="N203" s="155" t="s">
        <v>81</v>
      </c>
      <c r="O203" s="156" t="s">
        <v>80</v>
      </c>
      <c r="P203" s="157" t="s">
        <v>58</v>
      </c>
      <c r="Q203" s="158" t="s">
        <v>58</v>
      </c>
      <c r="R203" s="159"/>
      <c r="S203" s="159"/>
      <c r="T203" s="160"/>
      <c r="U203" s="171"/>
      <c r="V203" s="161">
        <v>5.5</v>
      </c>
      <c r="W203" s="161">
        <v>5.6</v>
      </c>
      <c r="X203" s="164">
        <v>6.99</v>
      </c>
      <c r="Y203" s="163"/>
      <c r="Z203" s="163"/>
      <c r="AA203" s="163"/>
      <c r="AB203" s="163"/>
      <c r="AC203" s="163"/>
      <c r="AD203" s="163"/>
      <c r="AE203" s="163"/>
      <c r="AF203" s="163"/>
      <c r="AG203" s="164"/>
      <c r="AH203" s="165"/>
      <c r="AI203" s="166"/>
      <c r="AJ203" s="167"/>
      <c r="AK203" s="168"/>
      <c r="AL203" s="168"/>
    </row>
    <row r="204" spans="1:38" ht="31.95" customHeight="1" x14ac:dyDescent="0.3">
      <c r="A204" s="176">
        <v>44075</v>
      </c>
      <c r="B204" s="177">
        <v>0.58872685185185192</v>
      </c>
      <c r="C204" s="149"/>
      <c r="D204" s="149">
        <v>30</v>
      </c>
      <c r="E204" s="149"/>
      <c r="F204" s="149"/>
      <c r="G204" s="150">
        <v>21</v>
      </c>
      <c r="H204" s="151" t="s">
        <v>66</v>
      </c>
      <c r="I204" s="170" t="s">
        <v>326</v>
      </c>
      <c r="J204" s="152"/>
      <c r="K204" s="153">
        <v>3100</v>
      </c>
      <c r="L204" s="154">
        <v>3</v>
      </c>
      <c r="M204" s="155">
        <v>6.6</v>
      </c>
      <c r="N204" s="155" t="s">
        <v>330</v>
      </c>
      <c r="O204" s="156" t="s">
        <v>80</v>
      </c>
      <c r="P204" s="157" t="s">
        <v>58</v>
      </c>
      <c r="Q204" s="158" t="s">
        <v>58</v>
      </c>
      <c r="R204" s="159"/>
      <c r="S204" s="159"/>
      <c r="T204" s="160"/>
      <c r="U204" s="171"/>
      <c r="V204" s="161"/>
      <c r="W204" s="161"/>
      <c r="X204" s="164"/>
      <c r="Y204" s="163"/>
      <c r="Z204" s="163"/>
      <c r="AA204" s="163"/>
      <c r="AB204" s="163"/>
      <c r="AC204" s="163"/>
      <c r="AD204" s="163"/>
      <c r="AE204" s="163"/>
      <c r="AF204" s="163"/>
      <c r="AG204" s="164"/>
      <c r="AH204" s="165"/>
      <c r="AI204" s="166"/>
      <c r="AJ204" s="167"/>
      <c r="AK204" s="168"/>
      <c r="AL204" s="168"/>
    </row>
    <row r="205" spans="1:38" ht="31.95" customHeight="1" x14ac:dyDescent="0.3">
      <c r="A205" s="176">
        <v>44075</v>
      </c>
      <c r="B205" s="177">
        <v>0.58907407407407408</v>
      </c>
      <c r="C205" s="149"/>
      <c r="D205" s="149">
        <v>120</v>
      </c>
      <c r="E205" s="149"/>
      <c r="F205" s="149"/>
      <c r="G205" s="150">
        <v>21</v>
      </c>
      <c r="H205" s="151" t="s">
        <v>62</v>
      </c>
      <c r="I205" s="178" t="s">
        <v>58</v>
      </c>
      <c r="J205" s="152"/>
      <c r="K205" s="153">
        <v>3100</v>
      </c>
      <c r="L205" s="154">
        <v>3</v>
      </c>
      <c r="M205" s="155">
        <v>6.6</v>
      </c>
      <c r="N205" s="155" t="s">
        <v>330</v>
      </c>
      <c r="O205" s="156" t="s">
        <v>80</v>
      </c>
      <c r="P205" s="157" t="s">
        <v>58</v>
      </c>
      <c r="Q205" s="158" t="s">
        <v>58</v>
      </c>
      <c r="R205" s="159"/>
      <c r="S205" s="159"/>
      <c r="T205" s="160"/>
      <c r="U205" s="171"/>
      <c r="V205" s="161">
        <v>5.5</v>
      </c>
      <c r="W205" s="161">
        <v>5.6</v>
      </c>
      <c r="X205" s="164">
        <v>6.99</v>
      </c>
      <c r="Y205" s="163"/>
      <c r="Z205" s="163"/>
      <c r="AA205" s="163"/>
      <c r="AB205" s="163"/>
      <c r="AC205" s="163"/>
      <c r="AD205" s="163"/>
      <c r="AE205" s="163"/>
      <c r="AF205" s="163"/>
      <c r="AG205" s="164"/>
      <c r="AH205" s="165"/>
      <c r="AI205" s="166"/>
      <c r="AJ205" s="167"/>
      <c r="AK205" s="168"/>
      <c r="AL205" s="168"/>
    </row>
    <row r="206" spans="1:38" ht="31.95" customHeight="1" x14ac:dyDescent="0.3">
      <c r="A206" s="176">
        <v>44075</v>
      </c>
      <c r="B206" s="181">
        <v>0.59047453703703701</v>
      </c>
      <c r="C206" s="149"/>
      <c r="D206" s="149">
        <v>30</v>
      </c>
      <c r="E206" s="149"/>
      <c r="F206" s="149"/>
      <c r="G206" s="150">
        <v>21</v>
      </c>
      <c r="H206" s="151" t="s">
        <v>66</v>
      </c>
      <c r="I206" s="170" t="s">
        <v>317</v>
      </c>
      <c r="J206" s="152"/>
      <c r="K206" s="153">
        <v>3100</v>
      </c>
      <c r="L206" s="154">
        <v>1</v>
      </c>
      <c r="M206" s="155">
        <v>1.73</v>
      </c>
      <c r="N206" s="155" t="s">
        <v>74</v>
      </c>
      <c r="O206" s="156" t="s">
        <v>80</v>
      </c>
      <c r="P206" s="157" t="s">
        <v>58</v>
      </c>
      <c r="Q206" s="158" t="s">
        <v>58</v>
      </c>
      <c r="R206" s="159"/>
      <c r="S206" s="159"/>
      <c r="T206" s="160"/>
      <c r="U206" s="171"/>
      <c r="V206" s="161"/>
      <c r="W206" s="161"/>
      <c r="X206" s="164"/>
      <c r="Y206" s="163"/>
      <c r="Z206" s="163"/>
      <c r="AA206" s="163"/>
      <c r="AB206" s="163"/>
      <c r="AC206" s="163"/>
      <c r="AD206" s="163"/>
      <c r="AE206" s="163"/>
      <c r="AF206" s="163"/>
      <c r="AG206" s="164"/>
      <c r="AH206" s="165"/>
      <c r="AI206" s="166"/>
      <c r="AJ206" s="167"/>
      <c r="AK206" s="168"/>
      <c r="AL206" s="168"/>
    </row>
    <row r="207" spans="1:38" ht="31.95" customHeight="1" x14ac:dyDescent="0.3">
      <c r="A207" s="176">
        <v>44075</v>
      </c>
      <c r="B207" s="177">
        <v>0.59085648148148151</v>
      </c>
      <c r="C207" s="149"/>
      <c r="D207" s="149">
        <v>60</v>
      </c>
      <c r="E207" s="149"/>
      <c r="F207" s="149"/>
      <c r="G207" s="150">
        <v>21</v>
      </c>
      <c r="H207" s="151" t="s">
        <v>77</v>
      </c>
      <c r="I207" s="178" t="s">
        <v>58</v>
      </c>
      <c r="J207" s="152"/>
      <c r="K207" s="153">
        <v>3100</v>
      </c>
      <c r="L207" s="154">
        <v>1</v>
      </c>
      <c r="M207" s="155">
        <v>1.73</v>
      </c>
      <c r="N207" s="155" t="s">
        <v>74</v>
      </c>
      <c r="O207" s="156" t="s">
        <v>80</v>
      </c>
      <c r="P207" s="157" t="s">
        <v>58</v>
      </c>
      <c r="Q207" s="158" t="s">
        <v>58</v>
      </c>
      <c r="R207" s="159"/>
      <c r="S207" s="159"/>
      <c r="T207" s="160"/>
      <c r="U207" s="171"/>
      <c r="V207" s="161">
        <v>5.5</v>
      </c>
      <c r="W207" s="161">
        <v>5.6</v>
      </c>
      <c r="X207" s="164">
        <v>7.02</v>
      </c>
      <c r="Y207" s="163"/>
      <c r="Z207" s="163"/>
      <c r="AA207" s="163"/>
      <c r="AB207" s="163"/>
      <c r="AC207" s="163"/>
      <c r="AD207" s="163"/>
      <c r="AE207" s="163"/>
      <c r="AF207" s="163"/>
      <c r="AG207" s="164"/>
      <c r="AH207" s="165"/>
      <c r="AI207" s="166"/>
      <c r="AJ207" s="167"/>
      <c r="AK207" s="168"/>
      <c r="AL207" s="168"/>
    </row>
    <row r="208" spans="1:38" ht="31.95" customHeight="1" x14ac:dyDescent="0.3">
      <c r="A208" s="176">
        <v>44075</v>
      </c>
      <c r="B208" s="177">
        <v>0.59168981481481475</v>
      </c>
      <c r="C208" s="149"/>
      <c r="D208" s="149">
        <v>30</v>
      </c>
      <c r="E208" s="149"/>
      <c r="F208" s="149"/>
      <c r="G208" s="150" t="s">
        <v>58</v>
      </c>
      <c r="H208" s="151" t="s">
        <v>72</v>
      </c>
      <c r="I208" s="170" t="s">
        <v>67</v>
      </c>
      <c r="J208" s="152"/>
      <c r="K208" s="153">
        <v>2200</v>
      </c>
      <c r="L208" s="154">
        <v>1</v>
      </c>
      <c r="M208" s="155">
        <v>1.73</v>
      </c>
      <c r="N208" s="155" t="s">
        <v>74</v>
      </c>
      <c r="O208" s="156" t="s">
        <v>80</v>
      </c>
      <c r="P208" s="157" t="s">
        <v>58</v>
      </c>
      <c r="Q208" s="158" t="s">
        <v>58</v>
      </c>
      <c r="R208" s="159"/>
      <c r="S208" s="159"/>
      <c r="T208" s="160"/>
      <c r="U208" s="171"/>
      <c r="V208" s="161"/>
      <c r="W208" s="161"/>
      <c r="X208" s="164"/>
      <c r="Y208" s="163"/>
      <c r="Z208" s="163"/>
      <c r="AA208" s="163"/>
      <c r="AB208" s="163"/>
      <c r="AC208" s="163"/>
      <c r="AD208" s="163"/>
      <c r="AE208" s="163"/>
      <c r="AF208" s="163"/>
      <c r="AG208" s="164"/>
      <c r="AH208" s="165"/>
      <c r="AI208" s="166"/>
      <c r="AJ208" s="167"/>
      <c r="AK208" s="168"/>
      <c r="AL208" s="168"/>
    </row>
    <row r="209" spans="1:38" ht="31.95" customHeight="1" thickBot="1" x14ac:dyDescent="0.35">
      <c r="A209" s="147"/>
      <c r="B209" s="148"/>
      <c r="C209" s="149"/>
      <c r="D209" s="149" t="s">
        <v>58</v>
      </c>
      <c r="E209" s="149"/>
      <c r="F209" s="149"/>
      <c r="G209" s="150" t="s">
        <v>58</v>
      </c>
      <c r="H209" s="151" t="s">
        <v>72</v>
      </c>
      <c r="I209" s="170" t="s">
        <v>79</v>
      </c>
      <c r="J209" s="152"/>
      <c r="K209" s="153">
        <v>2200</v>
      </c>
      <c r="L209" s="154" t="s">
        <v>58</v>
      </c>
      <c r="M209" s="155" t="s">
        <v>58</v>
      </c>
      <c r="N209" s="155" t="s">
        <v>58</v>
      </c>
      <c r="O209" s="156" t="s">
        <v>58</v>
      </c>
      <c r="P209" s="157" t="s">
        <v>58</v>
      </c>
      <c r="Q209" s="158" t="s">
        <v>58</v>
      </c>
      <c r="R209" s="171"/>
      <c r="S209" s="171"/>
      <c r="T209" s="172"/>
      <c r="U209" s="171"/>
      <c r="V209" s="173"/>
      <c r="W209" s="173"/>
      <c r="X209" s="162"/>
      <c r="Y209" s="174"/>
      <c r="Z209" s="174"/>
      <c r="AA209" s="174"/>
      <c r="AB209" s="174"/>
      <c r="AC209" s="174"/>
      <c r="AD209" s="174"/>
      <c r="AE209" s="174"/>
      <c r="AF209" s="174"/>
      <c r="AG209" s="162"/>
      <c r="AH209" s="175"/>
      <c r="AI209" s="166"/>
      <c r="AJ209" s="168"/>
      <c r="AK209" s="168"/>
      <c r="AL209" s="168"/>
    </row>
    <row r="210" spans="1:38" ht="31.95" customHeight="1" thickBot="1" x14ac:dyDescent="0.35">
      <c r="A210" s="147">
        <v>44075</v>
      </c>
      <c r="B210" s="148">
        <v>0.59600694444444446</v>
      </c>
      <c r="C210" s="149"/>
      <c r="D210" s="149">
        <v>120</v>
      </c>
      <c r="E210" s="149"/>
      <c r="F210" s="149"/>
      <c r="G210" s="150">
        <v>22</v>
      </c>
      <c r="H210" s="151" t="s">
        <v>62</v>
      </c>
      <c r="I210" s="170" t="s">
        <v>58</v>
      </c>
      <c r="J210" s="152"/>
      <c r="K210" s="153">
        <v>3100</v>
      </c>
      <c r="L210" s="154" t="s">
        <v>58</v>
      </c>
      <c r="M210" s="155" t="s">
        <v>58</v>
      </c>
      <c r="N210" s="155" t="s">
        <v>58</v>
      </c>
      <c r="O210" s="156" t="s">
        <v>58</v>
      </c>
      <c r="P210" s="157" t="s">
        <v>58</v>
      </c>
      <c r="Q210" s="158" t="s">
        <v>58</v>
      </c>
      <c r="R210" s="171"/>
      <c r="S210" s="171"/>
      <c r="T210" s="172"/>
      <c r="U210" s="171"/>
      <c r="V210" s="173">
        <v>5.4</v>
      </c>
      <c r="W210" s="173">
        <v>5.6</v>
      </c>
      <c r="X210" s="182">
        <v>7.01</v>
      </c>
      <c r="Y210" s="174"/>
      <c r="Z210" s="174"/>
      <c r="AA210" s="174"/>
      <c r="AB210" s="174"/>
      <c r="AC210" s="174"/>
      <c r="AD210" s="174"/>
      <c r="AE210" s="174"/>
      <c r="AF210" s="174"/>
      <c r="AG210" s="162"/>
      <c r="AH210" s="175"/>
      <c r="AI210" s="166"/>
      <c r="AJ210" s="168"/>
      <c r="AK210" s="168"/>
      <c r="AL210" s="168" t="s">
        <v>93</v>
      </c>
    </row>
    <row r="211" spans="1:38" ht="31.95" customHeight="1" thickBot="1" x14ac:dyDescent="0.35">
      <c r="A211" s="147">
        <v>44075</v>
      </c>
      <c r="B211" s="148">
        <v>0.59815972222222225</v>
      </c>
      <c r="C211" s="149"/>
      <c r="D211" s="149">
        <v>30</v>
      </c>
      <c r="E211" s="149"/>
      <c r="F211" s="149"/>
      <c r="G211" s="150">
        <v>22</v>
      </c>
      <c r="H211" s="151" t="s">
        <v>66</v>
      </c>
      <c r="I211" s="170" t="s">
        <v>67</v>
      </c>
      <c r="J211" s="152"/>
      <c r="K211" s="153">
        <v>2800</v>
      </c>
      <c r="L211" s="154" t="s">
        <v>58</v>
      </c>
      <c r="M211" s="155" t="s">
        <v>58</v>
      </c>
      <c r="N211" s="155" t="s">
        <v>58</v>
      </c>
      <c r="O211" s="156" t="s">
        <v>58</v>
      </c>
      <c r="P211" s="157" t="s">
        <v>58</v>
      </c>
      <c r="Q211" s="158" t="s">
        <v>58</v>
      </c>
      <c r="R211" s="171"/>
      <c r="S211" s="171"/>
      <c r="T211" s="172"/>
      <c r="U211" s="171"/>
      <c r="V211" s="173"/>
      <c r="W211" s="173"/>
      <c r="X211" s="162"/>
      <c r="Y211" s="174"/>
      <c r="Z211" s="174"/>
      <c r="AA211" s="174"/>
      <c r="AB211" s="174"/>
      <c r="AC211" s="174"/>
      <c r="AD211" s="174"/>
      <c r="AE211" s="174"/>
      <c r="AF211" s="174"/>
      <c r="AG211" s="162"/>
      <c r="AH211" s="175"/>
      <c r="AI211" s="166"/>
      <c r="AJ211" s="168"/>
      <c r="AK211" s="168"/>
      <c r="AL211" s="168" t="s">
        <v>94</v>
      </c>
    </row>
    <row r="212" spans="1:38" ht="31.95" customHeight="1" thickBot="1" x14ac:dyDescent="0.35">
      <c r="A212" s="147">
        <v>44075</v>
      </c>
      <c r="B212" s="148">
        <v>0.59861111111111109</v>
      </c>
      <c r="C212" s="149"/>
      <c r="D212" s="149">
        <v>120</v>
      </c>
      <c r="E212" s="149"/>
      <c r="F212" s="149"/>
      <c r="G212" s="150">
        <v>22</v>
      </c>
      <c r="H212" s="151" t="s">
        <v>68</v>
      </c>
      <c r="I212" s="170" t="s">
        <v>58</v>
      </c>
      <c r="J212" s="152"/>
      <c r="K212" s="153">
        <v>2800</v>
      </c>
      <c r="L212" s="154" t="s">
        <v>58</v>
      </c>
      <c r="M212" s="155" t="s">
        <v>58</v>
      </c>
      <c r="N212" s="155" t="s">
        <v>58</v>
      </c>
      <c r="O212" s="156" t="s">
        <v>58</v>
      </c>
      <c r="P212" s="157" t="s">
        <v>58</v>
      </c>
      <c r="Q212" s="158" t="s">
        <v>58</v>
      </c>
      <c r="R212" s="171"/>
      <c r="S212" s="171"/>
      <c r="T212" s="172"/>
      <c r="U212" s="171"/>
      <c r="V212" s="173">
        <v>4.5999999999999996</v>
      </c>
      <c r="W212" s="173">
        <v>4.0999999999999996</v>
      </c>
      <c r="X212" s="182">
        <v>6.29</v>
      </c>
      <c r="Y212" s="174"/>
      <c r="Z212" s="174"/>
      <c r="AA212" s="174"/>
      <c r="AB212" s="174"/>
      <c r="AC212" s="174"/>
      <c r="AD212" s="174"/>
      <c r="AE212" s="174"/>
      <c r="AF212" s="174"/>
      <c r="AG212" s="162"/>
      <c r="AH212" s="175"/>
      <c r="AI212" s="166"/>
      <c r="AJ212" s="168"/>
      <c r="AK212" s="168"/>
      <c r="AL212" s="168" t="s">
        <v>95</v>
      </c>
    </row>
    <row r="213" spans="1:38" ht="31.95" customHeight="1" thickBot="1" x14ac:dyDescent="0.35">
      <c r="A213" s="147">
        <v>44075</v>
      </c>
      <c r="B213" s="148">
        <v>0.60006944444444443</v>
      </c>
      <c r="C213" s="149"/>
      <c r="D213" s="149">
        <v>30</v>
      </c>
      <c r="E213" s="149"/>
      <c r="F213" s="149"/>
      <c r="G213" s="150">
        <v>22</v>
      </c>
      <c r="H213" s="151" t="s">
        <v>66</v>
      </c>
      <c r="I213" s="170" t="s">
        <v>67</v>
      </c>
      <c r="J213" s="152"/>
      <c r="K213" s="153">
        <v>2500</v>
      </c>
      <c r="L213" s="154" t="s">
        <v>58</v>
      </c>
      <c r="M213" s="155" t="s">
        <v>58</v>
      </c>
      <c r="N213" s="155" t="s">
        <v>58</v>
      </c>
      <c r="O213" s="156" t="s">
        <v>58</v>
      </c>
      <c r="P213" s="157" t="s">
        <v>58</v>
      </c>
      <c r="Q213" s="158" t="s">
        <v>58</v>
      </c>
      <c r="R213" s="171"/>
      <c r="S213" s="171"/>
      <c r="T213" s="172"/>
      <c r="U213" s="171"/>
      <c r="V213" s="173"/>
      <c r="W213" s="173"/>
      <c r="X213" s="162"/>
      <c r="Y213" s="174"/>
      <c r="Z213" s="174"/>
      <c r="AA213" s="174"/>
      <c r="AB213" s="174"/>
      <c r="AC213" s="174"/>
      <c r="AD213" s="174"/>
      <c r="AE213" s="174"/>
      <c r="AF213" s="174"/>
      <c r="AG213" s="162"/>
      <c r="AH213" s="175"/>
      <c r="AI213" s="166"/>
      <c r="AJ213" s="168"/>
      <c r="AK213" s="168"/>
      <c r="AL213" s="168" t="s">
        <v>96</v>
      </c>
    </row>
    <row r="214" spans="1:38" ht="31.95" customHeight="1" thickBot="1" x14ac:dyDescent="0.35">
      <c r="A214" s="147">
        <v>44075</v>
      </c>
      <c r="B214" s="148">
        <v>0.60060185185185189</v>
      </c>
      <c r="C214" s="149"/>
      <c r="D214" s="149">
        <v>120</v>
      </c>
      <c r="E214" s="149"/>
      <c r="F214" s="149"/>
      <c r="G214" s="150">
        <v>22</v>
      </c>
      <c r="H214" s="151" t="s">
        <v>62</v>
      </c>
      <c r="I214" s="170" t="s">
        <v>58</v>
      </c>
      <c r="J214" s="152"/>
      <c r="K214" s="153">
        <v>2500</v>
      </c>
      <c r="L214" s="154" t="s">
        <v>58</v>
      </c>
      <c r="M214" s="155" t="s">
        <v>58</v>
      </c>
      <c r="N214" s="155" t="s">
        <v>58</v>
      </c>
      <c r="O214" s="156" t="s">
        <v>58</v>
      </c>
      <c r="P214" s="157" t="s">
        <v>58</v>
      </c>
      <c r="Q214" s="158" t="s">
        <v>58</v>
      </c>
      <c r="R214" s="171"/>
      <c r="S214" s="171"/>
      <c r="T214" s="172"/>
      <c r="U214" s="171"/>
      <c r="V214" s="173">
        <v>4.0999999999999996</v>
      </c>
      <c r="W214" s="173">
        <v>3</v>
      </c>
      <c r="X214" s="182">
        <v>5.56</v>
      </c>
      <c r="Y214" s="174"/>
      <c r="Z214" s="174"/>
      <c r="AA214" s="174"/>
      <c r="AB214" s="174"/>
      <c r="AC214" s="174"/>
      <c r="AD214" s="174"/>
      <c r="AE214" s="174"/>
      <c r="AF214" s="174"/>
      <c r="AG214" s="162"/>
      <c r="AH214" s="175"/>
      <c r="AI214" s="166"/>
      <c r="AJ214" s="168"/>
      <c r="AK214" s="168"/>
      <c r="AL214" s="168" t="s">
        <v>97</v>
      </c>
    </row>
    <row r="215" spans="1:38" ht="31.95" customHeight="1" thickBot="1" x14ac:dyDescent="0.35">
      <c r="A215" s="147">
        <v>44075</v>
      </c>
      <c r="B215" s="148">
        <v>0.60201388888888896</v>
      </c>
      <c r="C215" s="149"/>
      <c r="D215" s="149">
        <v>30</v>
      </c>
      <c r="E215" s="149"/>
      <c r="F215" s="149"/>
      <c r="G215" s="150">
        <v>22</v>
      </c>
      <c r="H215" s="151" t="s">
        <v>66</v>
      </c>
      <c r="I215" s="170" t="s">
        <v>67</v>
      </c>
      <c r="J215" s="152"/>
      <c r="K215" s="153">
        <v>2200</v>
      </c>
      <c r="L215" s="154" t="s">
        <v>58</v>
      </c>
      <c r="M215" s="155" t="s">
        <v>58</v>
      </c>
      <c r="N215" s="155" t="s">
        <v>58</v>
      </c>
      <c r="O215" s="156" t="s">
        <v>58</v>
      </c>
      <c r="P215" s="157" t="s">
        <v>58</v>
      </c>
      <c r="Q215" s="158" t="s">
        <v>58</v>
      </c>
      <c r="R215" s="171"/>
      <c r="S215" s="171"/>
      <c r="T215" s="172"/>
      <c r="U215" s="171"/>
      <c r="V215" s="173"/>
      <c r="W215" s="173"/>
      <c r="X215" s="162"/>
      <c r="Y215" s="174"/>
      <c r="Z215" s="174"/>
      <c r="AA215" s="174"/>
      <c r="AB215" s="174"/>
      <c r="AC215" s="174"/>
      <c r="AD215" s="174"/>
      <c r="AE215" s="174"/>
      <c r="AF215" s="174"/>
      <c r="AG215" s="162"/>
      <c r="AH215" s="175"/>
      <c r="AI215" s="166"/>
      <c r="AJ215" s="168"/>
      <c r="AK215" s="168"/>
      <c r="AL215" s="168" t="s">
        <v>97</v>
      </c>
    </row>
    <row r="216" spans="1:38" ht="31.95" customHeight="1" thickBot="1" x14ac:dyDescent="0.35">
      <c r="A216" s="147">
        <v>44075</v>
      </c>
      <c r="B216" s="148">
        <v>0.60252314814814811</v>
      </c>
      <c r="C216" s="149"/>
      <c r="D216" s="149">
        <v>120</v>
      </c>
      <c r="E216" s="149"/>
      <c r="F216" s="149"/>
      <c r="G216" s="150">
        <v>22</v>
      </c>
      <c r="H216" s="151" t="s">
        <v>62</v>
      </c>
      <c r="I216" s="170" t="s">
        <v>58</v>
      </c>
      <c r="J216" s="152"/>
      <c r="K216" s="153">
        <v>2200</v>
      </c>
      <c r="L216" s="154" t="s">
        <v>58</v>
      </c>
      <c r="M216" s="155" t="s">
        <v>58</v>
      </c>
      <c r="N216" s="155" t="s">
        <v>58</v>
      </c>
      <c r="O216" s="156" t="s">
        <v>58</v>
      </c>
      <c r="P216" s="157" t="s">
        <v>58</v>
      </c>
      <c r="Q216" s="158" t="s">
        <v>58</v>
      </c>
      <c r="R216" s="171"/>
      <c r="S216" s="171"/>
      <c r="T216" s="172"/>
      <c r="U216" s="171"/>
      <c r="V216" s="173">
        <v>3.3</v>
      </c>
      <c r="W216" s="173">
        <v>2.1</v>
      </c>
      <c r="X216" s="182">
        <v>4.84</v>
      </c>
      <c r="Y216" s="174"/>
      <c r="Z216" s="174"/>
      <c r="AA216" s="174"/>
      <c r="AB216" s="174"/>
      <c r="AC216" s="174"/>
      <c r="AD216" s="174"/>
      <c r="AE216" s="174"/>
      <c r="AF216" s="174"/>
      <c r="AG216" s="162"/>
      <c r="AH216" s="175"/>
      <c r="AI216" s="166"/>
      <c r="AJ216" s="168"/>
      <c r="AK216" s="168"/>
      <c r="AL216" s="168" t="s">
        <v>97</v>
      </c>
    </row>
    <row r="217" spans="1:38" ht="31.95" customHeight="1" x14ac:dyDescent="0.3">
      <c r="A217" s="147">
        <v>44075</v>
      </c>
      <c r="B217" s="148">
        <v>0.60396990740740741</v>
      </c>
      <c r="C217" s="149"/>
      <c r="D217" s="149">
        <v>60</v>
      </c>
      <c r="E217" s="149"/>
      <c r="F217" s="149"/>
      <c r="G217" s="150" t="s">
        <v>58</v>
      </c>
      <c r="H217" s="151" t="s">
        <v>66</v>
      </c>
      <c r="I217" s="170" t="s">
        <v>98</v>
      </c>
      <c r="J217" s="152"/>
      <c r="K217" s="153">
        <v>2200</v>
      </c>
      <c r="L217" s="154" t="s">
        <v>58</v>
      </c>
      <c r="M217" s="155" t="s">
        <v>58</v>
      </c>
      <c r="N217" s="155" t="s">
        <v>58</v>
      </c>
      <c r="O217" s="156" t="s">
        <v>58</v>
      </c>
      <c r="P217" s="183">
        <v>20</v>
      </c>
      <c r="Q217" s="158">
        <v>3.8719999999999999</v>
      </c>
      <c r="R217" s="171"/>
      <c r="S217" s="171"/>
      <c r="T217" s="172"/>
      <c r="U217" s="171"/>
      <c r="V217" s="173"/>
      <c r="W217" s="173"/>
      <c r="X217" s="162"/>
      <c r="Y217" s="174"/>
      <c r="Z217" s="174"/>
      <c r="AA217" s="174"/>
      <c r="AB217" s="174"/>
      <c r="AC217" s="174"/>
      <c r="AD217" s="174"/>
      <c r="AE217" s="174"/>
      <c r="AF217" s="174"/>
      <c r="AG217" s="162"/>
      <c r="AH217" s="175"/>
      <c r="AI217" s="166"/>
      <c r="AJ217" s="168"/>
      <c r="AK217" s="168"/>
      <c r="AL217" s="168" t="s">
        <v>99</v>
      </c>
    </row>
    <row r="218" spans="1:38" ht="31.95" customHeight="1" x14ac:dyDescent="0.3">
      <c r="A218" s="176">
        <v>44075</v>
      </c>
      <c r="B218" s="177">
        <v>0.60483796296296299</v>
      </c>
      <c r="C218" s="149"/>
      <c r="D218" s="149">
        <v>120</v>
      </c>
      <c r="E218" s="149"/>
      <c r="F218" s="149"/>
      <c r="G218" s="150">
        <v>23</v>
      </c>
      <c r="H218" s="151" t="s">
        <v>62</v>
      </c>
      <c r="I218" s="178" t="s">
        <v>58</v>
      </c>
      <c r="J218" s="152"/>
      <c r="K218" s="153">
        <v>2200</v>
      </c>
      <c r="L218" s="154" t="s">
        <v>58</v>
      </c>
      <c r="M218" s="155" t="s">
        <v>58</v>
      </c>
      <c r="N218" s="155" t="s">
        <v>58</v>
      </c>
      <c r="O218" s="156" t="s">
        <v>58</v>
      </c>
      <c r="P218" s="157">
        <v>20</v>
      </c>
      <c r="Q218" s="158">
        <v>3.8719999999999999</v>
      </c>
      <c r="R218" s="159"/>
      <c r="S218" s="159"/>
      <c r="T218" s="160"/>
      <c r="U218" s="171"/>
      <c r="V218" s="161">
        <v>2.5</v>
      </c>
      <c r="W218" s="161">
        <v>1.9</v>
      </c>
      <c r="X218" s="164"/>
      <c r="Y218" s="163"/>
      <c r="Z218" s="163"/>
      <c r="AA218" s="163"/>
      <c r="AB218" s="163"/>
      <c r="AC218" s="163"/>
      <c r="AD218" s="163"/>
      <c r="AE218" s="163"/>
      <c r="AF218" s="163"/>
      <c r="AG218" s="164"/>
      <c r="AH218" s="165"/>
      <c r="AI218" s="166"/>
      <c r="AJ218" s="167"/>
      <c r="AK218" s="168"/>
      <c r="AL218" s="168" t="s">
        <v>100</v>
      </c>
    </row>
    <row r="219" spans="1:38" ht="31.95" customHeight="1" x14ac:dyDescent="0.3">
      <c r="A219" s="176">
        <v>44075</v>
      </c>
      <c r="B219" s="177">
        <v>0.60633101851851856</v>
      </c>
      <c r="C219" s="149"/>
      <c r="D219" s="149">
        <v>60</v>
      </c>
      <c r="E219" s="149"/>
      <c r="F219" s="149"/>
      <c r="G219" s="150">
        <v>23</v>
      </c>
      <c r="H219" s="151" t="s">
        <v>66</v>
      </c>
      <c r="I219" s="170" t="s">
        <v>98</v>
      </c>
      <c r="J219" s="152"/>
      <c r="K219" s="153">
        <v>2200</v>
      </c>
      <c r="L219" s="154" t="s">
        <v>58</v>
      </c>
      <c r="M219" s="155" t="s">
        <v>58</v>
      </c>
      <c r="N219" s="155" t="s">
        <v>58</v>
      </c>
      <c r="O219" s="156" t="s">
        <v>58</v>
      </c>
      <c r="P219" s="183">
        <v>40</v>
      </c>
      <c r="Q219" s="158">
        <v>2.9039999999999999</v>
      </c>
      <c r="R219" s="159"/>
      <c r="S219" s="159"/>
      <c r="T219" s="160"/>
      <c r="U219" s="171"/>
      <c r="V219" s="161"/>
      <c r="W219" s="161"/>
      <c r="X219" s="164"/>
      <c r="Y219" s="163"/>
      <c r="Z219" s="163"/>
      <c r="AA219" s="163"/>
      <c r="AB219" s="163"/>
      <c r="AC219" s="163"/>
      <c r="AD219" s="163"/>
      <c r="AE219" s="163"/>
      <c r="AF219" s="163"/>
      <c r="AG219" s="164"/>
      <c r="AH219" s="165"/>
      <c r="AI219" s="166"/>
      <c r="AJ219" s="167"/>
      <c r="AK219" s="168"/>
      <c r="AL219" s="168" t="s">
        <v>99</v>
      </c>
    </row>
    <row r="220" spans="1:38" ht="31.95" customHeight="1" x14ac:dyDescent="0.3">
      <c r="A220" s="176">
        <v>44075</v>
      </c>
      <c r="B220" s="177">
        <v>0.60707175925925927</v>
      </c>
      <c r="C220" s="149"/>
      <c r="D220" s="149">
        <v>120</v>
      </c>
      <c r="E220" s="149"/>
      <c r="F220" s="149"/>
      <c r="G220" s="150">
        <v>23</v>
      </c>
      <c r="H220" s="151" t="s">
        <v>62</v>
      </c>
      <c r="I220" s="178" t="s">
        <v>58</v>
      </c>
      <c r="J220" s="152"/>
      <c r="K220" s="153">
        <v>2200</v>
      </c>
      <c r="L220" s="154" t="s">
        <v>58</v>
      </c>
      <c r="M220" s="155" t="s">
        <v>58</v>
      </c>
      <c r="N220" s="155" t="s">
        <v>58</v>
      </c>
      <c r="O220" s="156" t="s">
        <v>58</v>
      </c>
      <c r="P220" s="157">
        <v>40</v>
      </c>
      <c r="Q220" s="158">
        <v>2.9039999999999999</v>
      </c>
      <c r="R220" s="159"/>
      <c r="S220" s="159"/>
      <c r="T220" s="160"/>
      <c r="U220" s="171"/>
      <c r="V220" s="161">
        <v>1.8</v>
      </c>
      <c r="W220" s="161">
        <v>1.7</v>
      </c>
      <c r="X220" s="164"/>
      <c r="Y220" s="163"/>
      <c r="Z220" s="163"/>
      <c r="AA220" s="163"/>
      <c r="AB220" s="163"/>
      <c r="AC220" s="163"/>
      <c r="AD220" s="163"/>
      <c r="AE220" s="163"/>
      <c r="AF220" s="163"/>
      <c r="AG220" s="164"/>
      <c r="AH220" s="165"/>
      <c r="AI220" s="166"/>
      <c r="AJ220" s="167"/>
      <c r="AK220" s="168"/>
      <c r="AL220" s="168" t="s">
        <v>101</v>
      </c>
    </row>
    <row r="221" spans="1:38" ht="31.95" customHeight="1" x14ac:dyDescent="0.3">
      <c r="A221" s="176">
        <v>44075</v>
      </c>
      <c r="B221" s="177">
        <v>0.6086921296296296</v>
      </c>
      <c r="C221" s="149"/>
      <c r="D221" s="149">
        <v>60</v>
      </c>
      <c r="E221" s="149"/>
      <c r="F221" s="149"/>
      <c r="G221" s="150">
        <v>23</v>
      </c>
      <c r="H221" s="151" t="s">
        <v>66</v>
      </c>
      <c r="I221" s="170" t="s">
        <v>98</v>
      </c>
      <c r="J221" s="152"/>
      <c r="K221" s="153">
        <v>2200</v>
      </c>
      <c r="L221" s="154" t="s">
        <v>58</v>
      </c>
      <c r="M221" s="155" t="s">
        <v>58</v>
      </c>
      <c r="N221" s="155" t="s">
        <v>58</v>
      </c>
      <c r="O221" s="156" t="s">
        <v>58</v>
      </c>
      <c r="P221" s="183">
        <v>60</v>
      </c>
      <c r="Q221" s="158">
        <v>1.9359999999999999</v>
      </c>
      <c r="R221" s="159"/>
      <c r="S221" s="159"/>
      <c r="T221" s="160"/>
      <c r="U221" s="171"/>
      <c r="V221" s="161"/>
      <c r="W221" s="161"/>
      <c r="X221" s="164"/>
      <c r="Y221" s="163"/>
      <c r="Z221" s="163"/>
      <c r="AA221" s="163"/>
      <c r="AB221" s="163"/>
      <c r="AC221" s="163"/>
      <c r="AD221" s="163"/>
      <c r="AE221" s="163"/>
      <c r="AF221" s="163"/>
      <c r="AG221" s="164"/>
      <c r="AH221" s="165"/>
      <c r="AI221" s="166"/>
      <c r="AJ221" s="167"/>
      <c r="AK221" s="168"/>
      <c r="AL221" s="168" t="s">
        <v>99</v>
      </c>
    </row>
    <row r="222" spans="1:38" ht="31.95" customHeight="1" x14ac:dyDescent="0.3">
      <c r="A222" s="176">
        <v>44075</v>
      </c>
      <c r="B222" s="177">
        <v>0.60942129629629627</v>
      </c>
      <c r="C222" s="149"/>
      <c r="D222" s="149">
        <v>120</v>
      </c>
      <c r="E222" s="149"/>
      <c r="F222" s="149"/>
      <c r="G222" s="150">
        <v>23</v>
      </c>
      <c r="H222" s="151" t="s">
        <v>62</v>
      </c>
      <c r="I222" s="178" t="s">
        <v>58</v>
      </c>
      <c r="J222" s="152"/>
      <c r="K222" s="153">
        <v>2200</v>
      </c>
      <c r="L222" s="154" t="s">
        <v>58</v>
      </c>
      <c r="M222" s="155" t="s">
        <v>58</v>
      </c>
      <c r="N222" s="155" t="s">
        <v>58</v>
      </c>
      <c r="O222" s="156" t="s">
        <v>58</v>
      </c>
      <c r="P222" s="157">
        <v>60</v>
      </c>
      <c r="Q222" s="158">
        <v>1.9359999999999999</v>
      </c>
      <c r="R222" s="159"/>
      <c r="S222" s="159"/>
      <c r="T222" s="160"/>
      <c r="U222" s="171"/>
      <c r="V222" s="161">
        <v>1</v>
      </c>
      <c r="W222" s="161">
        <v>1.5</v>
      </c>
      <c r="X222" s="164"/>
      <c r="Y222" s="163"/>
      <c r="Z222" s="163"/>
      <c r="AA222" s="163"/>
      <c r="AB222" s="163"/>
      <c r="AC222" s="163"/>
      <c r="AD222" s="163"/>
      <c r="AE222" s="163"/>
      <c r="AF222" s="163"/>
      <c r="AG222" s="164"/>
      <c r="AH222" s="165"/>
      <c r="AI222" s="166"/>
      <c r="AJ222" s="167"/>
      <c r="AK222" s="168"/>
      <c r="AL222" s="168" t="s">
        <v>102</v>
      </c>
    </row>
    <row r="223" spans="1:38" ht="31.95" customHeight="1" x14ac:dyDescent="0.3">
      <c r="A223" s="176">
        <v>44075</v>
      </c>
      <c r="B223" s="177">
        <v>0.61090277777777779</v>
      </c>
      <c r="C223" s="149"/>
      <c r="D223" s="149">
        <v>60</v>
      </c>
      <c r="E223" s="149"/>
      <c r="F223" s="149"/>
      <c r="G223" s="150">
        <v>23</v>
      </c>
      <c r="H223" s="151" t="s">
        <v>66</v>
      </c>
      <c r="I223" s="170" t="s">
        <v>98</v>
      </c>
      <c r="J223" s="152"/>
      <c r="K223" s="153">
        <v>2200</v>
      </c>
      <c r="L223" s="154" t="s">
        <v>58</v>
      </c>
      <c r="M223" s="155" t="s">
        <v>58</v>
      </c>
      <c r="N223" s="155" t="s">
        <v>58</v>
      </c>
      <c r="O223" s="156" t="s">
        <v>58</v>
      </c>
      <c r="P223" s="183">
        <v>80</v>
      </c>
      <c r="Q223" s="158">
        <v>0.96799999999999975</v>
      </c>
      <c r="R223" s="159"/>
      <c r="S223" s="159"/>
      <c r="T223" s="160"/>
      <c r="U223" s="171"/>
      <c r="V223" s="161"/>
      <c r="W223" s="161"/>
      <c r="X223" s="164"/>
      <c r="Y223" s="163"/>
      <c r="Z223" s="163"/>
      <c r="AA223" s="163"/>
      <c r="AB223" s="163"/>
      <c r="AC223" s="163"/>
      <c r="AD223" s="163"/>
      <c r="AE223" s="163"/>
      <c r="AF223" s="163"/>
      <c r="AG223" s="164"/>
      <c r="AH223" s="165"/>
      <c r="AI223" s="166"/>
      <c r="AJ223" s="167"/>
      <c r="AK223" s="168"/>
      <c r="AL223" s="168" t="s">
        <v>99</v>
      </c>
    </row>
    <row r="224" spans="1:38" ht="31.95" customHeight="1" x14ac:dyDescent="0.3">
      <c r="A224" s="176">
        <v>44075</v>
      </c>
      <c r="B224" s="177">
        <v>0.61160879629629628</v>
      </c>
      <c r="C224" s="149"/>
      <c r="D224" s="149">
        <v>120</v>
      </c>
      <c r="E224" s="149"/>
      <c r="F224" s="149"/>
      <c r="G224" s="150">
        <v>23</v>
      </c>
      <c r="H224" s="151" t="s">
        <v>62</v>
      </c>
      <c r="I224" s="178" t="s">
        <v>58</v>
      </c>
      <c r="J224" s="152"/>
      <c r="K224" s="153">
        <v>2200</v>
      </c>
      <c r="L224" s="154" t="s">
        <v>58</v>
      </c>
      <c r="M224" s="155" t="s">
        <v>58</v>
      </c>
      <c r="N224" s="155" t="s">
        <v>58</v>
      </c>
      <c r="O224" s="156" t="s">
        <v>58</v>
      </c>
      <c r="P224" s="157">
        <v>80</v>
      </c>
      <c r="Q224" s="158">
        <v>0.96799999999999975</v>
      </c>
      <c r="R224" s="159"/>
      <c r="S224" s="159"/>
      <c r="T224" s="160"/>
      <c r="U224" s="171"/>
      <c r="V224" s="161">
        <v>0.2</v>
      </c>
      <c r="W224" s="161">
        <v>1.2</v>
      </c>
      <c r="X224" s="164"/>
      <c r="Y224" s="163"/>
      <c r="Z224" s="163"/>
      <c r="AA224" s="163"/>
      <c r="AB224" s="163"/>
      <c r="AC224" s="163"/>
      <c r="AD224" s="163"/>
      <c r="AE224" s="163"/>
      <c r="AF224" s="163"/>
      <c r="AG224" s="164"/>
      <c r="AH224" s="165"/>
      <c r="AI224" s="166"/>
      <c r="AJ224" s="167" t="s">
        <v>357</v>
      </c>
      <c r="AK224" s="168"/>
      <c r="AL224" s="168" t="s">
        <v>103</v>
      </c>
    </row>
    <row r="225" spans="1:38" ht="31.95" customHeight="1" x14ac:dyDescent="0.3">
      <c r="A225" s="147">
        <v>44075</v>
      </c>
      <c r="B225" s="148">
        <v>0.61314814814814811</v>
      </c>
      <c r="C225" s="149"/>
      <c r="D225" s="149"/>
      <c r="E225" s="149"/>
      <c r="F225" s="149"/>
      <c r="G225" s="150" t="s">
        <v>58</v>
      </c>
      <c r="H225" s="151" t="s">
        <v>66</v>
      </c>
      <c r="I225" s="170" t="s">
        <v>67</v>
      </c>
      <c r="J225" s="152"/>
      <c r="K225" s="153">
        <v>2500</v>
      </c>
      <c r="L225" s="154" t="s">
        <v>58</v>
      </c>
      <c r="M225" s="155" t="s">
        <v>58</v>
      </c>
      <c r="N225" s="155" t="s">
        <v>58</v>
      </c>
      <c r="O225" s="156" t="s">
        <v>58</v>
      </c>
      <c r="P225" s="157" t="s">
        <v>58</v>
      </c>
      <c r="Q225" s="158" t="s">
        <v>58</v>
      </c>
      <c r="R225" s="171"/>
      <c r="S225" s="171"/>
      <c r="T225" s="172"/>
      <c r="U225" s="171"/>
      <c r="V225" s="173"/>
      <c r="W225" s="173"/>
      <c r="X225" s="162"/>
      <c r="Y225" s="174"/>
      <c r="Z225" s="174"/>
      <c r="AA225" s="174"/>
      <c r="AB225" s="174"/>
      <c r="AC225" s="174"/>
      <c r="AD225" s="174"/>
      <c r="AE225" s="174"/>
      <c r="AF225" s="174"/>
      <c r="AG225" s="162"/>
      <c r="AH225" s="175"/>
      <c r="AI225" s="166"/>
      <c r="AJ225" s="168"/>
      <c r="AK225" s="168"/>
      <c r="AL225" s="168"/>
    </row>
    <row r="226" spans="1:38" ht="31.95" customHeight="1" x14ac:dyDescent="0.3">
      <c r="A226" s="147">
        <v>44075</v>
      </c>
      <c r="B226" s="148">
        <v>0.61428240740740747</v>
      </c>
      <c r="C226" s="149"/>
      <c r="D226" s="149">
        <v>60</v>
      </c>
      <c r="E226" s="149"/>
      <c r="F226" s="149"/>
      <c r="G226" s="150" t="s">
        <v>58</v>
      </c>
      <c r="H226" s="151" t="s">
        <v>66</v>
      </c>
      <c r="I226" s="170" t="s">
        <v>98</v>
      </c>
      <c r="J226" s="152"/>
      <c r="K226" s="153">
        <v>2500</v>
      </c>
      <c r="L226" s="154" t="s">
        <v>58</v>
      </c>
      <c r="M226" s="155" t="s">
        <v>58</v>
      </c>
      <c r="N226" s="155" t="s">
        <v>58</v>
      </c>
      <c r="O226" s="156" t="s">
        <v>58</v>
      </c>
      <c r="P226" s="183">
        <v>20</v>
      </c>
      <c r="Q226" s="158">
        <v>4.4479999999999995</v>
      </c>
      <c r="R226" s="171"/>
      <c r="S226" s="171"/>
      <c r="T226" s="172"/>
      <c r="U226" s="171"/>
      <c r="V226" s="173"/>
      <c r="W226" s="173"/>
      <c r="X226" s="162"/>
      <c r="Y226" s="174"/>
      <c r="Z226" s="174"/>
      <c r="AA226" s="174"/>
      <c r="AB226" s="174"/>
      <c r="AC226" s="174"/>
      <c r="AD226" s="174"/>
      <c r="AE226" s="174"/>
      <c r="AF226" s="174"/>
      <c r="AG226" s="162"/>
      <c r="AH226" s="175"/>
      <c r="AI226" s="166" t="s">
        <v>63</v>
      </c>
      <c r="AJ226" s="168" t="s">
        <v>358</v>
      </c>
      <c r="AK226" s="168"/>
      <c r="AL226" s="168"/>
    </row>
    <row r="227" spans="1:38" ht="31.95" customHeight="1" x14ac:dyDescent="0.3">
      <c r="A227" s="176">
        <v>44075</v>
      </c>
      <c r="B227" s="177">
        <v>0.6149189814814815</v>
      </c>
      <c r="C227" s="149"/>
      <c r="D227" s="149">
        <v>120</v>
      </c>
      <c r="E227" s="149"/>
      <c r="F227" s="149"/>
      <c r="G227" s="150">
        <v>24</v>
      </c>
      <c r="H227" s="151" t="s">
        <v>62</v>
      </c>
      <c r="I227" s="178" t="s">
        <v>58</v>
      </c>
      <c r="J227" s="152"/>
      <c r="K227" s="153">
        <v>2500</v>
      </c>
      <c r="L227" s="154" t="s">
        <v>58</v>
      </c>
      <c r="M227" s="155" t="s">
        <v>58</v>
      </c>
      <c r="N227" s="155" t="s">
        <v>58</v>
      </c>
      <c r="O227" s="156" t="s">
        <v>58</v>
      </c>
      <c r="P227" s="157">
        <v>20</v>
      </c>
      <c r="Q227" s="158">
        <v>4.4479999999999995</v>
      </c>
      <c r="R227" s="159"/>
      <c r="S227" s="159"/>
      <c r="T227" s="160"/>
      <c r="U227" s="171"/>
      <c r="V227" s="161">
        <v>3.1</v>
      </c>
      <c r="W227" s="161">
        <v>2.7</v>
      </c>
      <c r="X227" s="164"/>
      <c r="Y227" s="163"/>
      <c r="Z227" s="163"/>
      <c r="AA227" s="163"/>
      <c r="AB227" s="163"/>
      <c r="AC227" s="163"/>
      <c r="AD227" s="163"/>
      <c r="AE227" s="163"/>
      <c r="AF227" s="163"/>
      <c r="AG227" s="164"/>
      <c r="AH227" s="165"/>
      <c r="AI227" s="166"/>
      <c r="AJ227" s="167"/>
      <c r="AK227" s="168"/>
      <c r="AL227" s="168"/>
    </row>
    <row r="228" spans="1:38" ht="31.95" customHeight="1" x14ac:dyDescent="0.3">
      <c r="A228" s="176">
        <v>44075</v>
      </c>
      <c r="B228" s="177">
        <v>0.61643518518518514</v>
      </c>
      <c r="C228" s="149"/>
      <c r="D228" s="149">
        <v>60</v>
      </c>
      <c r="E228" s="149"/>
      <c r="F228" s="149"/>
      <c r="G228" s="150">
        <v>24</v>
      </c>
      <c r="H228" s="151" t="s">
        <v>66</v>
      </c>
      <c r="I228" s="170" t="s">
        <v>98</v>
      </c>
      <c r="J228" s="152"/>
      <c r="K228" s="153">
        <v>2500</v>
      </c>
      <c r="L228" s="154" t="s">
        <v>58</v>
      </c>
      <c r="M228" s="155" t="s">
        <v>58</v>
      </c>
      <c r="N228" s="155" t="s">
        <v>58</v>
      </c>
      <c r="O228" s="156" t="s">
        <v>58</v>
      </c>
      <c r="P228" s="183">
        <v>40</v>
      </c>
      <c r="Q228" s="158">
        <v>3.3359999999999999</v>
      </c>
      <c r="R228" s="159"/>
      <c r="S228" s="159"/>
      <c r="T228" s="160"/>
      <c r="U228" s="171"/>
      <c r="V228" s="161"/>
      <c r="W228" s="161"/>
      <c r="X228" s="164"/>
      <c r="Y228" s="163"/>
      <c r="Z228" s="163"/>
      <c r="AA228" s="163"/>
      <c r="AB228" s="163"/>
      <c r="AC228" s="163"/>
      <c r="AD228" s="163"/>
      <c r="AE228" s="163"/>
      <c r="AF228" s="163"/>
      <c r="AG228" s="164"/>
      <c r="AH228" s="165"/>
      <c r="AI228" s="166"/>
      <c r="AJ228" s="167"/>
      <c r="AK228" s="168"/>
      <c r="AL228" s="168"/>
    </row>
    <row r="229" spans="1:38" ht="31.95" customHeight="1" x14ac:dyDescent="0.3">
      <c r="A229" s="176">
        <v>44075</v>
      </c>
      <c r="B229" s="177">
        <v>0.6171875</v>
      </c>
      <c r="C229" s="149"/>
      <c r="D229" s="149">
        <v>120</v>
      </c>
      <c r="E229" s="149"/>
      <c r="F229" s="149"/>
      <c r="G229" s="150">
        <v>24</v>
      </c>
      <c r="H229" s="151" t="s">
        <v>62</v>
      </c>
      <c r="I229" s="178" t="s">
        <v>58</v>
      </c>
      <c r="J229" s="152"/>
      <c r="K229" s="153">
        <v>2500</v>
      </c>
      <c r="L229" s="154" t="s">
        <v>58</v>
      </c>
      <c r="M229" s="155" t="s">
        <v>58</v>
      </c>
      <c r="N229" s="155" t="s">
        <v>58</v>
      </c>
      <c r="O229" s="156" t="s">
        <v>58</v>
      </c>
      <c r="P229" s="157">
        <v>40</v>
      </c>
      <c r="Q229" s="158">
        <v>3.3359999999999999</v>
      </c>
      <c r="R229" s="159"/>
      <c r="S229" s="159"/>
      <c r="T229" s="160"/>
      <c r="U229" s="171"/>
      <c r="V229" s="161">
        <v>2.1</v>
      </c>
      <c r="W229" s="161">
        <v>2.4</v>
      </c>
      <c r="X229" s="164"/>
      <c r="Y229" s="163"/>
      <c r="Z229" s="163"/>
      <c r="AA229" s="163"/>
      <c r="AB229" s="163"/>
      <c r="AC229" s="163"/>
      <c r="AD229" s="163"/>
      <c r="AE229" s="163"/>
      <c r="AF229" s="163"/>
      <c r="AG229" s="164"/>
      <c r="AH229" s="165"/>
      <c r="AI229" s="166"/>
      <c r="AJ229" s="167"/>
      <c r="AK229" s="168"/>
      <c r="AL229" s="168"/>
    </row>
    <row r="230" spans="1:38" ht="31.95" customHeight="1" x14ac:dyDescent="0.3">
      <c r="A230" s="176">
        <v>44075</v>
      </c>
      <c r="B230" s="177">
        <v>0.61861111111111111</v>
      </c>
      <c r="C230" s="149"/>
      <c r="D230" s="149">
        <v>60</v>
      </c>
      <c r="E230" s="149"/>
      <c r="F230" s="149"/>
      <c r="G230" s="150">
        <v>24</v>
      </c>
      <c r="H230" s="151" t="s">
        <v>66</v>
      </c>
      <c r="I230" s="170" t="s">
        <v>98</v>
      </c>
      <c r="J230" s="152"/>
      <c r="K230" s="153">
        <v>2500</v>
      </c>
      <c r="L230" s="154" t="s">
        <v>58</v>
      </c>
      <c r="M230" s="155" t="s">
        <v>58</v>
      </c>
      <c r="N230" s="155" t="s">
        <v>58</v>
      </c>
      <c r="O230" s="156" t="s">
        <v>58</v>
      </c>
      <c r="P230" s="183">
        <v>60</v>
      </c>
      <c r="Q230" s="158">
        <v>2.2239999999999998</v>
      </c>
      <c r="R230" s="159"/>
      <c r="S230" s="159"/>
      <c r="T230" s="160"/>
      <c r="U230" s="171"/>
      <c r="V230" s="161"/>
      <c r="W230" s="161"/>
      <c r="X230" s="164"/>
      <c r="Y230" s="163"/>
      <c r="Z230" s="163"/>
      <c r="AA230" s="163"/>
      <c r="AB230" s="163"/>
      <c r="AC230" s="163"/>
      <c r="AD230" s="163"/>
      <c r="AE230" s="163"/>
      <c r="AF230" s="163"/>
      <c r="AG230" s="164"/>
      <c r="AH230" s="165"/>
      <c r="AI230" s="166"/>
      <c r="AJ230" s="167"/>
      <c r="AK230" s="168"/>
      <c r="AL230" s="168"/>
    </row>
    <row r="231" spans="1:38" ht="31.95" customHeight="1" x14ac:dyDescent="0.3">
      <c r="A231" s="176">
        <v>44075</v>
      </c>
      <c r="B231" s="177">
        <v>0.61958333333333326</v>
      </c>
      <c r="C231" s="149"/>
      <c r="D231" s="149">
        <v>120</v>
      </c>
      <c r="E231" s="149"/>
      <c r="F231" s="149"/>
      <c r="G231" s="150">
        <v>24</v>
      </c>
      <c r="H231" s="151" t="s">
        <v>62</v>
      </c>
      <c r="I231" s="178" t="s">
        <v>58</v>
      </c>
      <c r="J231" s="152"/>
      <c r="K231" s="153">
        <v>2500</v>
      </c>
      <c r="L231" s="154" t="s">
        <v>58</v>
      </c>
      <c r="M231" s="155" t="s">
        <v>58</v>
      </c>
      <c r="N231" s="155" t="s">
        <v>58</v>
      </c>
      <c r="O231" s="156" t="s">
        <v>58</v>
      </c>
      <c r="P231" s="157">
        <v>60</v>
      </c>
      <c r="Q231" s="158">
        <v>2.2239999999999998</v>
      </c>
      <c r="R231" s="159"/>
      <c r="S231" s="159"/>
      <c r="T231" s="160"/>
      <c r="U231" s="171"/>
      <c r="V231" s="161">
        <v>1.2</v>
      </c>
      <c r="W231" s="161">
        <v>2</v>
      </c>
      <c r="X231" s="164"/>
      <c r="Y231" s="163"/>
      <c r="Z231" s="163"/>
      <c r="AA231" s="163"/>
      <c r="AB231" s="163"/>
      <c r="AC231" s="163"/>
      <c r="AD231" s="163"/>
      <c r="AE231" s="163"/>
      <c r="AF231" s="163"/>
      <c r="AG231" s="164"/>
      <c r="AH231" s="165"/>
      <c r="AI231" s="166"/>
      <c r="AJ231" s="167"/>
      <c r="AK231" s="168"/>
      <c r="AL231" s="168"/>
    </row>
    <row r="232" spans="1:38" ht="31.95" customHeight="1" x14ac:dyDescent="0.3">
      <c r="A232" s="176">
        <v>44075</v>
      </c>
      <c r="B232" s="177">
        <v>0.62101851851851853</v>
      </c>
      <c r="C232" s="149"/>
      <c r="D232" s="149">
        <v>60</v>
      </c>
      <c r="E232" s="149"/>
      <c r="F232" s="149"/>
      <c r="G232" s="150">
        <v>24</v>
      </c>
      <c r="H232" s="151" t="s">
        <v>66</v>
      </c>
      <c r="I232" s="170" t="s">
        <v>98</v>
      </c>
      <c r="J232" s="152"/>
      <c r="K232" s="153">
        <v>2500</v>
      </c>
      <c r="L232" s="154" t="s">
        <v>58</v>
      </c>
      <c r="M232" s="155" t="s">
        <v>58</v>
      </c>
      <c r="N232" s="155" t="s">
        <v>58</v>
      </c>
      <c r="O232" s="156" t="s">
        <v>58</v>
      </c>
      <c r="P232" s="183">
        <v>80</v>
      </c>
      <c r="Q232" s="158">
        <v>1.1119999999999997</v>
      </c>
      <c r="R232" s="159"/>
      <c r="S232" s="159"/>
      <c r="T232" s="160"/>
      <c r="U232" s="171"/>
      <c r="V232" s="161"/>
      <c r="W232" s="161"/>
      <c r="X232" s="164"/>
      <c r="Y232" s="163"/>
      <c r="Z232" s="163"/>
      <c r="AA232" s="163"/>
      <c r="AB232" s="163"/>
      <c r="AC232" s="163"/>
      <c r="AD232" s="163"/>
      <c r="AE232" s="163"/>
      <c r="AF232" s="163"/>
      <c r="AG232" s="164"/>
      <c r="AH232" s="165"/>
      <c r="AI232" s="166"/>
      <c r="AJ232" s="167"/>
      <c r="AK232" s="168"/>
      <c r="AL232" s="168"/>
    </row>
    <row r="233" spans="1:38" ht="31.95" customHeight="1" x14ac:dyDescent="0.3">
      <c r="A233" s="176">
        <v>44075</v>
      </c>
      <c r="B233" s="177">
        <v>0.62174768518518519</v>
      </c>
      <c r="C233" s="149"/>
      <c r="D233" s="149">
        <v>120</v>
      </c>
      <c r="E233" s="149"/>
      <c r="F233" s="149"/>
      <c r="G233" s="150">
        <v>24</v>
      </c>
      <c r="H233" s="151" t="s">
        <v>62</v>
      </c>
      <c r="I233" s="178" t="s">
        <v>58</v>
      </c>
      <c r="J233" s="152"/>
      <c r="K233" s="153">
        <v>2500</v>
      </c>
      <c r="L233" s="154" t="s">
        <v>58</v>
      </c>
      <c r="M233" s="155" t="s">
        <v>58</v>
      </c>
      <c r="N233" s="155" t="s">
        <v>58</v>
      </c>
      <c r="O233" s="156" t="s">
        <v>58</v>
      </c>
      <c r="P233" s="157">
        <v>80</v>
      </c>
      <c r="Q233" s="158">
        <v>1.1119999999999997</v>
      </c>
      <c r="R233" s="159"/>
      <c r="S233" s="159"/>
      <c r="T233" s="160"/>
      <c r="U233" s="171"/>
      <c r="V233" s="161">
        <v>0.4</v>
      </c>
      <c r="W233" s="161">
        <v>1.7</v>
      </c>
      <c r="X233" s="164"/>
      <c r="Y233" s="163"/>
      <c r="Z233" s="163"/>
      <c r="AA233" s="163"/>
      <c r="AB233" s="163"/>
      <c r="AC233" s="163"/>
      <c r="AD233" s="163"/>
      <c r="AE233" s="163"/>
      <c r="AF233" s="163"/>
      <c r="AG233" s="164"/>
      <c r="AH233" s="165"/>
      <c r="AI233" s="166"/>
      <c r="AJ233" s="167"/>
      <c r="AK233" s="168"/>
      <c r="AL233" s="168"/>
    </row>
    <row r="234" spans="1:38" ht="31.95" customHeight="1" x14ac:dyDescent="0.3">
      <c r="A234" s="147">
        <v>44075</v>
      </c>
      <c r="B234" s="148">
        <v>0.62318287037037035</v>
      </c>
      <c r="C234" s="149"/>
      <c r="D234" s="149"/>
      <c r="E234" s="149"/>
      <c r="F234" s="149"/>
      <c r="G234" s="150" t="s">
        <v>58</v>
      </c>
      <c r="H234" s="151" t="s">
        <v>66</v>
      </c>
      <c r="I234" s="170" t="s">
        <v>67</v>
      </c>
      <c r="J234" s="152"/>
      <c r="K234" s="153">
        <v>2800</v>
      </c>
      <c r="L234" s="154" t="s">
        <v>58</v>
      </c>
      <c r="M234" s="155" t="s">
        <v>58</v>
      </c>
      <c r="N234" s="155" t="s">
        <v>58</v>
      </c>
      <c r="O234" s="156" t="s">
        <v>58</v>
      </c>
      <c r="P234" s="157" t="s">
        <v>58</v>
      </c>
      <c r="Q234" s="158" t="s">
        <v>58</v>
      </c>
      <c r="R234" s="171"/>
      <c r="S234" s="171"/>
      <c r="T234" s="172"/>
      <c r="U234" s="171"/>
      <c r="V234" s="173"/>
      <c r="W234" s="173"/>
      <c r="X234" s="162"/>
      <c r="Y234" s="174"/>
      <c r="Z234" s="174"/>
      <c r="AA234" s="174"/>
      <c r="AB234" s="174"/>
      <c r="AC234" s="174"/>
      <c r="AD234" s="174"/>
      <c r="AE234" s="174"/>
      <c r="AF234" s="174"/>
      <c r="AG234" s="162"/>
      <c r="AH234" s="175"/>
      <c r="AI234" s="166"/>
      <c r="AJ234" s="168"/>
      <c r="AK234" s="168"/>
      <c r="AL234" s="168"/>
    </row>
    <row r="235" spans="1:38" ht="31.95" customHeight="1" x14ac:dyDescent="0.3">
      <c r="A235" s="147"/>
      <c r="B235" s="148"/>
      <c r="C235" s="149"/>
      <c r="D235" s="149">
        <v>60</v>
      </c>
      <c r="E235" s="149"/>
      <c r="F235" s="149"/>
      <c r="G235" s="150" t="s">
        <v>58</v>
      </c>
      <c r="H235" s="151" t="s">
        <v>66</v>
      </c>
      <c r="I235" s="170" t="s">
        <v>98</v>
      </c>
      <c r="J235" s="152"/>
      <c r="K235" s="153">
        <v>2800</v>
      </c>
      <c r="L235" s="154" t="s">
        <v>58</v>
      </c>
      <c r="M235" s="155" t="s">
        <v>58</v>
      </c>
      <c r="N235" s="155" t="s">
        <v>58</v>
      </c>
      <c r="O235" s="156" t="s">
        <v>58</v>
      </c>
      <c r="P235" s="183">
        <v>20</v>
      </c>
      <c r="Q235" s="158">
        <v>5.032</v>
      </c>
      <c r="R235" s="171"/>
      <c r="S235" s="171"/>
      <c r="T235" s="172"/>
      <c r="U235" s="171"/>
      <c r="V235" s="173"/>
      <c r="W235" s="173"/>
      <c r="X235" s="162"/>
      <c r="Y235" s="174"/>
      <c r="Z235" s="174"/>
      <c r="AA235" s="174"/>
      <c r="AB235" s="174"/>
      <c r="AC235" s="174"/>
      <c r="AD235" s="174"/>
      <c r="AE235" s="174"/>
      <c r="AF235" s="174"/>
      <c r="AG235" s="162"/>
      <c r="AH235" s="175"/>
      <c r="AI235" s="166"/>
      <c r="AJ235" s="168"/>
      <c r="AK235" s="168"/>
      <c r="AL235" s="168"/>
    </row>
    <row r="236" spans="1:38" ht="31.95" customHeight="1" x14ac:dyDescent="0.3">
      <c r="A236" s="176">
        <v>44075</v>
      </c>
      <c r="B236" s="177">
        <v>0.62445601851851851</v>
      </c>
      <c r="C236" s="149"/>
      <c r="D236" s="149">
        <v>120</v>
      </c>
      <c r="E236" s="149"/>
      <c r="F236" s="149"/>
      <c r="G236" s="150">
        <v>25</v>
      </c>
      <c r="H236" s="151" t="s">
        <v>62</v>
      </c>
      <c r="I236" s="178" t="s">
        <v>58</v>
      </c>
      <c r="J236" s="152"/>
      <c r="K236" s="153">
        <v>2800</v>
      </c>
      <c r="L236" s="154" t="s">
        <v>58</v>
      </c>
      <c r="M236" s="155" t="s">
        <v>58</v>
      </c>
      <c r="N236" s="155" t="s">
        <v>58</v>
      </c>
      <c r="O236" s="156" t="s">
        <v>58</v>
      </c>
      <c r="P236" s="157">
        <v>20</v>
      </c>
      <c r="Q236" s="158">
        <v>5.032</v>
      </c>
      <c r="R236" s="159"/>
      <c r="S236" s="159"/>
      <c r="T236" s="160"/>
      <c r="U236" s="171"/>
      <c r="V236" s="161">
        <v>3.4</v>
      </c>
      <c r="W236" s="161">
        <v>3.7</v>
      </c>
      <c r="X236" s="164"/>
      <c r="Y236" s="163"/>
      <c r="Z236" s="163"/>
      <c r="AA236" s="163"/>
      <c r="AB236" s="163"/>
      <c r="AC236" s="163"/>
      <c r="AD236" s="163"/>
      <c r="AE236" s="163"/>
      <c r="AF236" s="163"/>
      <c r="AG236" s="164"/>
      <c r="AH236" s="165"/>
      <c r="AI236" s="166"/>
      <c r="AJ236" s="167"/>
      <c r="AK236" s="168"/>
      <c r="AL236" s="168"/>
    </row>
    <row r="237" spans="1:38" ht="31.95" customHeight="1" x14ac:dyDescent="0.3">
      <c r="A237" s="176">
        <v>44075</v>
      </c>
      <c r="B237" s="177">
        <v>0.6259837962962963</v>
      </c>
      <c r="C237" s="149"/>
      <c r="D237" s="149">
        <v>60</v>
      </c>
      <c r="E237" s="149"/>
      <c r="F237" s="149"/>
      <c r="G237" s="150">
        <v>25</v>
      </c>
      <c r="H237" s="151" t="s">
        <v>66</v>
      </c>
      <c r="I237" s="170" t="s">
        <v>98</v>
      </c>
      <c r="J237" s="152"/>
      <c r="K237" s="153">
        <v>2800</v>
      </c>
      <c r="L237" s="154" t="s">
        <v>58</v>
      </c>
      <c r="M237" s="155" t="s">
        <v>58</v>
      </c>
      <c r="N237" s="155" t="s">
        <v>58</v>
      </c>
      <c r="O237" s="156" t="s">
        <v>58</v>
      </c>
      <c r="P237" s="183">
        <v>40</v>
      </c>
      <c r="Q237" s="158">
        <v>3.774</v>
      </c>
      <c r="R237" s="159"/>
      <c r="S237" s="159"/>
      <c r="T237" s="160"/>
      <c r="U237" s="171"/>
      <c r="V237" s="161"/>
      <c r="W237" s="161"/>
      <c r="X237" s="164"/>
      <c r="Y237" s="163"/>
      <c r="Z237" s="163"/>
      <c r="AA237" s="163"/>
      <c r="AB237" s="163"/>
      <c r="AC237" s="163"/>
      <c r="AD237" s="163"/>
      <c r="AE237" s="163"/>
      <c r="AF237" s="163"/>
      <c r="AG237" s="164"/>
      <c r="AH237" s="165"/>
      <c r="AI237" s="166"/>
      <c r="AJ237" s="167"/>
      <c r="AK237" s="168"/>
      <c r="AL237" s="168"/>
    </row>
    <row r="238" spans="1:38" ht="31.95" customHeight="1" x14ac:dyDescent="0.3">
      <c r="A238" s="176">
        <v>44075</v>
      </c>
      <c r="B238" s="177">
        <v>0.62679398148148147</v>
      </c>
      <c r="C238" s="149"/>
      <c r="D238" s="149">
        <v>120</v>
      </c>
      <c r="E238" s="149"/>
      <c r="F238" s="149"/>
      <c r="G238" s="150">
        <v>25</v>
      </c>
      <c r="H238" s="151" t="s">
        <v>62</v>
      </c>
      <c r="I238" s="178" t="s">
        <v>58</v>
      </c>
      <c r="J238" s="152"/>
      <c r="K238" s="153">
        <v>2800</v>
      </c>
      <c r="L238" s="154" t="s">
        <v>58</v>
      </c>
      <c r="M238" s="155" t="s">
        <v>58</v>
      </c>
      <c r="N238" s="155" t="s">
        <v>58</v>
      </c>
      <c r="O238" s="156" t="s">
        <v>58</v>
      </c>
      <c r="P238" s="157">
        <v>40</v>
      </c>
      <c r="Q238" s="158">
        <v>3.774</v>
      </c>
      <c r="R238" s="159"/>
      <c r="S238" s="159"/>
      <c r="T238" s="160"/>
      <c r="U238" s="171"/>
      <c r="V238" s="161">
        <v>2.5</v>
      </c>
      <c r="W238" s="161">
        <v>3.2</v>
      </c>
      <c r="X238" s="164"/>
      <c r="Y238" s="163"/>
      <c r="Z238" s="163"/>
      <c r="AA238" s="163"/>
      <c r="AB238" s="163"/>
      <c r="AC238" s="163"/>
      <c r="AD238" s="163"/>
      <c r="AE238" s="163"/>
      <c r="AF238" s="163"/>
      <c r="AG238" s="164"/>
      <c r="AH238" s="165"/>
      <c r="AI238" s="166"/>
      <c r="AJ238" s="167"/>
      <c r="AK238" s="168"/>
      <c r="AL238" s="168"/>
    </row>
    <row r="239" spans="1:38" ht="31.95" customHeight="1" x14ac:dyDescent="0.3">
      <c r="A239" s="176">
        <v>44075</v>
      </c>
      <c r="B239" s="177">
        <v>0.62839120370370372</v>
      </c>
      <c r="C239" s="149"/>
      <c r="D239" s="149">
        <v>60</v>
      </c>
      <c r="E239" s="149"/>
      <c r="F239" s="149"/>
      <c r="G239" s="150">
        <v>25</v>
      </c>
      <c r="H239" s="151" t="s">
        <v>66</v>
      </c>
      <c r="I239" s="170" t="s">
        <v>98</v>
      </c>
      <c r="J239" s="152"/>
      <c r="K239" s="153">
        <v>2800</v>
      </c>
      <c r="L239" s="154" t="s">
        <v>58</v>
      </c>
      <c r="M239" s="155" t="s">
        <v>58</v>
      </c>
      <c r="N239" s="155" t="s">
        <v>58</v>
      </c>
      <c r="O239" s="156" t="s">
        <v>58</v>
      </c>
      <c r="P239" s="183">
        <v>60</v>
      </c>
      <c r="Q239" s="158">
        <v>2.516</v>
      </c>
      <c r="R239" s="159"/>
      <c r="S239" s="159"/>
      <c r="T239" s="160"/>
      <c r="U239" s="171"/>
      <c r="V239" s="161"/>
      <c r="W239" s="161"/>
      <c r="X239" s="164"/>
      <c r="Y239" s="163"/>
      <c r="Z239" s="163"/>
      <c r="AA239" s="163"/>
      <c r="AB239" s="163"/>
      <c r="AC239" s="163"/>
      <c r="AD239" s="163"/>
      <c r="AE239" s="163"/>
      <c r="AF239" s="163"/>
      <c r="AG239" s="164"/>
      <c r="AH239" s="165"/>
      <c r="AI239" s="166"/>
      <c r="AJ239" s="167"/>
      <c r="AK239" s="168"/>
      <c r="AL239" s="168"/>
    </row>
    <row r="240" spans="1:38" ht="31.95" customHeight="1" x14ac:dyDescent="0.3">
      <c r="A240" s="176">
        <v>44075</v>
      </c>
      <c r="B240" s="177">
        <v>0.62912037037037039</v>
      </c>
      <c r="C240" s="149"/>
      <c r="D240" s="149">
        <v>120</v>
      </c>
      <c r="E240" s="149"/>
      <c r="F240" s="149"/>
      <c r="G240" s="150">
        <v>25</v>
      </c>
      <c r="H240" s="151" t="s">
        <v>62</v>
      </c>
      <c r="I240" s="178" t="s">
        <v>58</v>
      </c>
      <c r="J240" s="152"/>
      <c r="K240" s="153">
        <v>2800</v>
      </c>
      <c r="L240" s="154" t="s">
        <v>58</v>
      </c>
      <c r="M240" s="155" t="s">
        <v>58</v>
      </c>
      <c r="N240" s="155" t="s">
        <v>58</v>
      </c>
      <c r="O240" s="156" t="s">
        <v>58</v>
      </c>
      <c r="P240" s="157">
        <v>60</v>
      </c>
      <c r="Q240" s="158">
        <v>2.516</v>
      </c>
      <c r="R240" s="159"/>
      <c r="S240" s="159"/>
      <c r="T240" s="160"/>
      <c r="U240" s="171"/>
      <c r="V240" s="161">
        <v>1.6</v>
      </c>
      <c r="W240" s="161">
        <v>2.7</v>
      </c>
      <c r="X240" s="164"/>
      <c r="Y240" s="163"/>
      <c r="Z240" s="163"/>
      <c r="AA240" s="163"/>
      <c r="AB240" s="163"/>
      <c r="AC240" s="163"/>
      <c r="AD240" s="163"/>
      <c r="AE240" s="163"/>
      <c r="AF240" s="163"/>
      <c r="AG240" s="164"/>
      <c r="AH240" s="165"/>
      <c r="AI240" s="166"/>
      <c r="AJ240" s="167"/>
      <c r="AK240" s="168"/>
      <c r="AL240" s="168"/>
    </row>
    <row r="241" spans="1:38" ht="31.95" customHeight="1" x14ac:dyDescent="0.3">
      <c r="A241" s="176">
        <v>44075</v>
      </c>
      <c r="B241" s="177">
        <v>0.6307638888888889</v>
      </c>
      <c r="C241" s="149"/>
      <c r="D241" s="149">
        <v>60</v>
      </c>
      <c r="E241" s="149"/>
      <c r="F241" s="149"/>
      <c r="G241" s="150">
        <v>25</v>
      </c>
      <c r="H241" s="151" t="s">
        <v>66</v>
      </c>
      <c r="I241" s="170" t="s">
        <v>98</v>
      </c>
      <c r="J241" s="152"/>
      <c r="K241" s="153">
        <v>2800</v>
      </c>
      <c r="L241" s="154" t="s">
        <v>58</v>
      </c>
      <c r="M241" s="155" t="s">
        <v>58</v>
      </c>
      <c r="N241" s="155" t="s">
        <v>58</v>
      </c>
      <c r="O241" s="156" t="s">
        <v>58</v>
      </c>
      <c r="P241" s="183">
        <v>80</v>
      </c>
      <c r="Q241" s="158">
        <v>1.2579999999999998</v>
      </c>
      <c r="R241" s="159"/>
      <c r="S241" s="159"/>
      <c r="T241" s="160"/>
      <c r="U241" s="171"/>
      <c r="V241" s="161"/>
      <c r="W241" s="161"/>
      <c r="X241" s="164"/>
      <c r="Y241" s="163"/>
      <c r="Z241" s="163"/>
      <c r="AA241" s="163"/>
      <c r="AB241" s="163"/>
      <c r="AC241" s="163"/>
      <c r="AD241" s="163"/>
      <c r="AE241" s="163"/>
      <c r="AF241" s="163"/>
      <c r="AG241" s="164"/>
      <c r="AH241" s="165"/>
      <c r="AI241" s="166"/>
      <c r="AJ241" s="167"/>
      <c r="AK241" s="168"/>
      <c r="AL241" s="168"/>
    </row>
    <row r="242" spans="1:38" ht="31.95" customHeight="1" x14ac:dyDescent="0.3">
      <c r="A242" s="176">
        <v>44075</v>
      </c>
      <c r="B242" s="177">
        <v>0.63159722222222225</v>
      </c>
      <c r="C242" s="149"/>
      <c r="D242" s="149">
        <v>120</v>
      </c>
      <c r="E242" s="149"/>
      <c r="F242" s="149"/>
      <c r="G242" s="150">
        <v>25</v>
      </c>
      <c r="H242" s="151" t="s">
        <v>62</v>
      </c>
      <c r="I242" s="178" t="s">
        <v>58</v>
      </c>
      <c r="J242" s="152"/>
      <c r="K242" s="153">
        <v>2800</v>
      </c>
      <c r="L242" s="154" t="s">
        <v>58</v>
      </c>
      <c r="M242" s="155" t="s">
        <v>58</v>
      </c>
      <c r="N242" s="155" t="s">
        <v>58</v>
      </c>
      <c r="O242" s="156" t="s">
        <v>58</v>
      </c>
      <c r="P242" s="157">
        <v>80</v>
      </c>
      <c r="Q242" s="158">
        <v>1.2579999999999998</v>
      </c>
      <c r="R242" s="159"/>
      <c r="S242" s="159"/>
      <c r="T242" s="160"/>
      <c r="U242" s="171"/>
      <c r="V242" s="161">
        <v>0.5</v>
      </c>
      <c r="W242" s="161">
        <v>2.2000000000000002</v>
      </c>
      <c r="X242" s="164"/>
      <c r="Y242" s="163"/>
      <c r="Z242" s="163"/>
      <c r="AA242" s="163"/>
      <c r="AB242" s="163"/>
      <c r="AC242" s="163"/>
      <c r="AD242" s="163"/>
      <c r="AE242" s="163"/>
      <c r="AF242" s="163"/>
      <c r="AG242" s="164"/>
      <c r="AH242" s="165"/>
      <c r="AI242" s="166"/>
      <c r="AJ242" s="167"/>
      <c r="AK242" s="168"/>
      <c r="AL242" s="168"/>
    </row>
    <row r="243" spans="1:38" ht="31.95" customHeight="1" x14ac:dyDescent="0.3">
      <c r="A243" s="147">
        <v>44075</v>
      </c>
      <c r="B243" s="148">
        <v>0.63313657407407409</v>
      </c>
      <c r="C243" s="149"/>
      <c r="D243" s="149"/>
      <c r="E243" s="149"/>
      <c r="F243" s="149"/>
      <c r="G243" s="150" t="s">
        <v>58</v>
      </c>
      <c r="H243" s="151" t="s">
        <v>66</v>
      </c>
      <c r="I243" s="170" t="s">
        <v>67</v>
      </c>
      <c r="J243" s="152"/>
      <c r="K243" s="153">
        <v>3100</v>
      </c>
      <c r="L243" s="154" t="s">
        <v>58</v>
      </c>
      <c r="M243" s="155" t="s">
        <v>58</v>
      </c>
      <c r="N243" s="155" t="s">
        <v>58</v>
      </c>
      <c r="O243" s="156" t="s">
        <v>58</v>
      </c>
      <c r="P243" s="157" t="s">
        <v>58</v>
      </c>
      <c r="Q243" s="158" t="s">
        <v>58</v>
      </c>
      <c r="R243" s="171"/>
      <c r="S243" s="171"/>
      <c r="T243" s="172"/>
      <c r="U243" s="171"/>
      <c r="V243" s="173"/>
      <c r="W243" s="173"/>
      <c r="X243" s="162"/>
      <c r="Y243" s="174"/>
      <c r="Z243" s="174"/>
      <c r="AA243" s="174"/>
      <c r="AB243" s="174"/>
      <c r="AC243" s="174"/>
      <c r="AD243" s="174"/>
      <c r="AE243" s="174"/>
      <c r="AF243" s="174"/>
      <c r="AG243" s="162"/>
      <c r="AH243" s="175"/>
      <c r="AI243" s="166"/>
      <c r="AJ243" s="168"/>
      <c r="AK243" s="168"/>
      <c r="AL243" s="168"/>
    </row>
    <row r="244" spans="1:38" ht="31.95" customHeight="1" x14ac:dyDescent="0.3">
      <c r="A244" s="147">
        <v>44075</v>
      </c>
      <c r="B244" s="148">
        <v>0.63326388888888896</v>
      </c>
      <c r="C244" s="149"/>
      <c r="D244" s="149">
        <v>60</v>
      </c>
      <c r="E244" s="149"/>
      <c r="F244" s="149"/>
      <c r="G244" s="150" t="s">
        <v>58</v>
      </c>
      <c r="H244" s="151" t="s">
        <v>66</v>
      </c>
      <c r="I244" s="170" t="s">
        <v>98</v>
      </c>
      <c r="J244" s="152"/>
      <c r="K244" s="153">
        <v>3100</v>
      </c>
      <c r="L244" s="154" t="s">
        <v>58</v>
      </c>
      <c r="M244" s="155" t="s">
        <v>58</v>
      </c>
      <c r="N244" s="155" t="s">
        <v>58</v>
      </c>
      <c r="O244" s="156" t="s">
        <v>58</v>
      </c>
      <c r="P244" s="183">
        <v>20</v>
      </c>
      <c r="Q244" s="158">
        <v>5.6080000000000005</v>
      </c>
      <c r="R244" s="171"/>
      <c r="S244" s="171"/>
      <c r="T244" s="172"/>
      <c r="U244" s="171"/>
      <c r="V244" s="173"/>
      <c r="W244" s="173"/>
      <c r="X244" s="162"/>
      <c r="Y244" s="174"/>
      <c r="Z244" s="174"/>
      <c r="AA244" s="174"/>
      <c r="AB244" s="174"/>
      <c r="AC244" s="174"/>
      <c r="AD244" s="174"/>
      <c r="AE244" s="174"/>
      <c r="AF244" s="174"/>
      <c r="AG244" s="162"/>
      <c r="AH244" s="175"/>
      <c r="AI244" s="166"/>
      <c r="AJ244" s="168"/>
      <c r="AK244" s="168"/>
      <c r="AL244" s="168"/>
    </row>
    <row r="245" spans="1:38" ht="31.95" customHeight="1" x14ac:dyDescent="0.3">
      <c r="A245" s="176">
        <v>44075</v>
      </c>
      <c r="B245" s="177">
        <v>0.63395833333333329</v>
      </c>
      <c r="C245" s="149"/>
      <c r="D245" s="149">
        <v>120</v>
      </c>
      <c r="E245" s="149"/>
      <c r="F245" s="149"/>
      <c r="G245" s="150">
        <v>26</v>
      </c>
      <c r="H245" s="151" t="s">
        <v>62</v>
      </c>
      <c r="I245" s="178" t="s">
        <v>58</v>
      </c>
      <c r="J245" s="152"/>
      <c r="K245" s="153">
        <v>3100</v>
      </c>
      <c r="L245" s="154" t="s">
        <v>58</v>
      </c>
      <c r="M245" s="155" t="s">
        <v>58</v>
      </c>
      <c r="N245" s="155" t="s">
        <v>58</v>
      </c>
      <c r="O245" s="156" t="s">
        <v>58</v>
      </c>
      <c r="P245" s="157">
        <v>20</v>
      </c>
      <c r="Q245" s="158">
        <v>5.6080000000000005</v>
      </c>
      <c r="R245" s="159"/>
      <c r="S245" s="159"/>
      <c r="T245" s="160"/>
      <c r="U245" s="171"/>
      <c r="V245" s="173">
        <v>4.0999999999999996</v>
      </c>
      <c r="W245" s="173">
        <v>4.9000000000000004</v>
      </c>
      <c r="X245" s="164"/>
      <c r="Y245" s="163"/>
      <c r="Z245" s="163"/>
      <c r="AA245" s="163"/>
      <c r="AB245" s="163"/>
      <c r="AC245" s="163"/>
      <c r="AD245" s="163"/>
      <c r="AE245" s="163"/>
      <c r="AF245" s="163"/>
      <c r="AG245" s="164"/>
      <c r="AH245" s="165"/>
      <c r="AI245" s="166"/>
      <c r="AJ245" s="167"/>
      <c r="AK245" s="168"/>
      <c r="AL245" s="168"/>
    </row>
    <row r="246" spans="1:38" ht="31.95" customHeight="1" x14ac:dyDescent="0.3">
      <c r="A246" s="176">
        <v>44075</v>
      </c>
      <c r="B246" s="177">
        <v>0.63557870370370373</v>
      </c>
      <c r="C246" s="149"/>
      <c r="D246" s="149">
        <v>60</v>
      </c>
      <c r="E246" s="149"/>
      <c r="F246" s="149"/>
      <c r="G246" s="150">
        <v>26</v>
      </c>
      <c r="H246" s="151" t="s">
        <v>66</v>
      </c>
      <c r="I246" s="170" t="s">
        <v>98</v>
      </c>
      <c r="J246" s="152"/>
      <c r="K246" s="153">
        <v>3100</v>
      </c>
      <c r="L246" s="154" t="s">
        <v>58</v>
      </c>
      <c r="M246" s="155" t="s">
        <v>58</v>
      </c>
      <c r="N246" s="155" t="s">
        <v>58</v>
      </c>
      <c r="O246" s="156" t="s">
        <v>58</v>
      </c>
      <c r="P246" s="183">
        <v>40</v>
      </c>
      <c r="Q246" s="158">
        <v>4.2059999999999995</v>
      </c>
      <c r="R246" s="159"/>
      <c r="S246" s="159"/>
      <c r="T246" s="160"/>
      <c r="U246" s="171"/>
      <c r="V246" s="161"/>
      <c r="W246" s="161"/>
      <c r="X246" s="164"/>
      <c r="Y246" s="163"/>
      <c r="Z246" s="163"/>
      <c r="AA246" s="163"/>
      <c r="AB246" s="163"/>
      <c r="AC246" s="163"/>
      <c r="AD246" s="163"/>
      <c r="AE246" s="163"/>
      <c r="AF246" s="163"/>
      <c r="AG246" s="164"/>
      <c r="AH246" s="165"/>
      <c r="AI246" s="166"/>
      <c r="AJ246" s="167"/>
      <c r="AK246" s="168"/>
      <c r="AL246" s="168"/>
    </row>
    <row r="247" spans="1:38" ht="31.95" customHeight="1" x14ac:dyDescent="0.3">
      <c r="A247" s="176">
        <v>44075</v>
      </c>
      <c r="B247" s="177">
        <v>0.63641203703703708</v>
      </c>
      <c r="C247" s="149"/>
      <c r="D247" s="149">
        <v>120</v>
      </c>
      <c r="E247" s="149"/>
      <c r="F247" s="149"/>
      <c r="G247" s="150">
        <v>26</v>
      </c>
      <c r="H247" s="151" t="s">
        <v>62</v>
      </c>
      <c r="I247" s="178" t="s">
        <v>58</v>
      </c>
      <c r="J247" s="152"/>
      <c r="K247" s="153">
        <v>3100</v>
      </c>
      <c r="L247" s="154" t="s">
        <v>58</v>
      </c>
      <c r="M247" s="155" t="s">
        <v>58</v>
      </c>
      <c r="N247" s="155" t="s">
        <v>58</v>
      </c>
      <c r="O247" s="156" t="s">
        <v>58</v>
      </c>
      <c r="P247" s="157">
        <v>40</v>
      </c>
      <c r="Q247" s="158">
        <v>4.2059999999999995</v>
      </c>
      <c r="R247" s="159"/>
      <c r="S247" s="159"/>
      <c r="T247" s="160"/>
      <c r="U247" s="171"/>
      <c r="V247" s="161">
        <v>2.9</v>
      </c>
      <c r="W247" s="161">
        <v>4.3</v>
      </c>
      <c r="X247" s="164"/>
      <c r="Y247" s="163"/>
      <c r="Z247" s="163"/>
      <c r="AA247" s="163"/>
      <c r="AB247" s="163"/>
      <c r="AC247" s="163"/>
      <c r="AD247" s="163"/>
      <c r="AE247" s="163"/>
      <c r="AF247" s="163"/>
      <c r="AG247" s="164"/>
      <c r="AH247" s="165"/>
      <c r="AI247" s="166"/>
      <c r="AJ247" s="167"/>
      <c r="AK247" s="168"/>
      <c r="AL247" s="168"/>
    </row>
    <row r="248" spans="1:38" ht="31.95" customHeight="1" x14ac:dyDescent="0.3">
      <c r="A248" s="176">
        <v>44075</v>
      </c>
      <c r="B248" s="177">
        <v>0.6378125</v>
      </c>
      <c r="C248" s="149"/>
      <c r="D248" s="149">
        <v>60</v>
      </c>
      <c r="E248" s="149"/>
      <c r="F248" s="149"/>
      <c r="G248" s="150">
        <v>26</v>
      </c>
      <c r="H248" s="151" t="s">
        <v>66</v>
      </c>
      <c r="I248" s="170" t="s">
        <v>98</v>
      </c>
      <c r="J248" s="152"/>
      <c r="K248" s="153">
        <v>3100</v>
      </c>
      <c r="L248" s="154" t="s">
        <v>58</v>
      </c>
      <c r="M248" s="155" t="s">
        <v>58</v>
      </c>
      <c r="N248" s="155" t="s">
        <v>58</v>
      </c>
      <c r="O248" s="156" t="s">
        <v>58</v>
      </c>
      <c r="P248" s="183">
        <v>60</v>
      </c>
      <c r="Q248" s="158">
        <v>2.8040000000000003</v>
      </c>
      <c r="R248" s="159"/>
      <c r="S248" s="159"/>
      <c r="T248" s="160"/>
      <c r="U248" s="171"/>
      <c r="V248" s="161"/>
      <c r="W248" s="161"/>
      <c r="X248" s="164"/>
      <c r="Y248" s="163"/>
      <c r="Z248" s="163"/>
      <c r="AA248" s="163"/>
      <c r="AB248" s="163"/>
      <c r="AC248" s="163"/>
      <c r="AD248" s="163"/>
      <c r="AE248" s="163"/>
      <c r="AF248" s="163"/>
      <c r="AG248" s="164"/>
      <c r="AH248" s="165"/>
      <c r="AI248" s="166"/>
      <c r="AJ248" s="167"/>
      <c r="AK248" s="168"/>
      <c r="AL248" s="168"/>
    </row>
    <row r="249" spans="1:38" ht="31.95" customHeight="1" x14ac:dyDescent="0.3">
      <c r="A249" s="176">
        <v>44075</v>
      </c>
      <c r="B249" s="177">
        <v>0.63862268518518517</v>
      </c>
      <c r="C249" s="149"/>
      <c r="D249" s="149">
        <v>120</v>
      </c>
      <c r="E249" s="149"/>
      <c r="F249" s="149"/>
      <c r="G249" s="150">
        <v>26</v>
      </c>
      <c r="H249" s="151" t="s">
        <v>62</v>
      </c>
      <c r="I249" s="178" t="s">
        <v>58</v>
      </c>
      <c r="J249" s="152"/>
      <c r="K249" s="153">
        <v>3100</v>
      </c>
      <c r="L249" s="154" t="s">
        <v>58</v>
      </c>
      <c r="M249" s="155" t="s">
        <v>58</v>
      </c>
      <c r="N249" s="155" t="s">
        <v>58</v>
      </c>
      <c r="O249" s="156" t="s">
        <v>58</v>
      </c>
      <c r="P249" s="157">
        <v>60</v>
      </c>
      <c r="Q249" s="158">
        <v>2.8040000000000003</v>
      </c>
      <c r="R249" s="159"/>
      <c r="S249" s="159"/>
      <c r="T249" s="160"/>
      <c r="U249" s="171"/>
      <c r="V249" s="161">
        <v>1.7</v>
      </c>
      <c r="W249" s="161">
        <v>3.6</v>
      </c>
      <c r="X249" s="164"/>
      <c r="Y249" s="163"/>
      <c r="Z249" s="163"/>
      <c r="AA249" s="163"/>
      <c r="AB249" s="163"/>
      <c r="AC249" s="163"/>
      <c r="AD249" s="163"/>
      <c r="AE249" s="163"/>
      <c r="AF249" s="163"/>
      <c r="AG249" s="164"/>
      <c r="AH249" s="165"/>
      <c r="AI249" s="166"/>
      <c r="AJ249" s="167"/>
      <c r="AK249" s="168"/>
      <c r="AL249" s="168"/>
    </row>
    <row r="250" spans="1:38" ht="31.95" customHeight="1" x14ac:dyDescent="0.3">
      <c r="A250" s="176">
        <v>44075</v>
      </c>
      <c r="B250" s="177">
        <v>0.63997685185185182</v>
      </c>
      <c r="C250" s="149"/>
      <c r="D250" s="149">
        <v>60</v>
      </c>
      <c r="E250" s="149"/>
      <c r="F250" s="149"/>
      <c r="G250" s="150">
        <v>26</v>
      </c>
      <c r="H250" s="151" t="s">
        <v>66</v>
      </c>
      <c r="I250" s="170" t="s">
        <v>98</v>
      </c>
      <c r="J250" s="152"/>
      <c r="K250" s="153">
        <v>3100</v>
      </c>
      <c r="L250" s="154" t="s">
        <v>58</v>
      </c>
      <c r="M250" s="155" t="s">
        <v>58</v>
      </c>
      <c r="N250" s="155" t="s">
        <v>58</v>
      </c>
      <c r="O250" s="156" t="s">
        <v>58</v>
      </c>
      <c r="P250" s="183">
        <v>80</v>
      </c>
      <c r="Q250" s="158">
        <v>1.4019999999999997</v>
      </c>
      <c r="R250" s="159"/>
      <c r="S250" s="159"/>
      <c r="T250" s="160"/>
      <c r="U250" s="171"/>
      <c r="V250" s="161"/>
      <c r="W250" s="161"/>
      <c r="X250" s="164"/>
      <c r="Y250" s="163"/>
      <c r="Z250" s="163"/>
      <c r="AA250" s="163"/>
      <c r="AB250" s="163"/>
      <c r="AC250" s="163"/>
      <c r="AD250" s="163"/>
      <c r="AE250" s="163"/>
      <c r="AF250" s="163"/>
      <c r="AG250" s="164"/>
      <c r="AH250" s="165"/>
      <c r="AI250" s="166"/>
      <c r="AJ250" s="167"/>
      <c r="AK250" s="168"/>
      <c r="AL250" s="168"/>
    </row>
    <row r="251" spans="1:38" ht="31.95" customHeight="1" x14ac:dyDescent="0.3">
      <c r="A251" s="176">
        <v>44075</v>
      </c>
      <c r="B251" s="177">
        <v>0.64072916666666668</v>
      </c>
      <c r="C251" s="149"/>
      <c r="D251" s="149">
        <v>120</v>
      </c>
      <c r="E251" s="149"/>
      <c r="F251" s="149"/>
      <c r="G251" s="150">
        <v>26</v>
      </c>
      <c r="H251" s="151" t="s">
        <v>62</v>
      </c>
      <c r="I251" s="178" t="s">
        <v>58</v>
      </c>
      <c r="J251" s="152"/>
      <c r="K251" s="153">
        <v>3100</v>
      </c>
      <c r="L251" s="154" t="s">
        <v>58</v>
      </c>
      <c r="M251" s="155" t="s">
        <v>58</v>
      </c>
      <c r="N251" s="155" t="s">
        <v>58</v>
      </c>
      <c r="O251" s="156" t="s">
        <v>58</v>
      </c>
      <c r="P251" s="157">
        <v>80</v>
      </c>
      <c r="Q251" s="158">
        <v>1.4019999999999997</v>
      </c>
      <c r="R251" s="159"/>
      <c r="S251" s="159"/>
      <c r="T251" s="160"/>
      <c r="U251" s="171"/>
      <c r="V251" s="161">
        <v>0.6</v>
      </c>
      <c r="W251" s="161">
        <v>2.9</v>
      </c>
      <c r="X251" s="164"/>
      <c r="Y251" s="163"/>
      <c r="Z251" s="163"/>
      <c r="AA251" s="163"/>
      <c r="AB251" s="163"/>
      <c r="AC251" s="163"/>
      <c r="AD251" s="163"/>
      <c r="AE251" s="163"/>
      <c r="AF251" s="163"/>
      <c r="AG251" s="164"/>
      <c r="AH251" s="165"/>
      <c r="AI251" s="166"/>
      <c r="AJ251" s="167"/>
      <c r="AK251" s="168"/>
      <c r="AL251" s="168"/>
    </row>
    <row r="252" spans="1:38" ht="31.95" customHeight="1" thickBot="1" x14ac:dyDescent="0.35">
      <c r="A252" s="147">
        <v>44075</v>
      </c>
      <c r="B252" s="148">
        <v>0.64226851851851852</v>
      </c>
      <c r="C252" s="149"/>
      <c r="D252" s="149">
        <v>60</v>
      </c>
      <c r="E252" s="149"/>
      <c r="F252" s="149"/>
      <c r="G252" s="150" t="s">
        <v>58</v>
      </c>
      <c r="H252" s="151" t="s">
        <v>72</v>
      </c>
      <c r="I252" s="170" t="s">
        <v>98</v>
      </c>
      <c r="J252" s="152"/>
      <c r="K252" s="153">
        <v>3100</v>
      </c>
      <c r="L252" s="154" t="s">
        <v>58</v>
      </c>
      <c r="M252" s="155" t="s">
        <v>58</v>
      </c>
      <c r="N252" s="155" t="s">
        <v>58</v>
      </c>
      <c r="O252" s="156" t="s">
        <v>58</v>
      </c>
      <c r="P252" s="183">
        <v>0</v>
      </c>
      <c r="Q252" s="158">
        <v>7.01</v>
      </c>
      <c r="R252" s="171"/>
      <c r="S252" s="171"/>
      <c r="T252" s="172"/>
      <c r="U252" s="171"/>
      <c r="V252" s="173"/>
      <c r="W252" s="173"/>
      <c r="X252" s="162"/>
      <c r="Y252" s="174"/>
      <c r="Z252" s="174"/>
      <c r="AA252" s="174"/>
      <c r="AB252" s="174"/>
      <c r="AC252" s="174"/>
      <c r="AD252" s="174"/>
      <c r="AE252" s="174"/>
      <c r="AF252" s="174"/>
      <c r="AG252" s="162"/>
      <c r="AH252" s="175"/>
      <c r="AI252" s="166" t="s">
        <v>63</v>
      </c>
      <c r="AJ252" s="168" t="s">
        <v>359</v>
      </c>
      <c r="AK252" s="168"/>
      <c r="AL252" s="168"/>
    </row>
    <row r="253" spans="1:38" ht="31.95" customHeight="1" thickBot="1" x14ac:dyDescent="0.35">
      <c r="A253" s="147">
        <v>44075</v>
      </c>
      <c r="B253" s="148">
        <v>0.6539814814814815</v>
      </c>
      <c r="C253" s="149"/>
      <c r="D253" s="149">
        <v>60</v>
      </c>
      <c r="E253" s="149"/>
      <c r="F253" s="149"/>
      <c r="G253" s="150">
        <v>27</v>
      </c>
      <c r="H253" s="151" t="s">
        <v>77</v>
      </c>
      <c r="I253" s="170" t="s">
        <v>58</v>
      </c>
      <c r="J253" s="152"/>
      <c r="K253" s="153">
        <v>3100</v>
      </c>
      <c r="L253" s="154" t="s">
        <v>58</v>
      </c>
      <c r="M253" s="155" t="s">
        <v>58</v>
      </c>
      <c r="N253" s="155" t="s">
        <v>58</v>
      </c>
      <c r="O253" s="156" t="s">
        <v>58</v>
      </c>
      <c r="P253" s="157" t="s">
        <v>58</v>
      </c>
      <c r="Q253" s="158" t="s">
        <v>58</v>
      </c>
      <c r="R253" s="171"/>
      <c r="S253" s="171"/>
      <c r="T253" s="172"/>
      <c r="U253" s="171"/>
      <c r="V253" s="173">
        <v>5.4</v>
      </c>
      <c r="W253" s="173">
        <v>5.6</v>
      </c>
      <c r="X253" s="182">
        <v>7.02</v>
      </c>
      <c r="Y253" s="174"/>
      <c r="Z253" s="174"/>
      <c r="AA253" s="174"/>
      <c r="AB253" s="174"/>
      <c r="AC253" s="174"/>
      <c r="AD253" s="174"/>
      <c r="AE253" s="174"/>
      <c r="AF253" s="174"/>
      <c r="AG253" s="162"/>
      <c r="AH253" s="175"/>
      <c r="AI253" s="166"/>
      <c r="AJ253" s="168"/>
      <c r="AK253" s="168"/>
      <c r="AL253" s="168" t="s">
        <v>93</v>
      </c>
    </row>
    <row r="254" spans="1:38" ht="31.95" customHeight="1" thickBot="1" x14ac:dyDescent="0.35">
      <c r="A254" s="147">
        <v>44075</v>
      </c>
      <c r="B254" s="148">
        <v>0.65468749999999998</v>
      </c>
      <c r="C254" s="149"/>
      <c r="D254" s="149">
        <v>30</v>
      </c>
      <c r="E254" s="149"/>
      <c r="F254" s="149"/>
      <c r="G254" s="150">
        <v>27</v>
      </c>
      <c r="H254" s="151" t="s">
        <v>66</v>
      </c>
      <c r="I254" s="170" t="s">
        <v>67</v>
      </c>
      <c r="J254" s="152"/>
      <c r="K254" s="153">
        <v>2800</v>
      </c>
      <c r="L254" s="154" t="s">
        <v>58</v>
      </c>
      <c r="M254" s="155" t="s">
        <v>58</v>
      </c>
      <c r="N254" s="155" t="s">
        <v>58</v>
      </c>
      <c r="O254" s="156" t="s">
        <v>58</v>
      </c>
      <c r="P254" s="157" t="s">
        <v>58</v>
      </c>
      <c r="Q254" s="158" t="s">
        <v>58</v>
      </c>
      <c r="R254" s="171"/>
      <c r="S254" s="171"/>
      <c r="T254" s="172"/>
      <c r="U254" s="171"/>
      <c r="V254" s="173"/>
      <c r="W254" s="173"/>
      <c r="X254" s="162"/>
      <c r="Y254" s="174"/>
      <c r="Z254" s="174"/>
      <c r="AA254" s="174"/>
      <c r="AB254" s="174"/>
      <c r="AC254" s="174"/>
      <c r="AD254" s="174"/>
      <c r="AE254" s="174"/>
      <c r="AF254" s="174"/>
      <c r="AG254" s="162"/>
      <c r="AH254" s="175"/>
      <c r="AI254" s="166"/>
      <c r="AJ254" s="168"/>
      <c r="AK254" s="168"/>
      <c r="AL254" s="168" t="s">
        <v>94</v>
      </c>
    </row>
    <row r="255" spans="1:38" ht="31.95" customHeight="1" thickBot="1" x14ac:dyDescent="0.35">
      <c r="A255" s="147">
        <v>44075</v>
      </c>
      <c r="B255" s="148">
        <v>0.65535879629629623</v>
      </c>
      <c r="C255" s="149"/>
      <c r="D255" s="149">
        <v>60</v>
      </c>
      <c r="E255" s="149"/>
      <c r="F255" s="149"/>
      <c r="G255" s="150">
        <v>27</v>
      </c>
      <c r="H255" s="151" t="s">
        <v>85</v>
      </c>
      <c r="I255" s="170" t="s">
        <v>58</v>
      </c>
      <c r="J255" s="152"/>
      <c r="K255" s="153">
        <v>2800</v>
      </c>
      <c r="L255" s="154" t="s">
        <v>58</v>
      </c>
      <c r="M255" s="155" t="s">
        <v>58</v>
      </c>
      <c r="N255" s="155" t="s">
        <v>58</v>
      </c>
      <c r="O255" s="156" t="s">
        <v>58</v>
      </c>
      <c r="P255" s="157" t="s">
        <v>58</v>
      </c>
      <c r="Q255" s="158" t="s">
        <v>58</v>
      </c>
      <c r="R255" s="171"/>
      <c r="S255" s="171"/>
      <c r="T255" s="172"/>
      <c r="U255" s="171"/>
      <c r="V255" s="173">
        <v>4.5</v>
      </c>
      <c r="W255" s="173">
        <v>4.0999999999999996</v>
      </c>
      <c r="X255" s="182">
        <v>6.29</v>
      </c>
      <c r="Y255" s="174"/>
      <c r="Z255" s="174"/>
      <c r="AA255" s="174"/>
      <c r="AB255" s="174"/>
      <c r="AC255" s="174"/>
      <c r="AD255" s="174"/>
      <c r="AE255" s="174"/>
      <c r="AF255" s="174"/>
      <c r="AG255" s="162"/>
      <c r="AH255" s="175"/>
      <c r="AI255" s="166"/>
      <c r="AJ255" s="168"/>
      <c r="AK255" s="168"/>
      <c r="AL255" s="168" t="s">
        <v>95</v>
      </c>
    </row>
    <row r="256" spans="1:38" ht="31.95" customHeight="1" thickBot="1" x14ac:dyDescent="0.35">
      <c r="A256" s="147">
        <v>44075</v>
      </c>
      <c r="B256" s="148">
        <v>0.65631944444444446</v>
      </c>
      <c r="C256" s="149"/>
      <c r="D256" s="149">
        <v>30</v>
      </c>
      <c r="E256" s="149"/>
      <c r="F256" s="149"/>
      <c r="G256" s="150">
        <v>27</v>
      </c>
      <c r="H256" s="151" t="s">
        <v>66</v>
      </c>
      <c r="I256" s="170" t="s">
        <v>67</v>
      </c>
      <c r="J256" s="152"/>
      <c r="K256" s="153">
        <v>2500</v>
      </c>
      <c r="L256" s="154" t="s">
        <v>58</v>
      </c>
      <c r="M256" s="155" t="s">
        <v>58</v>
      </c>
      <c r="N256" s="155" t="s">
        <v>58</v>
      </c>
      <c r="O256" s="156" t="s">
        <v>58</v>
      </c>
      <c r="P256" s="157" t="s">
        <v>58</v>
      </c>
      <c r="Q256" s="158" t="s">
        <v>58</v>
      </c>
      <c r="R256" s="171"/>
      <c r="S256" s="171"/>
      <c r="T256" s="172"/>
      <c r="U256" s="171"/>
      <c r="V256" s="173"/>
      <c r="W256" s="173"/>
      <c r="X256" s="162"/>
      <c r="Y256" s="174"/>
      <c r="Z256" s="174"/>
      <c r="AA256" s="174"/>
      <c r="AB256" s="174"/>
      <c r="AC256" s="174"/>
      <c r="AD256" s="174"/>
      <c r="AE256" s="174"/>
      <c r="AF256" s="174"/>
      <c r="AG256" s="162"/>
      <c r="AH256" s="175"/>
      <c r="AI256" s="166"/>
      <c r="AJ256" s="168"/>
      <c r="AK256" s="168"/>
      <c r="AL256" s="168" t="s">
        <v>96</v>
      </c>
    </row>
    <row r="257" spans="1:38" ht="31.95" customHeight="1" thickBot="1" x14ac:dyDescent="0.35">
      <c r="A257" s="147">
        <v>44075</v>
      </c>
      <c r="B257" s="148">
        <v>0.6567708333333333</v>
      </c>
      <c r="C257" s="149"/>
      <c r="D257" s="149">
        <v>60</v>
      </c>
      <c r="E257" s="149"/>
      <c r="F257" s="149"/>
      <c r="G257" s="150">
        <v>27</v>
      </c>
      <c r="H257" s="151" t="s">
        <v>77</v>
      </c>
      <c r="I257" s="170" t="s">
        <v>58</v>
      </c>
      <c r="J257" s="152"/>
      <c r="K257" s="153">
        <v>2500</v>
      </c>
      <c r="L257" s="154" t="s">
        <v>58</v>
      </c>
      <c r="M257" s="155" t="s">
        <v>58</v>
      </c>
      <c r="N257" s="155" t="s">
        <v>58</v>
      </c>
      <c r="O257" s="156" t="s">
        <v>58</v>
      </c>
      <c r="P257" s="157" t="s">
        <v>58</v>
      </c>
      <c r="Q257" s="158" t="s">
        <v>58</v>
      </c>
      <c r="R257" s="171"/>
      <c r="S257" s="171"/>
      <c r="T257" s="172"/>
      <c r="U257" s="171"/>
      <c r="V257" s="173">
        <v>4</v>
      </c>
      <c r="W257" s="173">
        <v>3</v>
      </c>
      <c r="X257" s="182">
        <v>5.57</v>
      </c>
      <c r="Y257" s="174"/>
      <c r="Z257" s="174"/>
      <c r="AA257" s="174"/>
      <c r="AB257" s="174"/>
      <c r="AC257" s="174"/>
      <c r="AD257" s="174"/>
      <c r="AE257" s="174"/>
      <c r="AF257" s="174"/>
      <c r="AG257" s="162"/>
      <c r="AH257" s="175"/>
      <c r="AI257" s="166"/>
      <c r="AJ257" s="168"/>
      <c r="AK257" s="168"/>
      <c r="AL257" s="168" t="s">
        <v>97</v>
      </c>
    </row>
    <row r="258" spans="1:38" ht="31.95" customHeight="1" thickBot="1" x14ac:dyDescent="0.35">
      <c r="A258" s="147">
        <v>44075</v>
      </c>
      <c r="B258" s="148">
        <v>0.65752314814814816</v>
      </c>
      <c r="C258" s="149"/>
      <c r="D258" s="149">
        <v>30</v>
      </c>
      <c r="E258" s="149"/>
      <c r="F258" s="149"/>
      <c r="G258" s="150">
        <v>27</v>
      </c>
      <c r="H258" s="151" t="s">
        <v>66</v>
      </c>
      <c r="I258" s="170" t="s">
        <v>67</v>
      </c>
      <c r="J258" s="152"/>
      <c r="K258" s="153">
        <v>2200</v>
      </c>
      <c r="L258" s="154" t="s">
        <v>58</v>
      </c>
      <c r="M258" s="155" t="s">
        <v>58</v>
      </c>
      <c r="N258" s="155" t="s">
        <v>58</v>
      </c>
      <c r="O258" s="156" t="s">
        <v>58</v>
      </c>
      <c r="P258" s="157" t="s">
        <v>58</v>
      </c>
      <c r="Q258" s="158" t="s">
        <v>58</v>
      </c>
      <c r="R258" s="171"/>
      <c r="S258" s="171"/>
      <c r="T258" s="172"/>
      <c r="U258" s="171"/>
      <c r="V258" s="173"/>
      <c r="W258" s="173"/>
      <c r="X258" s="162"/>
      <c r="Y258" s="174"/>
      <c r="Z258" s="174"/>
      <c r="AA258" s="174"/>
      <c r="AB258" s="174"/>
      <c r="AC258" s="174"/>
      <c r="AD258" s="174"/>
      <c r="AE258" s="174"/>
      <c r="AF258" s="174"/>
      <c r="AG258" s="162"/>
      <c r="AH258" s="175"/>
      <c r="AI258" s="166"/>
      <c r="AJ258" s="168"/>
      <c r="AK258" s="168"/>
      <c r="AL258" s="168" t="s">
        <v>97</v>
      </c>
    </row>
    <row r="259" spans="1:38" ht="31.95" customHeight="1" thickBot="1" x14ac:dyDescent="0.35">
      <c r="A259" s="147">
        <v>44075</v>
      </c>
      <c r="B259" s="148">
        <v>0.65833333333333333</v>
      </c>
      <c r="C259" s="149"/>
      <c r="D259" s="149">
        <v>60</v>
      </c>
      <c r="E259" s="149"/>
      <c r="F259" s="149"/>
      <c r="G259" s="150">
        <v>27</v>
      </c>
      <c r="H259" s="151" t="s">
        <v>77</v>
      </c>
      <c r="I259" s="170" t="s">
        <v>58</v>
      </c>
      <c r="J259" s="152"/>
      <c r="K259" s="153">
        <v>2200</v>
      </c>
      <c r="L259" s="154" t="s">
        <v>58</v>
      </c>
      <c r="M259" s="155" t="s">
        <v>58</v>
      </c>
      <c r="N259" s="155" t="s">
        <v>58</v>
      </c>
      <c r="O259" s="156" t="s">
        <v>58</v>
      </c>
      <c r="P259" s="157" t="s">
        <v>58</v>
      </c>
      <c r="Q259" s="158" t="s">
        <v>58</v>
      </c>
      <c r="R259" s="171"/>
      <c r="S259" s="171"/>
      <c r="T259" s="172"/>
      <c r="U259" s="171"/>
      <c r="V259" s="173">
        <v>3.3</v>
      </c>
      <c r="W259" s="173">
        <v>2.1</v>
      </c>
      <c r="X259" s="182">
        <v>4.84</v>
      </c>
      <c r="Y259" s="174"/>
      <c r="Z259" s="174"/>
      <c r="AA259" s="174"/>
      <c r="AB259" s="174"/>
      <c r="AC259" s="174"/>
      <c r="AD259" s="174"/>
      <c r="AE259" s="174"/>
      <c r="AF259" s="174"/>
      <c r="AG259" s="162"/>
      <c r="AH259" s="175"/>
      <c r="AI259" s="166"/>
      <c r="AJ259" s="168"/>
      <c r="AK259" s="168"/>
      <c r="AL259" s="168" t="s">
        <v>97</v>
      </c>
    </row>
    <row r="260" spans="1:38" ht="31.95" customHeight="1" x14ac:dyDescent="0.3">
      <c r="A260" s="147">
        <v>44075</v>
      </c>
      <c r="B260" s="148">
        <v>0.65916666666666668</v>
      </c>
      <c r="C260" s="149"/>
      <c r="D260" s="149">
        <v>60</v>
      </c>
      <c r="E260" s="149"/>
      <c r="F260" s="149"/>
      <c r="G260" s="150" t="s">
        <v>58</v>
      </c>
      <c r="H260" s="151" t="s">
        <v>72</v>
      </c>
      <c r="I260" s="170" t="s">
        <v>104</v>
      </c>
      <c r="J260" s="152"/>
      <c r="K260" s="153">
        <v>2200</v>
      </c>
      <c r="L260" s="154" t="s">
        <v>58</v>
      </c>
      <c r="M260" s="155" t="s">
        <v>58</v>
      </c>
      <c r="N260" s="155" t="s">
        <v>58</v>
      </c>
      <c r="O260" s="156" t="s">
        <v>58</v>
      </c>
      <c r="P260" s="183">
        <v>10</v>
      </c>
      <c r="Q260" s="158">
        <v>4.3559999999999999</v>
      </c>
      <c r="R260" s="171"/>
      <c r="S260" s="171"/>
      <c r="T260" s="172"/>
      <c r="U260" s="171"/>
      <c r="V260" s="173"/>
      <c r="W260" s="173"/>
      <c r="X260" s="162"/>
      <c r="Y260" s="174"/>
      <c r="Z260" s="174"/>
      <c r="AA260" s="174"/>
      <c r="AB260" s="174"/>
      <c r="AC260" s="174"/>
      <c r="AD260" s="174"/>
      <c r="AE260" s="174"/>
      <c r="AF260" s="174"/>
      <c r="AG260" s="162"/>
      <c r="AH260" s="175"/>
      <c r="AI260" s="166"/>
      <c r="AJ260" s="168"/>
      <c r="AK260" s="168"/>
      <c r="AL260" s="168" t="s">
        <v>368</v>
      </c>
    </row>
    <row r="261" spans="1:38" ht="31.95" customHeight="1" x14ac:dyDescent="0.3">
      <c r="A261" s="176">
        <v>44075</v>
      </c>
      <c r="B261" s="177">
        <v>0.66240740740740744</v>
      </c>
      <c r="C261" s="149"/>
      <c r="D261" s="149">
        <v>120</v>
      </c>
      <c r="E261" s="149"/>
      <c r="F261" s="149"/>
      <c r="G261" s="150">
        <v>28</v>
      </c>
      <c r="H261" s="151" t="s">
        <v>62</v>
      </c>
      <c r="I261" s="178" t="s">
        <v>58</v>
      </c>
      <c r="J261" s="152"/>
      <c r="K261" s="153">
        <v>2200</v>
      </c>
      <c r="L261" s="154" t="s">
        <v>58</v>
      </c>
      <c r="M261" s="155" t="s">
        <v>58</v>
      </c>
      <c r="N261" s="155" t="s">
        <v>58</v>
      </c>
      <c r="O261" s="156" t="s">
        <v>58</v>
      </c>
      <c r="P261" s="157">
        <v>10</v>
      </c>
      <c r="Q261" s="158">
        <v>4.3559999999999999</v>
      </c>
      <c r="R261" s="159"/>
      <c r="S261" s="159"/>
      <c r="T261" s="160"/>
      <c r="U261" s="171"/>
      <c r="V261" s="161">
        <v>3</v>
      </c>
      <c r="W261" s="161">
        <v>2</v>
      </c>
      <c r="X261" s="164"/>
      <c r="Y261" s="163"/>
      <c r="Z261" s="163"/>
      <c r="AA261" s="163"/>
      <c r="AB261" s="163"/>
      <c r="AC261" s="163"/>
      <c r="AD261" s="163"/>
      <c r="AE261" s="163"/>
      <c r="AF261" s="163"/>
      <c r="AG261" s="164"/>
      <c r="AH261" s="165"/>
      <c r="AI261" s="166"/>
      <c r="AJ261" s="167"/>
      <c r="AK261" s="168"/>
      <c r="AL261" s="168" t="s">
        <v>360</v>
      </c>
    </row>
    <row r="262" spans="1:38" ht="31.95" customHeight="1" x14ac:dyDescent="0.3">
      <c r="A262" s="147">
        <v>44075</v>
      </c>
      <c r="B262" s="148">
        <v>0.66392361111111109</v>
      </c>
      <c r="C262" s="149"/>
      <c r="D262" s="149">
        <v>60</v>
      </c>
      <c r="E262" s="149"/>
      <c r="F262" s="149"/>
      <c r="G262" s="150">
        <v>28</v>
      </c>
      <c r="H262" s="151" t="s">
        <v>66</v>
      </c>
      <c r="I262" s="170" t="s">
        <v>104</v>
      </c>
      <c r="J262" s="152"/>
      <c r="K262" s="153">
        <v>2200</v>
      </c>
      <c r="L262" s="154" t="s">
        <v>58</v>
      </c>
      <c r="M262" s="155" t="s">
        <v>58</v>
      </c>
      <c r="N262" s="155" t="s">
        <v>58</v>
      </c>
      <c r="O262" s="156" t="s">
        <v>58</v>
      </c>
      <c r="P262" s="183">
        <v>20</v>
      </c>
      <c r="Q262" s="158">
        <v>3.8719999999999999</v>
      </c>
      <c r="R262" s="171"/>
      <c r="S262" s="171"/>
      <c r="T262" s="172"/>
      <c r="U262" s="171"/>
      <c r="V262" s="173"/>
      <c r="W262" s="173"/>
      <c r="X262" s="162"/>
      <c r="Y262" s="174"/>
      <c r="Z262" s="174"/>
      <c r="AA262" s="174"/>
      <c r="AB262" s="174"/>
      <c r="AC262" s="174"/>
      <c r="AD262" s="174"/>
      <c r="AE262" s="174"/>
      <c r="AF262" s="174"/>
      <c r="AG262" s="162"/>
      <c r="AH262" s="175"/>
      <c r="AI262" s="166"/>
      <c r="AJ262" s="168"/>
      <c r="AK262" s="168"/>
      <c r="AL262" s="168" t="s">
        <v>368</v>
      </c>
    </row>
    <row r="263" spans="1:38" ht="31.95" customHeight="1" x14ac:dyDescent="0.3">
      <c r="A263" s="176">
        <v>44075</v>
      </c>
      <c r="B263" s="177">
        <v>0.66468749999999999</v>
      </c>
      <c r="C263" s="149"/>
      <c r="D263" s="149">
        <v>120</v>
      </c>
      <c r="E263" s="149"/>
      <c r="F263" s="149"/>
      <c r="G263" s="150">
        <v>28</v>
      </c>
      <c r="H263" s="151" t="s">
        <v>62</v>
      </c>
      <c r="I263" s="178" t="s">
        <v>58</v>
      </c>
      <c r="J263" s="152"/>
      <c r="K263" s="153">
        <v>2200</v>
      </c>
      <c r="L263" s="154" t="s">
        <v>58</v>
      </c>
      <c r="M263" s="155" t="s">
        <v>58</v>
      </c>
      <c r="N263" s="155" t="s">
        <v>58</v>
      </c>
      <c r="O263" s="156" t="s">
        <v>58</v>
      </c>
      <c r="P263" s="157">
        <v>20</v>
      </c>
      <c r="Q263" s="158">
        <v>3.8719999999999999</v>
      </c>
      <c r="R263" s="159"/>
      <c r="S263" s="159"/>
      <c r="T263" s="160"/>
      <c r="U263" s="171"/>
      <c r="V263" s="161">
        <v>2.6</v>
      </c>
      <c r="W263" s="161">
        <v>1.9</v>
      </c>
      <c r="X263" s="164"/>
      <c r="Y263" s="163"/>
      <c r="Z263" s="163"/>
      <c r="AA263" s="163"/>
      <c r="AB263" s="163"/>
      <c r="AC263" s="163"/>
      <c r="AD263" s="163"/>
      <c r="AE263" s="163"/>
      <c r="AF263" s="163"/>
      <c r="AG263" s="164"/>
      <c r="AH263" s="165"/>
      <c r="AI263" s="166"/>
      <c r="AJ263" s="167"/>
      <c r="AK263" s="168"/>
      <c r="AL263" s="168" t="s">
        <v>100</v>
      </c>
    </row>
    <row r="264" spans="1:38" ht="31.95" customHeight="1" x14ac:dyDescent="0.3">
      <c r="A264" s="176">
        <v>44075</v>
      </c>
      <c r="B264" s="177">
        <v>0.6661921296296297</v>
      </c>
      <c r="C264" s="149"/>
      <c r="D264" s="149">
        <v>60</v>
      </c>
      <c r="E264" s="149"/>
      <c r="F264" s="149"/>
      <c r="G264" s="150">
        <v>28</v>
      </c>
      <c r="H264" s="151" t="s">
        <v>66</v>
      </c>
      <c r="I264" s="170" t="s">
        <v>104</v>
      </c>
      <c r="J264" s="152"/>
      <c r="K264" s="153">
        <v>2200</v>
      </c>
      <c r="L264" s="154" t="s">
        <v>58</v>
      </c>
      <c r="M264" s="155" t="s">
        <v>58</v>
      </c>
      <c r="N264" s="155" t="s">
        <v>58</v>
      </c>
      <c r="O264" s="156" t="s">
        <v>58</v>
      </c>
      <c r="P264" s="183">
        <v>40</v>
      </c>
      <c r="Q264" s="158">
        <v>2.9039999999999999</v>
      </c>
      <c r="R264" s="159"/>
      <c r="S264" s="159"/>
      <c r="T264" s="160"/>
      <c r="U264" s="171"/>
      <c r="V264" s="161"/>
      <c r="W264" s="161"/>
      <c r="X264" s="164"/>
      <c r="Y264" s="163"/>
      <c r="Z264" s="163"/>
      <c r="AA264" s="163"/>
      <c r="AB264" s="163"/>
      <c r="AC264" s="163"/>
      <c r="AD264" s="163"/>
      <c r="AE264" s="163"/>
      <c r="AF264" s="163"/>
      <c r="AG264" s="164"/>
      <c r="AH264" s="165"/>
      <c r="AI264" s="166"/>
      <c r="AJ264" s="167"/>
      <c r="AK264" s="168"/>
      <c r="AL264" s="168" t="s">
        <v>368</v>
      </c>
    </row>
    <row r="265" spans="1:38" ht="31.95" customHeight="1" x14ac:dyDescent="0.3">
      <c r="A265" s="176">
        <v>44075</v>
      </c>
      <c r="B265" s="177">
        <v>0.66688657407407403</v>
      </c>
      <c r="C265" s="149"/>
      <c r="D265" s="149">
        <v>120</v>
      </c>
      <c r="E265" s="149"/>
      <c r="F265" s="149"/>
      <c r="G265" s="150">
        <v>28</v>
      </c>
      <c r="H265" s="151" t="s">
        <v>62</v>
      </c>
      <c r="I265" s="178" t="s">
        <v>58</v>
      </c>
      <c r="J265" s="152"/>
      <c r="K265" s="153">
        <v>2200</v>
      </c>
      <c r="L265" s="154" t="s">
        <v>58</v>
      </c>
      <c r="M265" s="155" t="s">
        <v>58</v>
      </c>
      <c r="N265" s="155" t="s">
        <v>58</v>
      </c>
      <c r="O265" s="156" t="s">
        <v>58</v>
      </c>
      <c r="P265" s="157">
        <v>40</v>
      </c>
      <c r="Q265" s="158">
        <v>2.9039999999999999</v>
      </c>
      <c r="R265" s="159"/>
      <c r="S265" s="159"/>
      <c r="T265" s="160"/>
      <c r="U265" s="171"/>
      <c r="V265" s="161">
        <v>1.7</v>
      </c>
      <c r="W265" s="161">
        <v>1.7</v>
      </c>
      <c r="X265" s="164"/>
      <c r="Y265" s="163"/>
      <c r="Z265" s="163"/>
      <c r="AA265" s="163"/>
      <c r="AB265" s="163"/>
      <c r="AC265" s="163"/>
      <c r="AD265" s="163"/>
      <c r="AE265" s="163"/>
      <c r="AF265" s="163"/>
      <c r="AG265" s="164"/>
      <c r="AH265" s="165"/>
      <c r="AI265" s="166"/>
      <c r="AJ265" s="167"/>
      <c r="AK265" s="168"/>
      <c r="AL265" s="168" t="s">
        <v>101</v>
      </c>
    </row>
    <row r="266" spans="1:38" ht="31.95" customHeight="1" x14ac:dyDescent="0.3">
      <c r="A266" s="176">
        <v>44075</v>
      </c>
      <c r="B266" s="177">
        <v>0.6683796296296296</v>
      </c>
      <c r="C266" s="149"/>
      <c r="D266" s="149">
        <v>60</v>
      </c>
      <c r="E266" s="149"/>
      <c r="F266" s="149"/>
      <c r="G266" s="150">
        <v>28</v>
      </c>
      <c r="H266" s="151" t="s">
        <v>66</v>
      </c>
      <c r="I266" s="170" t="s">
        <v>104</v>
      </c>
      <c r="J266" s="152"/>
      <c r="K266" s="153">
        <v>2200</v>
      </c>
      <c r="L266" s="154" t="s">
        <v>58</v>
      </c>
      <c r="M266" s="155" t="s">
        <v>58</v>
      </c>
      <c r="N266" s="155" t="s">
        <v>58</v>
      </c>
      <c r="O266" s="156" t="s">
        <v>58</v>
      </c>
      <c r="P266" s="183">
        <v>60</v>
      </c>
      <c r="Q266" s="158">
        <v>1.9359999999999999</v>
      </c>
      <c r="R266" s="159"/>
      <c r="S266" s="159"/>
      <c r="T266" s="160"/>
      <c r="U266" s="171"/>
      <c r="V266" s="161"/>
      <c r="W266" s="161"/>
      <c r="X266" s="164"/>
      <c r="Y266" s="163"/>
      <c r="Z266" s="163"/>
      <c r="AA266" s="163"/>
      <c r="AB266" s="163"/>
      <c r="AC266" s="163"/>
      <c r="AD266" s="163"/>
      <c r="AE266" s="163"/>
      <c r="AF266" s="163"/>
      <c r="AG266" s="164"/>
      <c r="AH266" s="165"/>
      <c r="AI266" s="166"/>
      <c r="AJ266" s="167"/>
      <c r="AK266" s="168"/>
      <c r="AL266" s="168" t="s">
        <v>368</v>
      </c>
    </row>
    <row r="267" spans="1:38" ht="31.95" customHeight="1" x14ac:dyDescent="0.3">
      <c r="A267" s="176">
        <v>44075</v>
      </c>
      <c r="B267" s="177">
        <v>0.66935185185185186</v>
      </c>
      <c r="C267" s="149"/>
      <c r="D267" s="149">
        <v>120</v>
      </c>
      <c r="E267" s="149"/>
      <c r="F267" s="149"/>
      <c r="G267" s="150">
        <v>28</v>
      </c>
      <c r="H267" s="151" t="s">
        <v>62</v>
      </c>
      <c r="I267" s="178" t="s">
        <v>58</v>
      </c>
      <c r="J267" s="152"/>
      <c r="K267" s="153">
        <v>2200</v>
      </c>
      <c r="L267" s="154" t="s">
        <v>58</v>
      </c>
      <c r="M267" s="155" t="s">
        <v>58</v>
      </c>
      <c r="N267" s="155" t="s">
        <v>58</v>
      </c>
      <c r="O267" s="156" t="s">
        <v>58</v>
      </c>
      <c r="P267" s="157">
        <v>60</v>
      </c>
      <c r="Q267" s="158">
        <v>1.9359999999999999</v>
      </c>
      <c r="R267" s="159"/>
      <c r="S267" s="159"/>
      <c r="T267" s="160"/>
      <c r="U267" s="171"/>
      <c r="V267" s="161">
        <v>1</v>
      </c>
      <c r="W267" s="161">
        <v>1.5</v>
      </c>
      <c r="X267" s="164"/>
      <c r="Y267" s="163"/>
      <c r="Z267" s="163"/>
      <c r="AA267" s="163"/>
      <c r="AB267" s="163"/>
      <c r="AC267" s="163"/>
      <c r="AD267" s="163"/>
      <c r="AE267" s="163"/>
      <c r="AF267" s="163"/>
      <c r="AG267" s="164"/>
      <c r="AH267" s="165"/>
      <c r="AI267" s="166"/>
      <c r="AJ267" s="167"/>
      <c r="AK267" s="168"/>
      <c r="AL267" s="168" t="s">
        <v>102</v>
      </c>
    </row>
    <row r="268" spans="1:38" ht="31.95" customHeight="1" x14ac:dyDescent="0.3">
      <c r="A268" s="176">
        <v>44075</v>
      </c>
      <c r="B268" s="177">
        <v>0.67082175925925924</v>
      </c>
      <c r="C268" s="149"/>
      <c r="D268" s="149">
        <v>60</v>
      </c>
      <c r="E268" s="149"/>
      <c r="F268" s="149"/>
      <c r="G268" s="150">
        <v>28</v>
      </c>
      <c r="H268" s="151" t="s">
        <v>66</v>
      </c>
      <c r="I268" s="170" t="s">
        <v>104</v>
      </c>
      <c r="J268" s="152"/>
      <c r="K268" s="153">
        <v>2200</v>
      </c>
      <c r="L268" s="154" t="s">
        <v>58</v>
      </c>
      <c r="M268" s="155" t="s">
        <v>58</v>
      </c>
      <c r="N268" s="155" t="s">
        <v>58</v>
      </c>
      <c r="O268" s="156" t="s">
        <v>58</v>
      </c>
      <c r="P268" s="183">
        <v>80</v>
      </c>
      <c r="Q268" s="158">
        <v>0.96799999999999975</v>
      </c>
      <c r="R268" s="159"/>
      <c r="S268" s="159"/>
      <c r="T268" s="160"/>
      <c r="U268" s="171"/>
      <c r="V268" s="161"/>
      <c r="W268" s="161"/>
      <c r="X268" s="164"/>
      <c r="Y268" s="163"/>
      <c r="Z268" s="163"/>
      <c r="AA268" s="163"/>
      <c r="AB268" s="163"/>
      <c r="AC268" s="163"/>
      <c r="AD268" s="163"/>
      <c r="AE268" s="163"/>
      <c r="AF268" s="163"/>
      <c r="AG268" s="164"/>
      <c r="AH268" s="165"/>
      <c r="AI268" s="166"/>
      <c r="AJ268" s="167"/>
      <c r="AK268" s="168"/>
      <c r="AL268" s="168" t="s">
        <v>368</v>
      </c>
    </row>
    <row r="269" spans="1:38" ht="31.95" customHeight="1" x14ac:dyDescent="0.3">
      <c r="A269" s="176">
        <v>44075</v>
      </c>
      <c r="B269" s="177">
        <v>0.67177083333333332</v>
      </c>
      <c r="C269" s="149"/>
      <c r="D269" s="149">
        <v>120</v>
      </c>
      <c r="E269" s="149"/>
      <c r="F269" s="149"/>
      <c r="G269" s="150">
        <v>28</v>
      </c>
      <c r="H269" s="151" t="s">
        <v>62</v>
      </c>
      <c r="I269" s="178" t="s">
        <v>58</v>
      </c>
      <c r="J269" s="152"/>
      <c r="K269" s="153">
        <v>2200</v>
      </c>
      <c r="L269" s="154" t="s">
        <v>58</v>
      </c>
      <c r="M269" s="155" t="s">
        <v>58</v>
      </c>
      <c r="N269" s="155" t="s">
        <v>58</v>
      </c>
      <c r="O269" s="156" t="s">
        <v>58</v>
      </c>
      <c r="P269" s="157">
        <v>80</v>
      </c>
      <c r="Q269" s="158">
        <v>0.96799999999999975</v>
      </c>
      <c r="R269" s="159"/>
      <c r="S269" s="159"/>
      <c r="T269" s="160"/>
      <c r="U269" s="171"/>
      <c r="V269" s="161">
        <v>0.3</v>
      </c>
      <c r="W269" s="161">
        <v>1.2</v>
      </c>
      <c r="X269" s="164"/>
      <c r="Y269" s="163"/>
      <c r="Z269" s="163"/>
      <c r="AA269" s="163"/>
      <c r="AB269" s="163"/>
      <c r="AC269" s="163"/>
      <c r="AD269" s="163"/>
      <c r="AE269" s="163"/>
      <c r="AF269" s="163"/>
      <c r="AG269" s="164"/>
      <c r="AH269" s="165"/>
      <c r="AI269" s="166"/>
      <c r="AJ269" s="167"/>
      <c r="AK269" s="168"/>
      <c r="AL269" s="168" t="s">
        <v>369</v>
      </c>
    </row>
    <row r="270" spans="1:38" ht="31.95" customHeight="1" x14ac:dyDescent="0.3">
      <c r="A270" s="147">
        <v>44075</v>
      </c>
      <c r="B270" s="148">
        <v>0.67320601851851858</v>
      </c>
      <c r="C270" s="149"/>
      <c r="D270" s="149"/>
      <c r="E270" s="149"/>
      <c r="F270" s="149"/>
      <c r="G270" s="150" t="s">
        <v>58</v>
      </c>
      <c r="H270" s="151" t="s">
        <v>66</v>
      </c>
      <c r="I270" s="170" t="s">
        <v>67</v>
      </c>
      <c r="J270" s="152"/>
      <c r="K270" s="153">
        <v>2500</v>
      </c>
      <c r="L270" s="154" t="s">
        <v>58</v>
      </c>
      <c r="M270" s="155" t="s">
        <v>58</v>
      </c>
      <c r="N270" s="155" t="s">
        <v>58</v>
      </c>
      <c r="O270" s="156" t="s">
        <v>58</v>
      </c>
      <c r="P270" s="157" t="s">
        <v>58</v>
      </c>
      <c r="Q270" s="158" t="s">
        <v>58</v>
      </c>
      <c r="R270" s="171"/>
      <c r="S270" s="171"/>
      <c r="T270" s="172"/>
      <c r="U270" s="171"/>
      <c r="V270" s="173"/>
      <c r="W270" s="173"/>
      <c r="X270" s="162"/>
      <c r="Y270" s="174"/>
      <c r="Z270" s="174"/>
      <c r="AA270" s="174"/>
      <c r="AB270" s="174"/>
      <c r="AC270" s="174"/>
      <c r="AD270" s="174"/>
      <c r="AE270" s="174"/>
      <c r="AF270" s="174"/>
      <c r="AG270" s="162"/>
      <c r="AH270" s="175"/>
      <c r="AI270" s="166"/>
      <c r="AJ270" s="168"/>
      <c r="AK270" s="168"/>
      <c r="AL270" s="168"/>
    </row>
    <row r="271" spans="1:38" ht="31.95" customHeight="1" x14ac:dyDescent="0.3">
      <c r="A271" s="147">
        <v>44075</v>
      </c>
      <c r="B271" s="148">
        <v>0.67361111111111116</v>
      </c>
      <c r="C271" s="149"/>
      <c r="D271" s="149">
        <v>60</v>
      </c>
      <c r="E271" s="149"/>
      <c r="F271" s="149"/>
      <c r="G271" s="150" t="s">
        <v>58</v>
      </c>
      <c r="H271" s="151" t="s">
        <v>66</v>
      </c>
      <c r="I271" s="170" t="s">
        <v>104</v>
      </c>
      <c r="J271" s="152"/>
      <c r="K271" s="153">
        <v>2500</v>
      </c>
      <c r="L271" s="154" t="s">
        <v>58</v>
      </c>
      <c r="M271" s="155" t="s">
        <v>58</v>
      </c>
      <c r="N271" s="155" t="s">
        <v>58</v>
      </c>
      <c r="O271" s="156" t="s">
        <v>58</v>
      </c>
      <c r="P271" s="183">
        <v>10</v>
      </c>
      <c r="Q271" s="158">
        <v>5.0130000000000008</v>
      </c>
      <c r="R271" s="171"/>
      <c r="S271" s="171"/>
      <c r="T271" s="172"/>
      <c r="U271" s="171"/>
      <c r="V271" s="173"/>
      <c r="W271" s="173"/>
      <c r="X271" s="162"/>
      <c r="Y271" s="174"/>
      <c r="Z271" s="174"/>
      <c r="AA271" s="174"/>
      <c r="AB271" s="174"/>
      <c r="AC271" s="174"/>
      <c r="AD271" s="174"/>
      <c r="AE271" s="174"/>
      <c r="AF271" s="174"/>
      <c r="AG271" s="162"/>
      <c r="AH271" s="175"/>
      <c r="AI271" s="166"/>
      <c r="AJ271" s="168"/>
      <c r="AK271" s="168"/>
      <c r="AL271" s="168" t="s">
        <v>368</v>
      </c>
    </row>
    <row r="272" spans="1:38" ht="31.95" customHeight="1" x14ac:dyDescent="0.3">
      <c r="A272" s="176">
        <v>44075</v>
      </c>
      <c r="B272" s="177">
        <v>0.67394675925925929</v>
      </c>
      <c r="C272" s="149"/>
      <c r="D272" s="149">
        <v>120</v>
      </c>
      <c r="E272" s="149"/>
      <c r="F272" s="149"/>
      <c r="G272" s="150">
        <v>29</v>
      </c>
      <c r="H272" s="151" t="s">
        <v>62</v>
      </c>
      <c r="I272" s="178" t="s">
        <v>58</v>
      </c>
      <c r="J272" s="152"/>
      <c r="K272" s="153">
        <v>2500</v>
      </c>
      <c r="L272" s="154" t="s">
        <v>58</v>
      </c>
      <c r="M272" s="155" t="s">
        <v>58</v>
      </c>
      <c r="N272" s="155" t="s">
        <v>58</v>
      </c>
      <c r="O272" s="156" t="s">
        <v>58</v>
      </c>
      <c r="P272" s="157">
        <v>10</v>
      </c>
      <c r="Q272" s="158">
        <v>5.0130000000000008</v>
      </c>
      <c r="R272" s="159"/>
      <c r="S272" s="159"/>
      <c r="T272" s="160"/>
      <c r="U272" s="171"/>
      <c r="V272" s="161">
        <v>3.5</v>
      </c>
      <c r="W272" s="161">
        <v>2.9</v>
      </c>
      <c r="X272" s="164"/>
      <c r="Y272" s="163"/>
      <c r="Z272" s="163"/>
      <c r="AA272" s="163"/>
      <c r="AB272" s="163"/>
      <c r="AC272" s="163"/>
      <c r="AD272" s="163"/>
      <c r="AE272" s="163"/>
      <c r="AF272" s="163"/>
      <c r="AG272" s="164"/>
      <c r="AH272" s="165"/>
      <c r="AI272" s="166"/>
      <c r="AJ272" s="167"/>
      <c r="AK272" s="168"/>
      <c r="AL272" s="168" t="s">
        <v>360</v>
      </c>
    </row>
    <row r="273" spans="1:38" ht="31.95" customHeight="1" x14ac:dyDescent="0.3">
      <c r="A273" s="147">
        <v>44075</v>
      </c>
      <c r="B273" s="148">
        <v>0.67541666666666667</v>
      </c>
      <c r="C273" s="149"/>
      <c r="D273" s="149">
        <v>60</v>
      </c>
      <c r="E273" s="149"/>
      <c r="F273" s="149"/>
      <c r="G273" s="150">
        <v>29</v>
      </c>
      <c r="H273" s="151" t="s">
        <v>66</v>
      </c>
      <c r="I273" s="170" t="s">
        <v>104</v>
      </c>
      <c r="J273" s="152"/>
      <c r="K273" s="153">
        <v>2500</v>
      </c>
      <c r="L273" s="154" t="s">
        <v>58</v>
      </c>
      <c r="M273" s="155" t="s">
        <v>58</v>
      </c>
      <c r="N273" s="155" t="s">
        <v>58</v>
      </c>
      <c r="O273" s="156" t="s">
        <v>58</v>
      </c>
      <c r="P273" s="183">
        <v>20</v>
      </c>
      <c r="Q273" s="158">
        <v>4.4560000000000004</v>
      </c>
      <c r="R273" s="171"/>
      <c r="S273" s="171"/>
      <c r="T273" s="172"/>
      <c r="U273" s="171"/>
      <c r="V273" s="173"/>
      <c r="W273" s="173"/>
      <c r="X273" s="162"/>
      <c r="Y273" s="174"/>
      <c r="Z273" s="174"/>
      <c r="AA273" s="174"/>
      <c r="AB273" s="174"/>
      <c r="AC273" s="174"/>
      <c r="AD273" s="174"/>
      <c r="AE273" s="174"/>
      <c r="AF273" s="174"/>
      <c r="AG273" s="162"/>
      <c r="AH273" s="175"/>
      <c r="AI273" s="166"/>
      <c r="AJ273" s="168"/>
      <c r="AK273" s="168"/>
      <c r="AL273" s="168" t="s">
        <v>368</v>
      </c>
    </row>
    <row r="274" spans="1:38" ht="31.95" customHeight="1" x14ac:dyDescent="0.3">
      <c r="A274" s="176">
        <v>44075</v>
      </c>
      <c r="B274" s="177">
        <v>0.67611111111111111</v>
      </c>
      <c r="C274" s="149"/>
      <c r="D274" s="149">
        <v>120</v>
      </c>
      <c r="E274" s="149"/>
      <c r="F274" s="149"/>
      <c r="G274" s="150">
        <v>29</v>
      </c>
      <c r="H274" s="151" t="s">
        <v>62</v>
      </c>
      <c r="I274" s="178" t="s">
        <v>58</v>
      </c>
      <c r="J274" s="152"/>
      <c r="K274" s="153">
        <v>2500</v>
      </c>
      <c r="L274" s="154" t="s">
        <v>58</v>
      </c>
      <c r="M274" s="155" t="s">
        <v>58</v>
      </c>
      <c r="N274" s="155" t="s">
        <v>58</v>
      </c>
      <c r="O274" s="156" t="s">
        <v>58</v>
      </c>
      <c r="P274" s="157">
        <v>20</v>
      </c>
      <c r="Q274" s="158">
        <v>4.4560000000000004</v>
      </c>
      <c r="R274" s="159"/>
      <c r="S274" s="159"/>
      <c r="T274" s="160"/>
      <c r="U274" s="171"/>
      <c r="V274" s="161">
        <v>3.1</v>
      </c>
      <c r="W274" s="161">
        <v>2.7</v>
      </c>
      <c r="X274" s="164"/>
      <c r="Y274" s="163"/>
      <c r="Z274" s="163"/>
      <c r="AA274" s="163"/>
      <c r="AB274" s="163"/>
      <c r="AC274" s="163"/>
      <c r="AD274" s="163"/>
      <c r="AE274" s="163"/>
      <c r="AF274" s="163"/>
      <c r="AG274" s="164"/>
      <c r="AH274" s="165"/>
      <c r="AI274" s="166"/>
      <c r="AJ274" s="167"/>
      <c r="AK274" s="168"/>
      <c r="AL274" s="168" t="s">
        <v>100</v>
      </c>
    </row>
    <row r="275" spans="1:38" ht="31.95" customHeight="1" x14ac:dyDescent="0.3">
      <c r="A275" s="176">
        <v>44075</v>
      </c>
      <c r="B275" s="177">
        <v>0.67818287037037039</v>
      </c>
      <c r="C275" s="149"/>
      <c r="D275" s="149">
        <v>60</v>
      </c>
      <c r="E275" s="149"/>
      <c r="F275" s="149"/>
      <c r="G275" s="150">
        <v>29</v>
      </c>
      <c r="H275" s="151" t="s">
        <v>66</v>
      </c>
      <c r="I275" s="170" t="s">
        <v>104</v>
      </c>
      <c r="J275" s="152"/>
      <c r="K275" s="153">
        <v>2500</v>
      </c>
      <c r="L275" s="154" t="s">
        <v>58</v>
      </c>
      <c r="M275" s="155" t="s">
        <v>58</v>
      </c>
      <c r="N275" s="155" t="s">
        <v>58</v>
      </c>
      <c r="O275" s="156" t="s">
        <v>58</v>
      </c>
      <c r="P275" s="183">
        <v>40</v>
      </c>
      <c r="Q275" s="158">
        <v>3.3420000000000001</v>
      </c>
      <c r="R275" s="159"/>
      <c r="S275" s="159"/>
      <c r="T275" s="160"/>
      <c r="U275" s="171"/>
      <c r="V275" s="161"/>
      <c r="W275" s="161"/>
      <c r="X275" s="164"/>
      <c r="Y275" s="163"/>
      <c r="Z275" s="163"/>
      <c r="AA275" s="163"/>
      <c r="AB275" s="163"/>
      <c r="AC275" s="163"/>
      <c r="AD275" s="163"/>
      <c r="AE275" s="163"/>
      <c r="AF275" s="163"/>
      <c r="AG275" s="164"/>
      <c r="AH275" s="165"/>
      <c r="AI275" s="166"/>
      <c r="AJ275" s="167"/>
      <c r="AK275" s="168"/>
      <c r="AL275" s="168" t="s">
        <v>368</v>
      </c>
    </row>
    <row r="276" spans="1:38" ht="31.95" customHeight="1" x14ac:dyDescent="0.3">
      <c r="A276" s="176">
        <v>44075</v>
      </c>
      <c r="B276" s="177">
        <v>0.6789236111111111</v>
      </c>
      <c r="C276" s="149"/>
      <c r="D276" s="149">
        <v>120</v>
      </c>
      <c r="E276" s="149"/>
      <c r="F276" s="149"/>
      <c r="G276" s="150">
        <v>29</v>
      </c>
      <c r="H276" s="151" t="s">
        <v>62</v>
      </c>
      <c r="I276" s="178" t="s">
        <v>58</v>
      </c>
      <c r="J276" s="152"/>
      <c r="K276" s="153">
        <v>2500</v>
      </c>
      <c r="L276" s="154" t="s">
        <v>58</v>
      </c>
      <c r="M276" s="155" t="s">
        <v>58</v>
      </c>
      <c r="N276" s="155" t="s">
        <v>58</v>
      </c>
      <c r="O276" s="156" t="s">
        <v>58</v>
      </c>
      <c r="P276" s="157">
        <v>40</v>
      </c>
      <c r="Q276" s="158">
        <v>3.3420000000000001</v>
      </c>
      <c r="R276" s="159"/>
      <c r="S276" s="159"/>
      <c r="T276" s="160"/>
      <c r="U276" s="171"/>
      <c r="V276" s="161">
        <v>2.2000000000000002</v>
      </c>
      <c r="W276" s="161">
        <v>2.4</v>
      </c>
      <c r="X276" s="164"/>
      <c r="Y276" s="163"/>
      <c r="Z276" s="163"/>
      <c r="AA276" s="163"/>
      <c r="AB276" s="163"/>
      <c r="AC276" s="163"/>
      <c r="AD276" s="163"/>
      <c r="AE276" s="163"/>
      <c r="AF276" s="163"/>
      <c r="AG276" s="164"/>
      <c r="AH276" s="165"/>
      <c r="AI276" s="166"/>
      <c r="AJ276" s="167"/>
      <c r="AK276" s="168"/>
      <c r="AL276" s="168" t="s">
        <v>101</v>
      </c>
    </row>
    <row r="277" spans="1:38" ht="31.95" customHeight="1" x14ac:dyDescent="0.3">
      <c r="A277" s="176">
        <v>44075</v>
      </c>
      <c r="B277" s="177">
        <v>0.6810532407407407</v>
      </c>
      <c r="C277" s="149"/>
      <c r="D277" s="149">
        <v>60</v>
      </c>
      <c r="E277" s="149"/>
      <c r="F277" s="149"/>
      <c r="G277" s="150">
        <v>29</v>
      </c>
      <c r="H277" s="151" t="s">
        <v>66</v>
      </c>
      <c r="I277" s="170" t="s">
        <v>104</v>
      </c>
      <c r="J277" s="152"/>
      <c r="K277" s="153">
        <v>2500</v>
      </c>
      <c r="L277" s="154" t="s">
        <v>58</v>
      </c>
      <c r="M277" s="155" t="s">
        <v>58</v>
      </c>
      <c r="N277" s="155" t="s">
        <v>58</v>
      </c>
      <c r="O277" s="156" t="s">
        <v>58</v>
      </c>
      <c r="P277" s="183">
        <v>60</v>
      </c>
      <c r="Q277" s="158">
        <v>2.2280000000000002</v>
      </c>
      <c r="R277" s="159"/>
      <c r="S277" s="159"/>
      <c r="T277" s="160"/>
      <c r="U277" s="171"/>
      <c r="V277" s="161"/>
      <c r="W277" s="161"/>
      <c r="X277" s="164"/>
      <c r="Y277" s="163"/>
      <c r="Z277" s="163"/>
      <c r="AA277" s="163"/>
      <c r="AB277" s="163"/>
      <c r="AC277" s="163"/>
      <c r="AD277" s="163"/>
      <c r="AE277" s="163"/>
      <c r="AF277" s="163"/>
      <c r="AG277" s="164"/>
      <c r="AH277" s="165"/>
      <c r="AI277" s="166"/>
      <c r="AJ277" s="167"/>
      <c r="AK277" s="168"/>
      <c r="AL277" s="168" t="s">
        <v>368</v>
      </c>
    </row>
    <row r="278" spans="1:38" ht="31.95" customHeight="1" x14ac:dyDescent="0.3">
      <c r="A278" s="176">
        <v>44075</v>
      </c>
      <c r="B278" s="177">
        <v>0.68174768518518514</v>
      </c>
      <c r="C278" s="149"/>
      <c r="D278" s="149">
        <v>120</v>
      </c>
      <c r="E278" s="149"/>
      <c r="F278" s="149"/>
      <c r="G278" s="150">
        <v>29</v>
      </c>
      <c r="H278" s="151" t="s">
        <v>62</v>
      </c>
      <c r="I278" s="178" t="s">
        <v>58</v>
      </c>
      <c r="J278" s="152"/>
      <c r="K278" s="153">
        <v>2500</v>
      </c>
      <c r="L278" s="154" t="s">
        <v>58</v>
      </c>
      <c r="M278" s="155" t="s">
        <v>58</v>
      </c>
      <c r="N278" s="155" t="s">
        <v>58</v>
      </c>
      <c r="O278" s="156" t="s">
        <v>58</v>
      </c>
      <c r="P278" s="157">
        <v>60</v>
      </c>
      <c r="Q278" s="158">
        <v>2.2280000000000002</v>
      </c>
      <c r="R278" s="159"/>
      <c r="S278" s="159"/>
      <c r="T278" s="160"/>
      <c r="U278" s="171"/>
      <c r="V278" s="161">
        <v>1.2</v>
      </c>
      <c r="W278" s="161">
        <v>2</v>
      </c>
      <c r="X278" s="164"/>
      <c r="Y278" s="163"/>
      <c r="Z278" s="163"/>
      <c r="AA278" s="163"/>
      <c r="AB278" s="163"/>
      <c r="AC278" s="163"/>
      <c r="AD278" s="163"/>
      <c r="AE278" s="163"/>
      <c r="AF278" s="163"/>
      <c r="AG278" s="164"/>
      <c r="AH278" s="165"/>
      <c r="AI278" s="166"/>
      <c r="AJ278" s="167"/>
      <c r="AK278" s="168"/>
      <c r="AL278" s="168" t="s">
        <v>102</v>
      </c>
    </row>
    <row r="279" spans="1:38" ht="31.95" customHeight="1" x14ac:dyDescent="0.3">
      <c r="A279" s="176">
        <v>44075</v>
      </c>
      <c r="B279" s="177">
        <v>0.68346064814814822</v>
      </c>
      <c r="C279" s="149"/>
      <c r="D279" s="149">
        <v>60</v>
      </c>
      <c r="E279" s="149"/>
      <c r="F279" s="149"/>
      <c r="G279" s="150">
        <v>29</v>
      </c>
      <c r="H279" s="151" t="s">
        <v>66</v>
      </c>
      <c r="I279" s="170" t="s">
        <v>104</v>
      </c>
      <c r="J279" s="152"/>
      <c r="K279" s="153">
        <v>2500</v>
      </c>
      <c r="L279" s="154" t="s">
        <v>58</v>
      </c>
      <c r="M279" s="155" t="s">
        <v>58</v>
      </c>
      <c r="N279" s="155" t="s">
        <v>58</v>
      </c>
      <c r="O279" s="156" t="s">
        <v>58</v>
      </c>
      <c r="P279" s="183">
        <v>80</v>
      </c>
      <c r="Q279" s="158">
        <v>1.1139999999999999</v>
      </c>
      <c r="R279" s="159"/>
      <c r="S279" s="159"/>
      <c r="T279" s="160"/>
      <c r="U279" s="171"/>
      <c r="V279" s="161"/>
      <c r="W279" s="161"/>
      <c r="X279" s="164"/>
      <c r="Y279" s="163"/>
      <c r="Z279" s="163"/>
      <c r="AA279" s="163"/>
      <c r="AB279" s="163"/>
      <c r="AC279" s="163"/>
      <c r="AD279" s="163"/>
      <c r="AE279" s="163"/>
      <c r="AF279" s="163"/>
      <c r="AG279" s="164"/>
      <c r="AH279" s="165"/>
      <c r="AI279" s="166"/>
      <c r="AJ279" s="167" t="s">
        <v>361</v>
      </c>
      <c r="AK279" s="168"/>
      <c r="AL279" s="168" t="s">
        <v>368</v>
      </c>
    </row>
    <row r="280" spans="1:38" ht="31.95" customHeight="1" x14ac:dyDescent="0.3">
      <c r="A280" s="176">
        <v>44075</v>
      </c>
      <c r="B280" s="177">
        <v>0.68417824074074074</v>
      </c>
      <c r="C280" s="149"/>
      <c r="D280" s="149">
        <v>120</v>
      </c>
      <c r="E280" s="149"/>
      <c r="F280" s="149"/>
      <c r="G280" s="150">
        <v>29</v>
      </c>
      <c r="H280" s="151" t="s">
        <v>62</v>
      </c>
      <c r="I280" s="178" t="s">
        <v>58</v>
      </c>
      <c r="J280" s="152"/>
      <c r="K280" s="153">
        <v>2500</v>
      </c>
      <c r="L280" s="154" t="s">
        <v>58</v>
      </c>
      <c r="M280" s="155" t="s">
        <v>58</v>
      </c>
      <c r="N280" s="155" t="s">
        <v>58</v>
      </c>
      <c r="O280" s="156" t="s">
        <v>58</v>
      </c>
      <c r="P280" s="157">
        <v>80</v>
      </c>
      <c r="Q280" s="158">
        <v>1.1139999999999999</v>
      </c>
      <c r="R280" s="159"/>
      <c r="S280" s="159"/>
      <c r="T280" s="160"/>
      <c r="U280" s="171"/>
      <c r="V280" s="161">
        <v>0.4</v>
      </c>
      <c r="W280" s="161">
        <v>1.7</v>
      </c>
      <c r="X280" s="164"/>
      <c r="Y280" s="163"/>
      <c r="Z280" s="163"/>
      <c r="AA280" s="163"/>
      <c r="AB280" s="163"/>
      <c r="AC280" s="163"/>
      <c r="AD280" s="163"/>
      <c r="AE280" s="163"/>
      <c r="AF280" s="163"/>
      <c r="AG280" s="164"/>
      <c r="AH280" s="165"/>
      <c r="AI280" s="166"/>
      <c r="AJ280" s="167"/>
      <c r="AK280" s="168"/>
      <c r="AL280" s="168" t="s">
        <v>369</v>
      </c>
    </row>
    <row r="281" spans="1:38" ht="31.95" customHeight="1" x14ac:dyDescent="0.3">
      <c r="A281" s="147">
        <v>44075</v>
      </c>
      <c r="B281" s="148">
        <v>0.6855902777777777</v>
      </c>
      <c r="C281" s="149"/>
      <c r="D281" s="149"/>
      <c r="E281" s="149"/>
      <c r="F281" s="149"/>
      <c r="G281" s="150" t="s">
        <v>58</v>
      </c>
      <c r="H281" s="151" t="s">
        <v>72</v>
      </c>
      <c r="I281" s="170" t="s">
        <v>67</v>
      </c>
      <c r="J281" s="152"/>
      <c r="K281" s="153">
        <v>2800</v>
      </c>
      <c r="L281" s="154" t="s">
        <v>58</v>
      </c>
      <c r="M281" s="155" t="s">
        <v>58</v>
      </c>
      <c r="N281" s="155" t="s">
        <v>58</v>
      </c>
      <c r="O281" s="156" t="s">
        <v>58</v>
      </c>
      <c r="P281" s="157" t="s">
        <v>58</v>
      </c>
      <c r="Q281" s="158" t="s">
        <v>58</v>
      </c>
      <c r="R281" s="171"/>
      <c r="S281" s="171"/>
      <c r="T281" s="172"/>
      <c r="U281" s="171"/>
      <c r="V281" s="173"/>
      <c r="W281" s="173"/>
      <c r="X281" s="162"/>
      <c r="Y281" s="174"/>
      <c r="Z281" s="174"/>
      <c r="AA281" s="174"/>
      <c r="AB281" s="174"/>
      <c r="AC281" s="174"/>
      <c r="AD281" s="174"/>
      <c r="AE281" s="174"/>
      <c r="AF281" s="174"/>
      <c r="AG281" s="162"/>
      <c r="AH281" s="175"/>
      <c r="AI281" s="166" t="s">
        <v>63</v>
      </c>
      <c r="AJ281" s="168" t="s">
        <v>362</v>
      </c>
      <c r="AK281" s="168"/>
      <c r="AL281" s="168"/>
    </row>
    <row r="282" spans="1:38" ht="31.95" customHeight="1" x14ac:dyDescent="0.3">
      <c r="A282" s="147">
        <v>44075</v>
      </c>
      <c r="B282" s="148">
        <v>0.68710648148148146</v>
      </c>
      <c r="C282" s="149"/>
      <c r="D282" s="149">
        <v>60</v>
      </c>
      <c r="E282" s="149"/>
      <c r="F282" s="149"/>
      <c r="G282" s="150" t="s">
        <v>58</v>
      </c>
      <c r="H282" s="151" t="s">
        <v>66</v>
      </c>
      <c r="I282" s="170" t="s">
        <v>104</v>
      </c>
      <c r="J282" s="152"/>
      <c r="K282" s="153">
        <v>2800</v>
      </c>
      <c r="L282" s="154" t="s">
        <v>58</v>
      </c>
      <c r="M282" s="155" t="s">
        <v>58</v>
      </c>
      <c r="N282" s="155" t="s">
        <v>58</v>
      </c>
      <c r="O282" s="156" t="s">
        <v>58</v>
      </c>
      <c r="P282" s="183">
        <v>10</v>
      </c>
      <c r="Q282" s="158">
        <v>5.6610000000000005</v>
      </c>
      <c r="R282" s="171"/>
      <c r="S282" s="171"/>
      <c r="T282" s="172"/>
      <c r="U282" s="171"/>
      <c r="V282" s="173"/>
      <c r="W282" s="173"/>
      <c r="X282" s="162"/>
      <c r="Y282" s="174"/>
      <c r="Z282" s="174"/>
      <c r="AA282" s="174"/>
      <c r="AB282" s="174"/>
      <c r="AC282" s="174"/>
      <c r="AD282" s="174"/>
      <c r="AE282" s="174"/>
      <c r="AF282" s="174"/>
      <c r="AG282" s="162"/>
      <c r="AH282" s="175"/>
      <c r="AI282" s="166"/>
      <c r="AJ282" s="168"/>
      <c r="AK282" s="168"/>
      <c r="AL282" s="168" t="s">
        <v>368</v>
      </c>
    </row>
    <row r="283" spans="1:38" ht="31.95" customHeight="1" x14ac:dyDescent="0.3">
      <c r="A283" s="176">
        <v>44075</v>
      </c>
      <c r="B283" s="177">
        <v>0.6878009259259259</v>
      </c>
      <c r="C283" s="149"/>
      <c r="D283" s="149">
        <v>120</v>
      </c>
      <c r="E283" s="149"/>
      <c r="F283" s="149"/>
      <c r="G283" s="150">
        <v>30</v>
      </c>
      <c r="H283" s="151" t="s">
        <v>62</v>
      </c>
      <c r="I283" s="178" t="s">
        <v>58</v>
      </c>
      <c r="J283" s="152"/>
      <c r="K283" s="153">
        <v>2800</v>
      </c>
      <c r="L283" s="154" t="s">
        <v>58</v>
      </c>
      <c r="M283" s="155" t="s">
        <v>58</v>
      </c>
      <c r="N283" s="155" t="s">
        <v>58</v>
      </c>
      <c r="O283" s="156" t="s">
        <v>58</v>
      </c>
      <c r="P283" s="157">
        <v>10</v>
      </c>
      <c r="Q283" s="158">
        <v>5.6610000000000005</v>
      </c>
      <c r="R283" s="159"/>
      <c r="S283" s="159"/>
      <c r="T283" s="160"/>
      <c r="U283" s="171"/>
      <c r="V283" s="161">
        <v>4</v>
      </c>
      <c r="W283" s="161">
        <v>3.9</v>
      </c>
      <c r="X283" s="164"/>
      <c r="Y283" s="163"/>
      <c r="Z283" s="163"/>
      <c r="AA283" s="163"/>
      <c r="AB283" s="163"/>
      <c r="AC283" s="163"/>
      <c r="AD283" s="163"/>
      <c r="AE283" s="163"/>
      <c r="AF283" s="163"/>
      <c r="AG283" s="164"/>
      <c r="AH283" s="165"/>
      <c r="AI283" s="166"/>
      <c r="AJ283" s="167"/>
      <c r="AK283" s="168"/>
      <c r="AL283" s="168" t="s">
        <v>360</v>
      </c>
    </row>
    <row r="284" spans="1:38" ht="31.95" customHeight="1" x14ac:dyDescent="0.3">
      <c r="A284" s="147">
        <v>44075</v>
      </c>
      <c r="B284" s="148">
        <v>0.68927083333333339</v>
      </c>
      <c r="C284" s="149"/>
      <c r="D284" s="149">
        <v>60</v>
      </c>
      <c r="E284" s="149"/>
      <c r="F284" s="149"/>
      <c r="G284" s="150">
        <v>30</v>
      </c>
      <c r="H284" s="151" t="s">
        <v>66</v>
      </c>
      <c r="I284" s="170" t="s">
        <v>104</v>
      </c>
      <c r="J284" s="152"/>
      <c r="K284" s="153">
        <v>2800</v>
      </c>
      <c r="L284" s="154" t="s">
        <v>58</v>
      </c>
      <c r="M284" s="155" t="s">
        <v>58</v>
      </c>
      <c r="N284" s="155" t="s">
        <v>58</v>
      </c>
      <c r="O284" s="156" t="s">
        <v>58</v>
      </c>
      <c r="P284" s="183">
        <v>20</v>
      </c>
      <c r="Q284" s="158">
        <v>5.032</v>
      </c>
      <c r="R284" s="171"/>
      <c r="S284" s="171"/>
      <c r="T284" s="172"/>
      <c r="U284" s="171"/>
      <c r="V284" s="173"/>
      <c r="W284" s="173"/>
      <c r="X284" s="162"/>
      <c r="Y284" s="174"/>
      <c r="Z284" s="174"/>
      <c r="AA284" s="174"/>
      <c r="AB284" s="174"/>
      <c r="AC284" s="174"/>
      <c r="AD284" s="174"/>
      <c r="AE284" s="174"/>
      <c r="AF284" s="174"/>
      <c r="AG284" s="162"/>
      <c r="AH284" s="175"/>
      <c r="AI284" s="166"/>
      <c r="AJ284" s="168"/>
      <c r="AK284" s="168"/>
      <c r="AL284" s="168" t="s">
        <v>368</v>
      </c>
    </row>
    <row r="285" spans="1:38" ht="31.95" customHeight="1" x14ac:dyDescent="0.3">
      <c r="A285" s="176">
        <v>44075</v>
      </c>
      <c r="B285" s="177">
        <v>0.69002314814814814</v>
      </c>
      <c r="C285" s="149"/>
      <c r="D285" s="149">
        <v>120</v>
      </c>
      <c r="E285" s="149"/>
      <c r="F285" s="149"/>
      <c r="G285" s="150">
        <v>30</v>
      </c>
      <c r="H285" s="151" t="s">
        <v>62</v>
      </c>
      <c r="I285" s="178" t="s">
        <v>58</v>
      </c>
      <c r="J285" s="152"/>
      <c r="K285" s="153">
        <v>2800</v>
      </c>
      <c r="L285" s="154" t="s">
        <v>58</v>
      </c>
      <c r="M285" s="155" t="s">
        <v>58</v>
      </c>
      <c r="N285" s="155" t="s">
        <v>58</v>
      </c>
      <c r="O285" s="156" t="s">
        <v>58</v>
      </c>
      <c r="P285" s="157">
        <v>20</v>
      </c>
      <c r="Q285" s="158">
        <v>5.032</v>
      </c>
      <c r="R285" s="159"/>
      <c r="S285" s="159"/>
      <c r="T285" s="160"/>
      <c r="U285" s="171"/>
      <c r="V285" s="161">
        <v>3.4</v>
      </c>
      <c r="W285" s="161">
        <v>3.7</v>
      </c>
      <c r="X285" s="164"/>
      <c r="Y285" s="163"/>
      <c r="Z285" s="163"/>
      <c r="AA285" s="163"/>
      <c r="AB285" s="163"/>
      <c r="AC285" s="163"/>
      <c r="AD285" s="163"/>
      <c r="AE285" s="163"/>
      <c r="AF285" s="163"/>
      <c r="AG285" s="164"/>
      <c r="AH285" s="165"/>
      <c r="AI285" s="166"/>
      <c r="AJ285" s="167"/>
      <c r="AK285" s="168"/>
      <c r="AL285" s="168" t="s">
        <v>100</v>
      </c>
    </row>
    <row r="286" spans="1:38" ht="31.95" customHeight="1" x14ac:dyDescent="0.3">
      <c r="A286" s="176">
        <v>44075</v>
      </c>
      <c r="B286" s="177">
        <v>0.69141203703703702</v>
      </c>
      <c r="C286" s="149"/>
      <c r="D286" s="149">
        <v>60</v>
      </c>
      <c r="E286" s="149"/>
      <c r="F286" s="149"/>
      <c r="G286" s="150">
        <v>30</v>
      </c>
      <c r="H286" s="151" t="s">
        <v>66</v>
      </c>
      <c r="I286" s="170" t="s">
        <v>104</v>
      </c>
      <c r="J286" s="152"/>
      <c r="K286" s="153">
        <v>2800</v>
      </c>
      <c r="L286" s="154" t="s">
        <v>58</v>
      </c>
      <c r="M286" s="155" t="s">
        <v>58</v>
      </c>
      <c r="N286" s="155" t="s">
        <v>58</v>
      </c>
      <c r="O286" s="156" t="s">
        <v>58</v>
      </c>
      <c r="P286" s="183">
        <v>40</v>
      </c>
      <c r="Q286" s="158">
        <v>3.774</v>
      </c>
      <c r="R286" s="159"/>
      <c r="S286" s="159"/>
      <c r="T286" s="160"/>
      <c r="U286" s="171"/>
      <c r="V286" s="161"/>
      <c r="W286" s="161"/>
      <c r="X286" s="164"/>
      <c r="Y286" s="163"/>
      <c r="Z286" s="163"/>
      <c r="AA286" s="163"/>
      <c r="AB286" s="163"/>
      <c r="AC286" s="163"/>
      <c r="AD286" s="163"/>
      <c r="AE286" s="163"/>
      <c r="AF286" s="163"/>
      <c r="AG286" s="164"/>
      <c r="AH286" s="165"/>
      <c r="AI286" s="166"/>
      <c r="AJ286" s="167"/>
      <c r="AK286" s="168"/>
      <c r="AL286" s="168" t="s">
        <v>368</v>
      </c>
    </row>
    <row r="287" spans="1:38" ht="31.95" customHeight="1" x14ac:dyDescent="0.3">
      <c r="A287" s="176">
        <v>44075</v>
      </c>
      <c r="B287" s="177">
        <v>0.69390046296296293</v>
      </c>
      <c r="C287" s="149"/>
      <c r="D287" s="149">
        <v>120</v>
      </c>
      <c r="E287" s="149"/>
      <c r="F287" s="149"/>
      <c r="G287" s="150">
        <v>30</v>
      </c>
      <c r="H287" s="151" t="s">
        <v>62</v>
      </c>
      <c r="I287" s="178" t="s">
        <v>58</v>
      </c>
      <c r="J287" s="152"/>
      <c r="K287" s="153">
        <v>2800</v>
      </c>
      <c r="L287" s="154" t="s">
        <v>58</v>
      </c>
      <c r="M287" s="155" t="s">
        <v>58</v>
      </c>
      <c r="N287" s="155" t="s">
        <v>58</v>
      </c>
      <c r="O287" s="156" t="s">
        <v>58</v>
      </c>
      <c r="P287" s="157">
        <v>40</v>
      </c>
      <c r="Q287" s="158">
        <v>3.774</v>
      </c>
      <c r="R287" s="159"/>
      <c r="S287" s="159"/>
      <c r="T287" s="160"/>
      <c r="U287" s="171"/>
      <c r="V287" s="161">
        <v>2.5</v>
      </c>
      <c r="W287" s="161">
        <v>3.2</v>
      </c>
      <c r="X287" s="164"/>
      <c r="Y287" s="163"/>
      <c r="Z287" s="163"/>
      <c r="AA287" s="163"/>
      <c r="AB287" s="163"/>
      <c r="AC287" s="163"/>
      <c r="AD287" s="163"/>
      <c r="AE287" s="163"/>
      <c r="AF287" s="163"/>
      <c r="AG287" s="164"/>
      <c r="AH287" s="165"/>
      <c r="AI287" s="166"/>
      <c r="AJ287" s="167" t="s">
        <v>363</v>
      </c>
      <c r="AK287" s="168"/>
      <c r="AL287" s="168" t="s">
        <v>101</v>
      </c>
    </row>
    <row r="288" spans="1:38" ht="31.95" customHeight="1" x14ac:dyDescent="0.3">
      <c r="A288" s="176">
        <v>44075</v>
      </c>
      <c r="B288" s="177">
        <v>0.69534722222222223</v>
      </c>
      <c r="C288" s="149"/>
      <c r="D288" s="149">
        <v>60</v>
      </c>
      <c r="E288" s="149"/>
      <c r="F288" s="149"/>
      <c r="G288" s="150">
        <v>30</v>
      </c>
      <c r="H288" s="151" t="s">
        <v>66</v>
      </c>
      <c r="I288" s="170" t="s">
        <v>104</v>
      </c>
      <c r="J288" s="152"/>
      <c r="K288" s="153">
        <v>2800</v>
      </c>
      <c r="L288" s="154" t="s">
        <v>58</v>
      </c>
      <c r="M288" s="155" t="s">
        <v>58</v>
      </c>
      <c r="N288" s="155" t="s">
        <v>58</v>
      </c>
      <c r="O288" s="156" t="s">
        <v>58</v>
      </c>
      <c r="P288" s="183">
        <v>60</v>
      </c>
      <c r="Q288" s="158">
        <v>2.516</v>
      </c>
      <c r="R288" s="159"/>
      <c r="S288" s="159"/>
      <c r="T288" s="160"/>
      <c r="U288" s="171"/>
      <c r="V288" s="161"/>
      <c r="W288" s="161"/>
      <c r="X288" s="164"/>
      <c r="Y288" s="163"/>
      <c r="Z288" s="163"/>
      <c r="AA288" s="163"/>
      <c r="AB288" s="163"/>
      <c r="AC288" s="163"/>
      <c r="AD288" s="163"/>
      <c r="AE288" s="163"/>
      <c r="AF288" s="163"/>
      <c r="AG288" s="164"/>
      <c r="AH288" s="165"/>
      <c r="AI288" s="166"/>
      <c r="AJ288" s="167"/>
      <c r="AK288" s="168"/>
      <c r="AL288" s="168" t="s">
        <v>368</v>
      </c>
    </row>
    <row r="289" spans="1:38" ht="31.95" customHeight="1" x14ac:dyDescent="0.3">
      <c r="A289" s="176">
        <v>44075</v>
      </c>
      <c r="B289" s="177">
        <v>0.69608796296296294</v>
      </c>
      <c r="C289" s="149"/>
      <c r="D289" s="149">
        <v>120</v>
      </c>
      <c r="E289" s="149"/>
      <c r="F289" s="149"/>
      <c r="G289" s="150">
        <v>30</v>
      </c>
      <c r="H289" s="151" t="s">
        <v>62</v>
      </c>
      <c r="I289" s="178" t="s">
        <v>58</v>
      </c>
      <c r="J289" s="152"/>
      <c r="K289" s="153">
        <v>2800</v>
      </c>
      <c r="L289" s="154" t="s">
        <v>58</v>
      </c>
      <c r="M289" s="155" t="s">
        <v>58</v>
      </c>
      <c r="N289" s="155" t="s">
        <v>58</v>
      </c>
      <c r="O289" s="156" t="s">
        <v>58</v>
      </c>
      <c r="P289" s="157">
        <v>60</v>
      </c>
      <c r="Q289" s="158">
        <v>2.516</v>
      </c>
      <c r="R289" s="159"/>
      <c r="S289" s="159"/>
      <c r="T289" s="160"/>
      <c r="U289" s="171"/>
      <c r="V289" s="161">
        <v>1.5</v>
      </c>
      <c r="W289" s="161">
        <v>2.7</v>
      </c>
      <c r="X289" s="164"/>
      <c r="Y289" s="163"/>
      <c r="Z289" s="163"/>
      <c r="AA289" s="163"/>
      <c r="AB289" s="163"/>
      <c r="AC289" s="163"/>
      <c r="AD289" s="163"/>
      <c r="AE289" s="163"/>
      <c r="AF289" s="163"/>
      <c r="AG289" s="164"/>
      <c r="AH289" s="165"/>
      <c r="AI289" s="166"/>
      <c r="AJ289" s="167"/>
      <c r="AK289" s="168"/>
      <c r="AL289" s="168" t="s">
        <v>102</v>
      </c>
    </row>
    <row r="290" spans="1:38" ht="31.95" customHeight="1" x14ac:dyDescent="0.3">
      <c r="A290" s="176">
        <v>44075</v>
      </c>
      <c r="B290" s="177">
        <v>0.6974999999999999</v>
      </c>
      <c r="C290" s="149"/>
      <c r="D290" s="149">
        <v>60</v>
      </c>
      <c r="E290" s="149"/>
      <c r="F290" s="149"/>
      <c r="G290" s="150">
        <v>30</v>
      </c>
      <c r="H290" s="151" t="s">
        <v>66</v>
      </c>
      <c r="I290" s="170" t="s">
        <v>104</v>
      </c>
      <c r="J290" s="152"/>
      <c r="K290" s="153">
        <v>2800</v>
      </c>
      <c r="L290" s="154" t="s">
        <v>58</v>
      </c>
      <c r="M290" s="155" t="s">
        <v>58</v>
      </c>
      <c r="N290" s="155" t="s">
        <v>58</v>
      </c>
      <c r="O290" s="156" t="s">
        <v>58</v>
      </c>
      <c r="P290" s="183">
        <v>80</v>
      </c>
      <c r="Q290" s="158">
        <v>1.2579999999999998</v>
      </c>
      <c r="R290" s="159"/>
      <c r="S290" s="159"/>
      <c r="T290" s="160"/>
      <c r="U290" s="171"/>
      <c r="V290" s="161"/>
      <c r="W290" s="161"/>
      <c r="X290" s="164"/>
      <c r="Y290" s="163"/>
      <c r="Z290" s="163"/>
      <c r="AA290" s="163"/>
      <c r="AB290" s="163"/>
      <c r="AC290" s="163"/>
      <c r="AD290" s="163"/>
      <c r="AE290" s="163"/>
      <c r="AF290" s="163"/>
      <c r="AG290" s="164"/>
      <c r="AH290" s="165"/>
      <c r="AI290" s="166"/>
      <c r="AJ290" s="167"/>
      <c r="AK290" s="168"/>
      <c r="AL290" s="168" t="s">
        <v>368</v>
      </c>
    </row>
    <row r="291" spans="1:38" ht="31.95" customHeight="1" x14ac:dyDescent="0.3">
      <c r="A291" s="176">
        <v>44075</v>
      </c>
      <c r="B291" s="177">
        <v>0.69839120370370367</v>
      </c>
      <c r="C291" s="149"/>
      <c r="D291" s="149">
        <v>120</v>
      </c>
      <c r="E291" s="149"/>
      <c r="F291" s="149"/>
      <c r="G291" s="150">
        <v>30</v>
      </c>
      <c r="H291" s="151" t="s">
        <v>62</v>
      </c>
      <c r="I291" s="178" t="s">
        <v>58</v>
      </c>
      <c r="J291" s="152"/>
      <c r="K291" s="153">
        <v>2800</v>
      </c>
      <c r="L291" s="154" t="s">
        <v>58</v>
      </c>
      <c r="M291" s="155" t="s">
        <v>58</v>
      </c>
      <c r="N291" s="155" t="s">
        <v>58</v>
      </c>
      <c r="O291" s="156" t="s">
        <v>58</v>
      </c>
      <c r="P291" s="157">
        <v>80</v>
      </c>
      <c r="Q291" s="158">
        <v>1.2579999999999998</v>
      </c>
      <c r="R291" s="159"/>
      <c r="S291" s="159"/>
      <c r="T291" s="160"/>
      <c r="U291" s="171"/>
      <c r="V291" s="161">
        <v>0.5</v>
      </c>
      <c r="W291" s="161">
        <v>2.2000000000000002</v>
      </c>
      <c r="X291" s="164"/>
      <c r="Y291" s="163"/>
      <c r="Z291" s="163"/>
      <c r="AA291" s="163"/>
      <c r="AB291" s="163"/>
      <c r="AC291" s="163"/>
      <c r="AD291" s="163"/>
      <c r="AE291" s="163"/>
      <c r="AF291" s="163"/>
      <c r="AG291" s="164"/>
      <c r="AH291" s="165"/>
      <c r="AI291" s="166"/>
      <c r="AJ291" s="167"/>
      <c r="AK291" s="168"/>
      <c r="AL291" s="168" t="s">
        <v>369</v>
      </c>
    </row>
    <row r="292" spans="1:38" ht="31.95" customHeight="1" x14ac:dyDescent="0.3">
      <c r="A292" s="176">
        <v>44075</v>
      </c>
      <c r="B292" s="177">
        <v>0.69986111111111116</v>
      </c>
      <c r="C292" s="149"/>
      <c r="D292" s="149"/>
      <c r="E292" s="149"/>
      <c r="F292" s="149"/>
      <c r="G292" s="150" t="s">
        <v>58</v>
      </c>
      <c r="H292" s="151" t="s">
        <v>66</v>
      </c>
      <c r="I292" s="170" t="s">
        <v>67</v>
      </c>
      <c r="J292" s="152"/>
      <c r="K292" s="153">
        <v>3100</v>
      </c>
      <c r="L292" s="154" t="s">
        <v>58</v>
      </c>
      <c r="M292" s="155" t="s">
        <v>58</v>
      </c>
      <c r="N292" s="155" t="s">
        <v>58</v>
      </c>
      <c r="O292" s="156" t="s">
        <v>58</v>
      </c>
      <c r="P292" s="157" t="s">
        <v>58</v>
      </c>
      <c r="Q292" s="158" t="s">
        <v>58</v>
      </c>
      <c r="R292" s="171"/>
      <c r="S292" s="171"/>
      <c r="T292" s="172"/>
      <c r="U292" s="171"/>
      <c r="V292" s="173"/>
      <c r="W292" s="173"/>
      <c r="X292" s="162"/>
      <c r="Y292" s="174"/>
      <c r="Z292" s="174"/>
      <c r="AA292" s="174"/>
      <c r="AB292" s="174"/>
      <c r="AC292" s="174"/>
      <c r="AD292" s="174"/>
      <c r="AE292" s="174"/>
      <c r="AF292" s="174"/>
      <c r="AG292" s="162"/>
      <c r="AH292" s="175"/>
      <c r="AI292" s="166"/>
      <c r="AJ292" s="168"/>
      <c r="AK292" s="168"/>
      <c r="AL292" s="168"/>
    </row>
    <row r="293" spans="1:38" ht="31.95" customHeight="1" x14ac:dyDescent="0.3">
      <c r="A293" s="147">
        <v>44075</v>
      </c>
      <c r="B293" s="148">
        <v>0.70000000000000007</v>
      </c>
      <c r="C293" s="149"/>
      <c r="D293" s="149">
        <v>60</v>
      </c>
      <c r="E293" s="149"/>
      <c r="F293" s="149"/>
      <c r="G293" s="150" t="s">
        <v>58</v>
      </c>
      <c r="H293" s="151" t="s">
        <v>66</v>
      </c>
      <c r="I293" s="170" t="s">
        <v>104</v>
      </c>
      <c r="J293" s="152"/>
      <c r="K293" s="153">
        <v>3100</v>
      </c>
      <c r="L293" s="154" t="s">
        <v>58</v>
      </c>
      <c r="M293" s="155" t="s">
        <v>58</v>
      </c>
      <c r="N293" s="155" t="s">
        <v>58</v>
      </c>
      <c r="O293" s="156" t="s">
        <v>58</v>
      </c>
      <c r="P293" s="183">
        <v>10</v>
      </c>
      <c r="Q293" s="158">
        <v>6.3179999999999996</v>
      </c>
      <c r="R293" s="171"/>
      <c r="S293" s="171"/>
      <c r="T293" s="172"/>
      <c r="U293" s="171"/>
      <c r="V293" s="173"/>
      <c r="W293" s="173"/>
      <c r="X293" s="162"/>
      <c r="Y293" s="174"/>
      <c r="Z293" s="174"/>
      <c r="AA293" s="174"/>
      <c r="AB293" s="174"/>
      <c r="AC293" s="174"/>
      <c r="AD293" s="174"/>
      <c r="AE293" s="174"/>
      <c r="AF293" s="174"/>
      <c r="AG293" s="162"/>
      <c r="AH293" s="175"/>
      <c r="AI293" s="166"/>
      <c r="AJ293" s="168"/>
      <c r="AK293" s="168"/>
      <c r="AL293" s="168" t="s">
        <v>368</v>
      </c>
    </row>
    <row r="294" spans="1:38" ht="31.95" customHeight="1" x14ac:dyDescent="0.3">
      <c r="A294" s="176">
        <v>44075</v>
      </c>
      <c r="B294" s="177">
        <v>0.70042824074074073</v>
      </c>
      <c r="C294" s="149"/>
      <c r="D294" s="149">
        <v>120</v>
      </c>
      <c r="E294" s="149"/>
      <c r="F294" s="149"/>
      <c r="G294" s="150">
        <v>31</v>
      </c>
      <c r="H294" s="151" t="s">
        <v>62</v>
      </c>
      <c r="I294" s="178" t="s">
        <v>58</v>
      </c>
      <c r="J294" s="152"/>
      <c r="K294" s="153">
        <v>3100</v>
      </c>
      <c r="L294" s="154" t="s">
        <v>58</v>
      </c>
      <c r="M294" s="155" t="s">
        <v>58</v>
      </c>
      <c r="N294" s="155" t="s">
        <v>58</v>
      </c>
      <c r="O294" s="156" t="s">
        <v>58</v>
      </c>
      <c r="P294" s="157">
        <v>10</v>
      </c>
      <c r="Q294" s="158">
        <v>6.3179999999999996</v>
      </c>
      <c r="R294" s="159"/>
      <c r="S294" s="159"/>
      <c r="T294" s="160"/>
      <c r="U294" s="171"/>
      <c r="V294" s="161">
        <v>4.8</v>
      </c>
      <c r="W294" s="161">
        <v>5.3</v>
      </c>
      <c r="X294" s="164"/>
      <c r="Y294" s="163"/>
      <c r="Z294" s="163"/>
      <c r="AA294" s="163"/>
      <c r="AB294" s="163"/>
      <c r="AC294" s="163"/>
      <c r="AD294" s="163"/>
      <c r="AE294" s="163"/>
      <c r="AF294" s="163"/>
      <c r="AG294" s="164"/>
      <c r="AH294" s="165"/>
      <c r="AI294" s="166"/>
      <c r="AJ294" s="167"/>
      <c r="AK294" s="168"/>
      <c r="AL294" s="168" t="s">
        <v>360</v>
      </c>
    </row>
    <row r="295" spans="1:38" ht="31.95" customHeight="1" x14ac:dyDescent="0.3">
      <c r="A295" s="147">
        <v>44075</v>
      </c>
      <c r="B295" s="148">
        <v>0.70193287037037033</v>
      </c>
      <c r="C295" s="149"/>
      <c r="D295" s="149">
        <v>60</v>
      </c>
      <c r="E295" s="149"/>
      <c r="F295" s="149"/>
      <c r="G295" s="150">
        <v>31</v>
      </c>
      <c r="H295" s="151" t="s">
        <v>66</v>
      </c>
      <c r="I295" s="170" t="s">
        <v>104</v>
      </c>
      <c r="J295" s="152"/>
      <c r="K295" s="153">
        <v>3100</v>
      </c>
      <c r="L295" s="154" t="s">
        <v>58</v>
      </c>
      <c r="M295" s="155" t="s">
        <v>58</v>
      </c>
      <c r="N295" s="155" t="s">
        <v>58</v>
      </c>
      <c r="O295" s="156" t="s">
        <v>58</v>
      </c>
      <c r="P295" s="183">
        <v>20</v>
      </c>
      <c r="Q295" s="158">
        <v>5.6159999999999997</v>
      </c>
      <c r="R295" s="171"/>
      <c r="S295" s="171"/>
      <c r="T295" s="172"/>
      <c r="U295" s="171"/>
      <c r="V295" s="173"/>
      <c r="W295" s="173"/>
      <c r="X295" s="162"/>
      <c r="Y295" s="174"/>
      <c r="Z295" s="174"/>
      <c r="AA295" s="174"/>
      <c r="AB295" s="174"/>
      <c r="AC295" s="174"/>
      <c r="AD295" s="174"/>
      <c r="AE295" s="174"/>
      <c r="AF295" s="174"/>
      <c r="AG295" s="162"/>
      <c r="AH295" s="175"/>
      <c r="AI295" s="166"/>
      <c r="AJ295" s="168"/>
      <c r="AK295" s="168"/>
      <c r="AL295" s="168" t="s">
        <v>368</v>
      </c>
    </row>
    <row r="296" spans="1:38" ht="31.95" customHeight="1" x14ac:dyDescent="0.3">
      <c r="A296" s="176">
        <v>44075</v>
      </c>
      <c r="B296" s="177">
        <v>0.70265046296296296</v>
      </c>
      <c r="C296" s="149"/>
      <c r="D296" s="149">
        <v>120</v>
      </c>
      <c r="E296" s="149"/>
      <c r="F296" s="149"/>
      <c r="G296" s="150">
        <v>31</v>
      </c>
      <c r="H296" s="151" t="s">
        <v>62</v>
      </c>
      <c r="I296" s="178" t="s">
        <v>58</v>
      </c>
      <c r="J296" s="152"/>
      <c r="K296" s="153">
        <v>3100</v>
      </c>
      <c r="L296" s="154" t="s">
        <v>58</v>
      </c>
      <c r="M296" s="155" t="s">
        <v>58</v>
      </c>
      <c r="N296" s="155" t="s">
        <v>58</v>
      </c>
      <c r="O296" s="156" t="s">
        <v>58</v>
      </c>
      <c r="P296" s="157">
        <v>20</v>
      </c>
      <c r="Q296" s="158">
        <v>5.6159999999999997</v>
      </c>
      <c r="R296" s="159"/>
      <c r="S296" s="159"/>
      <c r="T296" s="160"/>
      <c r="U296" s="171"/>
      <c r="V296" s="161">
        <v>4.0999999999999996</v>
      </c>
      <c r="W296" s="161">
        <v>5</v>
      </c>
      <c r="X296" s="164"/>
      <c r="Y296" s="163"/>
      <c r="Z296" s="163"/>
      <c r="AA296" s="163"/>
      <c r="AB296" s="163"/>
      <c r="AC296" s="163"/>
      <c r="AD296" s="163"/>
      <c r="AE296" s="163"/>
      <c r="AF296" s="163"/>
      <c r="AG296" s="164"/>
      <c r="AH296" s="165"/>
      <c r="AI296" s="166"/>
      <c r="AJ296" s="167"/>
      <c r="AK296" s="168"/>
      <c r="AL296" s="168" t="s">
        <v>100</v>
      </c>
    </row>
    <row r="297" spans="1:38" ht="31.95" customHeight="1" x14ac:dyDescent="0.3">
      <c r="A297" s="176">
        <v>44075</v>
      </c>
      <c r="B297" s="177">
        <v>0.70420138888888895</v>
      </c>
      <c r="C297" s="149"/>
      <c r="D297" s="149">
        <v>60</v>
      </c>
      <c r="E297" s="149"/>
      <c r="F297" s="149"/>
      <c r="G297" s="150">
        <v>31</v>
      </c>
      <c r="H297" s="151" t="s">
        <v>66</v>
      </c>
      <c r="I297" s="170" t="s">
        <v>104</v>
      </c>
      <c r="J297" s="152"/>
      <c r="K297" s="153">
        <v>3100</v>
      </c>
      <c r="L297" s="154" t="s">
        <v>58</v>
      </c>
      <c r="M297" s="155" t="s">
        <v>58</v>
      </c>
      <c r="N297" s="155" t="s">
        <v>58</v>
      </c>
      <c r="O297" s="156" t="s">
        <v>58</v>
      </c>
      <c r="P297" s="183">
        <v>40</v>
      </c>
      <c r="Q297" s="158">
        <v>4.2119999999999997</v>
      </c>
      <c r="R297" s="159"/>
      <c r="S297" s="159"/>
      <c r="T297" s="160"/>
      <c r="U297" s="171"/>
      <c r="V297" s="161"/>
      <c r="W297" s="161"/>
      <c r="X297" s="164"/>
      <c r="Y297" s="163"/>
      <c r="Z297" s="163"/>
      <c r="AA297" s="163"/>
      <c r="AB297" s="163"/>
      <c r="AC297" s="163"/>
      <c r="AD297" s="163"/>
      <c r="AE297" s="163"/>
      <c r="AF297" s="163"/>
      <c r="AG297" s="164"/>
      <c r="AH297" s="165"/>
      <c r="AI297" s="166"/>
      <c r="AJ297" s="167"/>
      <c r="AK297" s="168"/>
      <c r="AL297" s="168" t="s">
        <v>368</v>
      </c>
    </row>
    <row r="298" spans="1:38" ht="31.95" customHeight="1" x14ac:dyDescent="0.3">
      <c r="A298" s="176">
        <v>44075</v>
      </c>
      <c r="B298" s="177">
        <v>0.705011574074074</v>
      </c>
      <c r="C298" s="149"/>
      <c r="D298" s="149">
        <v>120</v>
      </c>
      <c r="E298" s="149"/>
      <c r="F298" s="149"/>
      <c r="G298" s="150">
        <v>31</v>
      </c>
      <c r="H298" s="151" t="s">
        <v>62</v>
      </c>
      <c r="I298" s="178" t="s">
        <v>58</v>
      </c>
      <c r="J298" s="152"/>
      <c r="K298" s="153">
        <v>3100</v>
      </c>
      <c r="L298" s="154" t="s">
        <v>58</v>
      </c>
      <c r="M298" s="155" t="s">
        <v>58</v>
      </c>
      <c r="N298" s="155" t="s">
        <v>58</v>
      </c>
      <c r="O298" s="156" t="s">
        <v>58</v>
      </c>
      <c r="P298" s="157">
        <v>40</v>
      </c>
      <c r="Q298" s="158">
        <v>4.2119999999999997</v>
      </c>
      <c r="R298" s="159"/>
      <c r="S298" s="159"/>
      <c r="T298" s="160"/>
      <c r="U298" s="171"/>
      <c r="V298" s="161">
        <v>2.9</v>
      </c>
      <c r="W298" s="161">
        <v>4.3</v>
      </c>
      <c r="X298" s="164"/>
      <c r="Y298" s="163"/>
      <c r="Z298" s="163"/>
      <c r="AA298" s="163"/>
      <c r="AB298" s="163"/>
      <c r="AC298" s="163"/>
      <c r="AD298" s="163"/>
      <c r="AE298" s="163"/>
      <c r="AF298" s="163"/>
      <c r="AG298" s="164"/>
      <c r="AH298" s="165"/>
      <c r="AI298" s="166"/>
      <c r="AJ298" s="167"/>
      <c r="AK298" s="168"/>
      <c r="AL298" s="168" t="s">
        <v>101</v>
      </c>
    </row>
    <row r="299" spans="1:38" ht="31.95" customHeight="1" x14ac:dyDescent="0.3">
      <c r="A299" s="176">
        <v>44075</v>
      </c>
      <c r="B299" s="177">
        <v>0.70646990740740734</v>
      </c>
      <c r="C299" s="149"/>
      <c r="D299" s="149">
        <v>60</v>
      </c>
      <c r="E299" s="149"/>
      <c r="F299" s="149"/>
      <c r="G299" s="150">
        <v>31</v>
      </c>
      <c r="H299" s="151" t="s">
        <v>66</v>
      </c>
      <c r="I299" s="170" t="s">
        <v>104</v>
      </c>
      <c r="J299" s="152"/>
      <c r="K299" s="153">
        <v>3100</v>
      </c>
      <c r="L299" s="154" t="s">
        <v>58</v>
      </c>
      <c r="M299" s="155" t="s">
        <v>58</v>
      </c>
      <c r="N299" s="155" t="s">
        <v>58</v>
      </c>
      <c r="O299" s="156" t="s">
        <v>58</v>
      </c>
      <c r="P299" s="183">
        <v>60</v>
      </c>
      <c r="Q299" s="158">
        <v>2.8079999999999998</v>
      </c>
      <c r="R299" s="159"/>
      <c r="S299" s="159"/>
      <c r="T299" s="160"/>
      <c r="U299" s="171"/>
      <c r="V299" s="161"/>
      <c r="W299" s="161"/>
      <c r="X299" s="164"/>
      <c r="Y299" s="163"/>
      <c r="Z299" s="163"/>
      <c r="AA299" s="163"/>
      <c r="AB299" s="163"/>
      <c r="AC299" s="163"/>
      <c r="AD299" s="163"/>
      <c r="AE299" s="163"/>
      <c r="AF299" s="163"/>
      <c r="AG299" s="164"/>
      <c r="AH299" s="165"/>
      <c r="AI299" s="166"/>
      <c r="AJ299" s="167"/>
      <c r="AK299" s="168"/>
      <c r="AL299" s="168" t="s">
        <v>368</v>
      </c>
    </row>
    <row r="300" spans="1:38" ht="31.95" customHeight="1" x14ac:dyDescent="0.3">
      <c r="A300" s="176">
        <v>44075</v>
      </c>
      <c r="B300" s="177">
        <v>0.70731481481481484</v>
      </c>
      <c r="C300" s="149"/>
      <c r="D300" s="149">
        <v>120</v>
      </c>
      <c r="E300" s="149"/>
      <c r="F300" s="149"/>
      <c r="G300" s="150">
        <v>31</v>
      </c>
      <c r="H300" s="151" t="s">
        <v>62</v>
      </c>
      <c r="I300" s="178" t="s">
        <v>58</v>
      </c>
      <c r="J300" s="152"/>
      <c r="K300" s="153">
        <v>3100</v>
      </c>
      <c r="L300" s="154" t="s">
        <v>58</v>
      </c>
      <c r="M300" s="155" t="s">
        <v>58</v>
      </c>
      <c r="N300" s="155" t="s">
        <v>58</v>
      </c>
      <c r="O300" s="156" t="s">
        <v>58</v>
      </c>
      <c r="P300" s="157">
        <v>60</v>
      </c>
      <c r="Q300" s="158">
        <v>2.8079999999999998</v>
      </c>
      <c r="R300" s="159"/>
      <c r="S300" s="159"/>
      <c r="T300" s="160"/>
      <c r="U300" s="171"/>
      <c r="V300" s="161">
        <v>1.7</v>
      </c>
      <c r="W300" s="161">
        <v>3.6</v>
      </c>
      <c r="X300" s="164"/>
      <c r="Y300" s="163"/>
      <c r="Z300" s="163"/>
      <c r="AA300" s="163"/>
      <c r="AB300" s="163"/>
      <c r="AC300" s="163"/>
      <c r="AD300" s="163"/>
      <c r="AE300" s="163"/>
      <c r="AF300" s="163"/>
      <c r="AG300" s="164"/>
      <c r="AH300" s="165"/>
      <c r="AI300" s="166"/>
      <c r="AJ300" s="167"/>
      <c r="AK300" s="168"/>
      <c r="AL300" s="168" t="s">
        <v>102</v>
      </c>
    </row>
    <row r="301" spans="1:38" ht="31.95" customHeight="1" x14ac:dyDescent="0.3">
      <c r="A301" s="176">
        <v>44075</v>
      </c>
      <c r="B301" s="177">
        <v>0.7088078703703703</v>
      </c>
      <c r="C301" s="149"/>
      <c r="D301" s="149">
        <v>60</v>
      </c>
      <c r="E301" s="149"/>
      <c r="F301" s="149"/>
      <c r="G301" s="150">
        <v>31</v>
      </c>
      <c r="H301" s="151" t="s">
        <v>66</v>
      </c>
      <c r="I301" s="170" t="s">
        <v>104</v>
      </c>
      <c r="J301" s="152"/>
      <c r="K301" s="153">
        <v>3100</v>
      </c>
      <c r="L301" s="154" t="s">
        <v>58</v>
      </c>
      <c r="M301" s="155" t="s">
        <v>58</v>
      </c>
      <c r="N301" s="155" t="s">
        <v>58</v>
      </c>
      <c r="O301" s="156" t="s">
        <v>58</v>
      </c>
      <c r="P301" s="183">
        <v>80</v>
      </c>
      <c r="Q301" s="158">
        <v>1.4039999999999997</v>
      </c>
      <c r="R301" s="159"/>
      <c r="S301" s="159"/>
      <c r="T301" s="160"/>
      <c r="U301" s="171"/>
      <c r="V301" s="161"/>
      <c r="W301" s="161"/>
      <c r="X301" s="164"/>
      <c r="Y301" s="163"/>
      <c r="Z301" s="163"/>
      <c r="AA301" s="163"/>
      <c r="AB301" s="163"/>
      <c r="AC301" s="163"/>
      <c r="AD301" s="163"/>
      <c r="AE301" s="163"/>
      <c r="AF301" s="163"/>
      <c r="AG301" s="164"/>
      <c r="AH301" s="165"/>
      <c r="AI301" s="166"/>
      <c r="AJ301" s="167"/>
      <c r="AK301" s="168"/>
      <c r="AL301" s="168" t="s">
        <v>368</v>
      </c>
    </row>
    <row r="302" spans="1:38" ht="31.95" customHeight="1" x14ac:dyDescent="0.3">
      <c r="A302" s="176">
        <v>44075</v>
      </c>
      <c r="B302" s="177">
        <v>0.70954861111111101</v>
      </c>
      <c r="C302" s="149"/>
      <c r="D302" s="149">
        <v>120</v>
      </c>
      <c r="E302" s="149"/>
      <c r="F302" s="149"/>
      <c r="G302" s="150">
        <v>31</v>
      </c>
      <c r="H302" s="151" t="s">
        <v>62</v>
      </c>
      <c r="I302" s="178" t="s">
        <v>58</v>
      </c>
      <c r="J302" s="152"/>
      <c r="K302" s="153">
        <v>3100</v>
      </c>
      <c r="L302" s="154" t="s">
        <v>58</v>
      </c>
      <c r="M302" s="155" t="s">
        <v>58</v>
      </c>
      <c r="N302" s="155" t="s">
        <v>58</v>
      </c>
      <c r="O302" s="156" t="s">
        <v>58</v>
      </c>
      <c r="P302" s="157">
        <v>80</v>
      </c>
      <c r="Q302" s="158">
        <v>1.4039999999999997</v>
      </c>
      <c r="R302" s="159"/>
      <c r="S302" s="159"/>
      <c r="T302" s="160"/>
      <c r="U302" s="171"/>
      <c r="V302" s="161">
        <v>0.6</v>
      </c>
      <c r="W302" s="161">
        <v>2.9</v>
      </c>
      <c r="X302" s="164"/>
      <c r="Y302" s="163"/>
      <c r="Z302" s="163"/>
      <c r="AA302" s="163"/>
      <c r="AB302" s="163"/>
      <c r="AC302" s="163"/>
      <c r="AD302" s="163"/>
      <c r="AE302" s="163"/>
      <c r="AF302" s="163"/>
      <c r="AG302" s="164"/>
      <c r="AH302" s="165"/>
      <c r="AI302" s="166"/>
      <c r="AJ302" s="167"/>
      <c r="AK302" s="168"/>
      <c r="AL302" s="168" t="s">
        <v>369</v>
      </c>
    </row>
    <row r="303" spans="1:38" ht="31.95" customHeight="1" x14ac:dyDescent="0.3">
      <c r="A303" s="147">
        <v>44075</v>
      </c>
      <c r="B303" s="148">
        <v>0.71105324074074072</v>
      </c>
      <c r="C303" s="149"/>
      <c r="D303" s="149">
        <v>60</v>
      </c>
      <c r="E303" s="149"/>
      <c r="F303" s="149"/>
      <c r="G303" s="150" t="s">
        <v>58</v>
      </c>
      <c r="H303" s="151" t="s">
        <v>66</v>
      </c>
      <c r="I303" s="170" t="s">
        <v>104</v>
      </c>
      <c r="J303" s="152"/>
      <c r="K303" s="153">
        <v>3100</v>
      </c>
      <c r="L303" s="154" t="s">
        <v>58</v>
      </c>
      <c r="M303" s="155" t="s">
        <v>58</v>
      </c>
      <c r="N303" s="155" t="s">
        <v>58</v>
      </c>
      <c r="O303" s="156" t="s">
        <v>58</v>
      </c>
      <c r="P303" s="183">
        <v>0</v>
      </c>
      <c r="Q303" s="158" t="s">
        <v>58</v>
      </c>
      <c r="R303" s="171"/>
      <c r="S303" s="171"/>
      <c r="T303" s="172"/>
      <c r="U303" s="171"/>
      <c r="V303" s="173"/>
      <c r="W303" s="173"/>
      <c r="X303" s="162"/>
      <c r="Y303" s="174"/>
      <c r="Z303" s="174"/>
      <c r="AA303" s="174"/>
      <c r="AB303" s="174"/>
      <c r="AC303" s="174"/>
      <c r="AD303" s="174"/>
      <c r="AE303" s="174"/>
      <c r="AF303" s="174"/>
      <c r="AG303" s="162"/>
      <c r="AH303" s="175"/>
      <c r="AI303" s="166"/>
      <c r="AJ303" s="168"/>
      <c r="AK303" s="168"/>
      <c r="AL303" s="168"/>
    </row>
    <row r="304" spans="1:38" ht="31.95" customHeight="1" x14ac:dyDescent="0.3">
      <c r="A304" s="147">
        <v>44075</v>
      </c>
      <c r="B304" s="148">
        <v>0.71199074074074076</v>
      </c>
      <c r="C304" s="149"/>
      <c r="D304" s="149">
        <v>60</v>
      </c>
      <c r="E304" s="149"/>
      <c r="F304" s="149"/>
      <c r="G304" s="150">
        <v>32</v>
      </c>
      <c r="H304" s="151" t="s">
        <v>77</v>
      </c>
      <c r="I304" s="170" t="s">
        <v>58</v>
      </c>
      <c r="J304" s="152"/>
      <c r="K304" s="153">
        <v>3100</v>
      </c>
      <c r="L304" s="154" t="s">
        <v>58</v>
      </c>
      <c r="M304" s="155" t="s">
        <v>58</v>
      </c>
      <c r="N304" s="155" t="s">
        <v>58</v>
      </c>
      <c r="O304" s="156" t="s">
        <v>58</v>
      </c>
      <c r="P304" s="157" t="s">
        <v>58</v>
      </c>
      <c r="Q304" s="158" t="s">
        <v>58</v>
      </c>
      <c r="R304" s="171"/>
      <c r="S304" s="171"/>
      <c r="T304" s="172"/>
      <c r="U304" s="171"/>
      <c r="V304" s="173">
        <v>5.4</v>
      </c>
      <c r="W304" s="173">
        <v>5.6</v>
      </c>
      <c r="X304" s="162">
        <v>7</v>
      </c>
      <c r="Y304" s="174"/>
      <c r="Z304" s="174"/>
      <c r="AA304" s="174"/>
      <c r="AB304" s="174"/>
      <c r="AC304" s="174"/>
      <c r="AD304" s="174"/>
      <c r="AE304" s="174"/>
      <c r="AF304" s="174"/>
      <c r="AG304" s="162"/>
      <c r="AH304" s="175"/>
      <c r="AI304" s="166"/>
      <c r="AJ304" s="168"/>
      <c r="AK304" s="168"/>
      <c r="AL304" s="168" t="s">
        <v>93</v>
      </c>
    </row>
    <row r="305" spans="1:38" ht="31.95" customHeight="1" x14ac:dyDescent="0.3">
      <c r="A305" s="147">
        <v>44075</v>
      </c>
      <c r="B305" s="148">
        <v>0.7128472222222223</v>
      </c>
      <c r="C305" s="149"/>
      <c r="D305" s="149">
        <v>30</v>
      </c>
      <c r="E305" s="149"/>
      <c r="F305" s="149"/>
      <c r="G305" s="150">
        <v>32</v>
      </c>
      <c r="H305" s="151" t="s">
        <v>66</v>
      </c>
      <c r="I305" s="170" t="s">
        <v>67</v>
      </c>
      <c r="J305" s="152"/>
      <c r="K305" s="153">
        <v>2800</v>
      </c>
      <c r="L305" s="154" t="s">
        <v>58</v>
      </c>
      <c r="M305" s="155" t="s">
        <v>58</v>
      </c>
      <c r="N305" s="155" t="s">
        <v>58</v>
      </c>
      <c r="O305" s="156" t="s">
        <v>58</v>
      </c>
      <c r="P305" s="157" t="s">
        <v>58</v>
      </c>
      <c r="Q305" s="158" t="s">
        <v>58</v>
      </c>
      <c r="R305" s="171"/>
      <c r="S305" s="171"/>
      <c r="T305" s="172"/>
      <c r="U305" s="171"/>
      <c r="V305" s="173"/>
      <c r="W305" s="173"/>
      <c r="X305" s="162"/>
      <c r="Y305" s="174"/>
      <c r="Z305" s="174"/>
      <c r="AA305" s="174"/>
      <c r="AB305" s="174"/>
      <c r="AC305" s="174"/>
      <c r="AD305" s="174"/>
      <c r="AE305" s="174"/>
      <c r="AF305" s="174"/>
      <c r="AG305" s="162"/>
      <c r="AH305" s="175"/>
      <c r="AI305" s="166"/>
      <c r="AJ305" s="168"/>
      <c r="AK305" s="168"/>
      <c r="AL305" s="168" t="s">
        <v>94</v>
      </c>
    </row>
    <row r="306" spans="1:38" ht="31.95" customHeight="1" x14ac:dyDescent="0.3">
      <c r="A306" s="147">
        <v>44075</v>
      </c>
      <c r="B306" s="148">
        <v>0.71332175925925922</v>
      </c>
      <c r="C306" s="149"/>
      <c r="D306" s="149">
        <v>60</v>
      </c>
      <c r="E306" s="149"/>
      <c r="F306" s="149"/>
      <c r="G306" s="150">
        <v>32</v>
      </c>
      <c r="H306" s="151" t="s">
        <v>85</v>
      </c>
      <c r="I306" s="170" t="s">
        <v>58</v>
      </c>
      <c r="J306" s="152"/>
      <c r="K306" s="153">
        <v>2800</v>
      </c>
      <c r="L306" s="154" t="s">
        <v>58</v>
      </c>
      <c r="M306" s="155" t="s">
        <v>58</v>
      </c>
      <c r="N306" s="155" t="s">
        <v>58</v>
      </c>
      <c r="O306" s="156" t="s">
        <v>58</v>
      </c>
      <c r="P306" s="157" t="s">
        <v>58</v>
      </c>
      <c r="Q306" s="158" t="s">
        <v>58</v>
      </c>
      <c r="R306" s="171"/>
      <c r="S306" s="171"/>
      <c r="T306" s="172"/>
      <c r="U306" s="171"/>
      <c r="V306" s="173">
        <v>4.5</v>
      </c>
      <c r="W306" s="173">
        <v>4.0999999999999996</v>
      </c>
      <c r="X306" s="162">
        <v>6.27</v>
      </c>
      <c r="Y306" s="174"/>
      <c r="Z306" s="174"/>
      <c r="AA306" s="174"/>
      <c r="AB306" s="174"/>
      <c r="AC306" s="174"/>
      <c r="AD306" s="174"/>
      <c r="AE306" s="174"/>
      <c r="AF306" s="174"/>
      <c r="AG306" s="162"/>
      <c r="AH306" s="175"/>
      <c r="AI306" s="166"/>
      <c r="AJ306" s="168"/>
      <c r="AK306" s="168"/>
      <c r="AL306" s="168" t="s">
        <v>95</v>
      </c>
    </row>
    <row r="307" spans="1:38" ht="31.95" customHeight="1" x14ac:dyDescent="0.3">
      <c r="A307" s="147">
        <v>44075</v>
      </c>
      <c r="B307" s="148">
        <v>0.71403935185185186</v>
      </c>
      <c r="C307" s="149"/>
      <c r="D307" s="149">
        <v>30</v>
      </c>
      <c r="E307" s="149"/>
      <c r="F307" s="149"/>
      <c r="G307" s="150">
        <v>32</v>
      </c>
      <c r="H307" s="151" t="s">
        <v>66</v>
      </c>
      <c r="I307" s="170" t="s">
        <v>67</v>
      </c>
      <c r="J307" s="152"/>
      <c r="K307" s="153">
        <v>2500</v>
      </c>
      <c r="L307" s="154" t="s">
        <v>58</v>
      </c>
      <c r="M307" s="155" t="s">
        <v>58</v>
      </c>
      <c r="N307" s="155" t="s">
        <v>58</v>
      </c>
      <c r="O307" s="156" t="s">
        <v>58</v>
      </c>
      <c r="P307" s="157" t="s">
        <v>58</v>
      </c>
      <c r="Q307" s="158" t="s">
        <v>58</v>
      </c>
      <c r="R307" s="171"/>
      <c r="S307" s="171"/>
      <c r="T307" s="172"/>
      <c r="U307" s="171"/>
      <c r="V307" s="173"/>
      <c r="W307" s="173"/>
      <c r="X307" s="162"/>
      <c r="Y307" s="174"/>
      <c r="Z307" s="174"/>
      <c r="AA307" s="174"/>
      <c r="AB307" s="174"/>
      <c r="AC307" s="174"/>
      <c r="AD307" s="174"/>
      <c r="AE307" s="174"/>
      <c r="AF307" s="174"/>
      <c r="AG307" s="162"/>
      <c r="AH307" s="175"/>
      <c r="AI307" s="166"/>
      <c r="AJ307" s="168"/>
      <c r="AK307" s="168"/>
      <c r="AL307" s="168" t="s">
        <v>96</v>
      </c>
    </row>
    <row r="308" spans="1:38" ht="31.95" customHeight="1" x14ac:dyDescent="0.3">
      <c r="A308" s="147">
        <v>44075</v>
      </c>
      <c r="B308" s="148">
        <v>0.71450231481481474</v>
      </c>
      <c r="C308" s="149"/>
      <c r="D308" s="149">
        <v>60</v>
      </c>
      <c r="E308" s="149"/>
      <c r="F308" s="149"/>
      <c r="G308" s="150">
        <v>32</v>
      </c>
      <c r="H308" s="151" t="s">
        <v>77</v>
      </c>
      <c r="I308" s="170" t="s">
        <v>58</v>
      </c>
      <c r="J308" s="152"/>
      <c r="K308" s="153">
        <v>2500</v>
      </c>
      <c r="L308" s="154" t="s">
        <v>58</v>
      </c>
      <c r="M308" s="155" t="s">
        <v>58</v>
      </c>
      <c r="N308" s="155" t="s">
        <v>58</v>
      </c>
      <c r="O308" s="156" t="s">
        <v>58</v>
      </c>
      <c r="P308" s="157" t="s">
        <v>58</v>
      </c>
      <c r="Q308" s="158" t="s">
        <v>58</v>
      </c>
      <c r="R308" s="171"/>
      <c r="S308" s="171"/>
      <c r="T308" s="172"/>
      <c r="U308" s="171"/>
      <c r="V308" s="173">
        <v>4</v>
      </c>
      <c r="W308" s="173">
        <v>3</v>
      </c>
      <c r="X308" s="162">
        <v>5.55</v>
      </c>
      <c r="Y308" s="174"/>
      <c r="Z308" s="174"/>
      <c r="AA308" s="174"/>
      <c r="AB308" s="174"/>
      <c r="AC308" s="174"/>
      <c r="AD308" s="174"/>
      <c r="AE308" s="174"/>
      <c r="AF308" s="174"/>
      <c r="AG308" s="162"/>
      <c r="AH308" s="175"/>
      <c r="AI308" s="166"/>
      <c r="AJ308" s="168"/>
      <c r="AK308" s="168"/>
      <c r="AL308" s="168" t="s">
        <v>97</v>
      </c>
    </row>
    <row r="309" spans="1:38" ht="31.95" customHeight="1" x14ac:dyDescent="0.3">
      <c r="A309" s="147">
        <v>44075</v>
      </c>
      <c r="B309" s="148">
        <v>0.71527777777777779</v>
      </c>
      <c r="C309" s="149"/>
      <c r="D309" s="149">
        <v>30</v>
      </c>
      <c r="E309" s="149"/>
      <c r="F309" s="149"/>
      <c r="G309" s="150">
        <v>32</v>
      </c>
      <c r="H309" s="151" t="s">
        <v>66</v>
      </c>
      <c r="I309" s="170" t="s">
        <v>67</v>
      </c>
      <c r="J309" s="152"/>
      <c r="K309" s="153">
        <v>2200</v>
      </c>
      <c r="L309" s="154" t="s">
        <v>58</v>
      </c>
      <c r="M309" s="155" t="s">
        <v>58</v>
      </c>
      <c r="N309" s="155" t="s">
        <v>58</v>
      </c>
      <c r="O309" s="156" t="s">
        <v>58</v>
      </c>
      <c r="P309" s="157" t="s">
        <v>58</v>
      </c>
      <c r="Q309" s="158" t="s">
        <v>58</v>
      </c>
      <c r="R309" s="171"/>
      <c r="S309" s="171"/>
      <c r="T309" s="172"/>
      <c r="U309" s="171"/>
      <c r="V309" s="173"/>
      <c r="W309" s="173"/>
      <c r="X309" s="162"/>
      <c r="Y309" s="174"/>
      <c r="Z309" s="174"/>
      <c r="AA309" s="174"/>
      <c r="AB309" s="174"/>
      <c r="AC309" s="174"/>
      <c r="AD309" s="174"/>
      <c r="AE309" s="174"/>
      <c r="AF309" s="174"/>
      <c r="AG309" s="162"/>
      <c r="AH309" s="175"/>
      <c r="AI309" s="166"/>
      <c r="AJ309" s="168"/>
      <c r="AK309" s="168"/>
      <c r="AL309" s="168" t="s">
        <v>97</v>
      </c>
    </row>
    <row r="310" spans="1:38" ht="31.95" customHeight="1" x14ac:dyDescent="0.3">
      <c r="A310" s="147">
        <v>44075</v>
      </c>
      <c r="B310" s="148">
        <v>0.71576388888888898</v>
      </c>
      <c r="C310" s="149"/>
      <c r="D310" s="149">
        <v>60</v>
      </c>
      <c r="E310" s="149"/>
      <c r="F310" s="149"/>
      <c r="G310" s="150">
        <v>32</v>
      </c>
      <c r="H310" s="151" t="s">
        <v>77</v>
      </c>
      <c r="I310" s="170" t="s">
        <v>58</v>
      </c>
      <c r="J310" s="152"/>
      <c r="K310" s="153">
        <v>2200</v>
      </c>
      <c r="L310" s="154" t="s">
        <v>58</v>
      </c>
      <c r="M310" s="155" t="s">
        <v>58</v>
      </c>
      <c r="N310" s="155" t="s">
        <v>58</v>
      </c>
      <c r="O310" s="156" t="s">
        <v>58</v>
      </c>
      <c r="P310" s="157" t="s">
        <v>58</v>
      </c>
      <c r="Q310" s="158" t="s">
        <v>58</v>
      </c>
      <c r="R310" s="171"/>
      <c r="S310" s="171"/>
      <c r="T310" s="172"/>
      <c r="U310" s="171"/>
      <c r="V310" s="173">
        <v>3.3</v>
      </c>
      <c r="W310" s="173">
        <v>2.1</v>
      </c>
      <c r="X310" s="162">
        <v>4.82</v>
      </c>
      <c r="Y310" s="174"/>
      <c r="Z310" s="174"/>
      <c r="AA310" s="174"/>
      <c r="AB310" s="174"/>
      <c r="AC310" s="174"/>
      <c r="AD310" s="174"/>
      <c r="AE310" s="174"/>
      <c r="AF310" s="174"/>
      <c r="AG310" s="162"/>
      <c r="AH310" s="175"/>
      <c r="AI310" s="166"/>
      <c r="AJ310" s="168"/>
      <c r="AK310" s="168"/>
      <c r="AL310" s="168" t="s">
        <v>97</v>
      </c>
    </row>
    <row r="311" spans="1:38" ht="31.95" customHeight="1" x14ac:dyDescent="0.3">
      <c r="A311" s="147">
        <v>44075</v>
      </c>
      <c r="B311" s="148">
        <v>0.71659722222222222</v>
      </c>
      <c r="C311" s="149"/>
      <c r="D311" s="149">
        <v>30</v>
      </c>
      <c r="E311" s="149"/>
      <c r="F311" s="149"/>
      <c r="G311" s="150" t="s">
        <v>58</v>
      </c>
      <c r="H311" s="151" t="s">
        <v>66</v>
      </c>
      <c r="I311" s="170" t="s">
        <v>67</v>
      </c>
      <c r="J311" s="152"/>
      <c r="K311" s="153">
        <v>2100</v>
      </c>
      <c r="L311" s="154" t="s">
        <v>58</v>
      </c>
      <c r="M311" s="155" t="s">
        <v>58</v>
      </c>
      <c r="N311" s="155" t="s">
        <v>58</v>
      </c>
      <c r="O311" s="156" t="s">
        <v>58</v>
      </c>
      <c r="P311" s="157" t="s">
        <v>58</v>
      </c>
      <c r="Q311" s="158" t="s">
        <v>58</v>
      </c>
      <c r="R311" s="171"/>
      <c r="S311" s="171"/>
      <c r="T311" s="172"/>
      <c r="U311" s="171"/>
      <c r="V311" s="173"/>
      <c r="W311" s="173"/>
      <c r="X311" s="162"/>
      <c r="Y311" s="174"/>
      <c r="Z311" s="174"/>
      <c r="AA311" s="174"/>
      <c r="AB311" s="174"/>
      <c r="AC311" s="174"/>
      <c r="AD311" s="174"/>
      <c r="AE311" s="174"/>
      <c r="AF311" s="174"/>
      <c r="AG311" s="162"/>
      <c r="AH311" s="175"/>
      <c r="AI311" s="166"/>
      <c r="AJ311" s="168"/>
      <c r="AK311" s="168"/>
      <c r="AL311" s="168" t="s">
        <v>105</v>
      </c>
    </row>
    <row r="312" spans="1:38" ht="31.95" customHeight="1" x14ac:dyDescent="0.3">
      <c r="A312" s="147">
        <v>44075</v>
      </c>
      <c r="B312" s="148">
        <v>0.71702546296296299</v>
      </c>
      <c r="C312" s="149"/>
      <c r="D312" s="149">
        <v>60</v>
      </c>
      <c r="E312" s="149"/>
      <c r="F312" s="149"/>
      <c r="G312" s="150">
        <v>33</v>
      </c>
      <c r="H312" s="151" t="s">
        <v>62</v>
      </c>
      <c r="I312" s="170" t="s">
        <v>58</v>
      </c>
      <c r="J312" s="152"/>
      <c r="K312" s="153">
        <v>2100</v>
      </c>
      <c r="L312" s="154" t="s">
        <v>58</v>
      </c>
      <c r="M312" s="155" t="s">
        <v>58</v>
      </c>
      <c r="N312" s="155" t="s">
        <v>58</v>
      </c>
      <c r="O312" s="156" t="s">
        <v>58</v>
      </c>
      <c r="P312" s="157" t="s">
        <v>58</v>
      </c>
      <c r="Q312" s="158" t="s">
        <v>58</v>
      </c>
      <c r="R312" s="171"/>
      <c r="S312" s="171"/>
      <c r="T312" s="172"/>
      <c r="U312" s="171"/>
      <c r="V312" s="173">
        <v>3.2</v>
      </c>
      <c r="W312" s="173">
        <v>1.8</v>
      </c>
      <c r="X312" s="162">
        <v>4.58</v>
      </c>
      <c r="Y312" s="174"/>
      <c r="Z312" s="174"/>
      <c r="AA312" s="174"/>
      <c r="AB312" s="174"/>
      <c r="AC312" s="174"/>
      <c r="AD312" s="174"/>
      <c r="AE312" s="174"/>
      <c r="AF312" s="174"/>
      <c r="AG312" s="162"/>
      <c r="AH312" s="175"/>
      <c r="AI312" s="166"/>
      <c r="AJ312" s="168"/>
      <c r="AK312" s="168"/>
      <c r="AL312" s="168" t="s">
        <v>364</v>
      </c>
    </row>
    <row r="313" spans="1:38" ht="31.95" customHeight="1" x14ac:dyDescent="0.3">
      <c r="A313" s="147">
        <v>44075</v>
      </c>
      <c r="B313" s="148">
        <v>0.71769675925925924</v>
      </c>
      <c r="C313" s="149"/>
      <c r="D313" s="149">
        <v>30</v>
      </c>
      <c r="E313" s="149"/>
      <c r="F313" s="149"/>
      <c r="G313" s="150">
        <v>33</v>
      </c>
      <c r="H313" s="151" t="s">
        <v>66</v>
      </c>
      <c r="I313" s="170" t="s">
        <v>67</v>
      </c>
      <c r="J313" s="152"/>
      <c r="K313" s="153">
        <v>2300</v>
      </c>
      <c r="L313" s="154" t="s">
        <v>58</v>
      </c>
      <c r="M313" s="155" t="s">
        <v>58</v>
      </c>
      <c r="N313" s="155" t="s">
        <v>58</v>
      </c>
      <c r="O313" s="156" t="s">
        <v>58</v>
      </c>
      <c r="P313" s="157" t="s">
        <v>58</v>
      </c>
      <c r="Q313" s="158" t="s">
        <v>58</v>
      </c>
      <c r="R313" s="171"/>
      <c r="S313" s="171"/>
      <c r="T313" s="172"/>
      <c r="U313" s="171"/>
      <c r="V313" s="173"/>
      <c r="W313" s="173"/>
      <c r="X313" s="162"/>
      <c r="Y313" s="174"/>
      <c r="Z313" s="174"/>
      <c r="AA313" s="174"/>
      <c r="AB313" s="174"/>
      <c r="AC313" s="174"/>
      <c r="AD313" s="174"/>
      <c r="AE313" s="174"/>
      <c r="AF313" s="174"/>
      <c r="AG313" s="162"/>
      <c r="AH313" s="175"/>
      <c r="AI313" s="166"/>
      <c r="AJ313" s="168"/>
      <c r="AK313" s="168"/>
      <c r="AL313" s="168" t="s">
        <v>364</v>
      </c>
    </row>
    <row r="314" spans="1:38" ht="31.95" customHeight="1" x14ac:dyDescent="0.3">
      <c r="A314" s="147">
        <v>44075</v>
      </c>
      <c r="B314" s="148">
        <v>0.71821759259259255</v>
      </c>
      <c r="C314" s="149"/>
      <c r="D314" s="149">
        <v>60</v>
      </c>
      <c r="E314" s="149"/>
      <c r="F314" s="149"/>
      <c r="G314" s="150">
        <v>33</v>
      </c>
      <c r="H314" s="151" t="s">
        <v>62</v>
      </c>
      <c r="I314" s="170" t="s">
        <v>58</v>
      </c>
      <c r="J314" s="152"/>
      <c r="K314" s="153">
        <v>2300</v>
      </c>
      <c r="L314" s="154" t="s">
        <v>58</v>
      </c>
      <c r="M314" s="155" t="s">
        <v>58</v>
      </c>
      <c r="N314" s="155" t="s">
        <v>58</v>
      </c>
      <c r="O314" s="156" t="s">
        <v>58</v>
      </c>
      <c r="P314" s="157" t="s">
        <v>58</v>
      </c>
      <c r="Q314" s="158" t="s">
        <v>58</v>
      </c>
      <c r="R314" s="171"/>
      <c r="S314" s="171"/>
      <c r="T314" s="172"/>
      <c r="U314" s="171"/>
      <c r="V314" s="173">
        <v>3.6</v>
      </c>
      <c r="W314" s="173">
        <v>2.2999999999999998</v>
      </c>
      <c r="X314" s="162">
        <v>5.0599999999999996</v>
      </c>
      <c r="Y314" s="174"/>
      <c r="Z314" s="174"/>
      <c r="AA314" s="174"/>
      <c r="AB314" s="174"/>
      <c r="AC314" s="174"/>
      <c r="AD314" s="174"/>
      <c r="AE314" s="174"/>
      <c r="AF314" s="174"/>
      <c r="AG314" s="162"/>
      <c r="AH314" s="175"/>
      <c r="AI314" s="166"/>
      <c r="AJ314" s="168"/>
      <c r="AK314" s="168"/>
      <c r="AL314" s="168" t="s">
        <v>364</v>
      </c>
    </row>
    <row r="315" spans="1:38" ht="31.95" customHeight="1" x14ac:dyDescent="0.3">
      <c r="A315" s="147">
        <v>44075</v>
      </c>
      <c r="B315" s="148">
        <v>0.7190509259259259</v>
      </c>
      <c r="C315" s="149"/>
      <c r="D315" s="149">
        <v>30</v>
      </c>
      <c r="E315" s="149"/>
      <c r="F315" s="149"/>
      <c r="G315" s="150">
        <v>33</v>
      </c>
      <c r="H315" s="151" t="s">
        <v>66</v>
      </c>
      <c r="I315" s="170" t="s">
        <v>67</v>
      </c>
      <c r="J315" s="152"/>
      <c r="K315" s="153">
        <v>2400</v>
      </c>
      <c r="L315" s="154" t="s">
        <v>58</v>
      </c>
      <c r="M315" s="155" t="s">
        <v>58</v>
      </c>
      <c r="N315" s="155" t="s">
        <v>58</v>
      </c>
      <c r="O315" s="156" t="s">
        <v>58</v>
      </c>
      <c r="P315" s="157" t="s">
        <v>58</v>
      </c>
      <c r="Q315" s="158" t="s">
        <v>58</v>
      </c>
      <c r="R315" s="171"/>
      <c r="S315" s="171"/>
      <c r="T315" s="172"/>
      <c r="U315" s="171"/>
      <c r="V315" s="173"/>
      <c r="W315" s="173"/>
      <c r="X315" s="162"/>
      <c r="Y315" s="174"/>
      <c r="Z315" s="174"/>
      <c r="AA315" s="174"/>
      <c r="AB315" s="174"/>
      <c r="AC315" s="174"/>
      <c r="AD315" s="174"/>
      <c r="AE315" s="174"/>
      <c r="AF315" s="174"/>
      <c r="AG315" s="162"/>
      <c r="AH315" s="175"/>
      <c r="AI315" s="166"/>
      <c r="AJ315" s="168"/>
      <c r="AK315" s="168"/>
      <c r="AL315" s="168" t="s">
        <v>364</v>
      </c>
    </row>
    <row r="316" spans="1:38" ht="31.95" customHeight="1" x14ac:dyDescent="0.3">
      <c r="A316" s="147">
        <v>44075</v>
      </c>
      <c r="B316" s="148">
        <v>0.71947916666666656</v>
      </c>
      <c r="C316" s="149"/>
      <c r="D316" s="149">
        <v>60</v>
      </c>
      <c r="E316" s="149"/>
      <c r="F316" s="149"/>
      <c r="G316" s="150">
        <v>33</v>
      </c>
      <c r="H316" s="151" t="s">
        <v>62</v>
      </c>
      <c r="I316" s="170" t="s">
        <v>58</v>
      </c>
      <c r="J316" s="152"/>
      <c r="K316" s="153">
        <v>2400</v>
      </c>
      <c r="L316" s="154" t="s">
        <v>58</v>
      </c>
      <c r="M316" s="155" t="s">
        <v>58</v>
      </c>
      <c r="N316" s="155" t="s">
        <v>58</v>
      </c>
      <c r="O316" s="156" t="s">
        <v>58</v>
      </c>
      <c r="P316" s="157" t="s">
        <v>58</v>
      </c>
      <c r="Q316" s="158" t="s">
        <v>58</v>
      </c>
      <c r="R316" s="171"/>
      <c r="S316" s="171"/>
      <c r="T316" s="172"/>
      <c r="U316" s="171"/>
      <c r="V316" s="173">
        <v>3.7</v>
      </c>
      <c r="W316" s="173">
        <v>2.6</v>
      </c>
      <c r="X316" s="162">
        <v>5.31</v>
      </c>
      <c r="Y316" s="174"/>
      <c r="Z316" s="174"/>
      <c r="AA316" s="174"/>
      <c r="AB316" s="174"/>
      <c r="AC316" s="174"/>
      <c r="AD316" s="174"/>
      <c r="AE316" s="174"/>
      <c r="AF316" s="174"/>
      <c r="AG316" s="162"/>
      <c r="AH316" s="175"/>
      <c r="AI316" s="166"/>
      <c r="AJ316" s="168"/>
      <c r="AK316" s="168"/>
      <c r="AL316" s="168" t="s">
        <v>364</v>
      </c>
    </row>
    <row r="317" spans="1:38" ht="31.95" customHeight="1" x14ac:dyDescent="0.3">
      <c r="A317" s="147">
        <v>44075</v>
      </c>
      <c r="B317" s="148">
        <v>0.72016203703703707</v>
      </c>
      <c r="C317" s="149"/>
      <c r="D317" s="149">
        <v>30</v>
      </c>
      <c r="E317" s="149"/>
      <c r="F317" s="149"/>
      <c r="G317" s="150">
        <v>33</v>
      </c>
      <c r="H317" s="151" t="s">
        <v>66</v>
      </c>
      <c r="I317" s="170" t="s">
        <v>67</v>
      </c>
      <c r="J317" s="152"/>
      <c r="K317" s="153">
        <v>2600</v>
      </c>
      <c r="L317" s="154" t="s">
        <v>58</v>
      </c>
      <c r="M317" s="155" t="s">
        <v>58</v>
      </c>
      <c r="N317" s="155" t="s">
        <v>58</v>
      </c>
      <c r="O317" s="156" t="s">
        <v>58</v>
      </c>
      <c r="P317" s="157" t="s">
        <v>58</v>
      </c>
      <c r="Q317" s="158" t="s">
        <v>58</v>
      </c>
      <c r="R317" s="171"/>
      <c r="S317" s="171"/>
      <c r="T317" s="172"/>
      <c r="U317" s="171"/>
      <c r="V317" s="173"/>
      <c r="W317" s="173"/>
      <c r="X317" s="162"/>
      <c r="Y317" s="174"/>
      <c r="Z317" s="174"/>
      <c r="AA317" s="174"/>
      <c r="AB317" s="174"/>
      <c r="AC317" s="174"/>
      <c r="AD317" s="174"/>
      <c r="AE317" s="174"/>
      <c r="AF317" s="174"/>
      <c r="AG317" s="162"/>
      <c r="AH317" s="175"/>
      <c r="AI317" s="166"/>
      <c r="AJ317" s="168"/>
      <c r="AK317" s="168"/>
      <c r="AL317" s="168" t="s">
        <v>364</v>
      </c>
    </row>
    <row r="318" spans="1:38" ht="31.95" customHeight="1" x14ac:dyDescent="0.3">
      <c r="A318" s="147">
        <v>44075</v>
      </c>
      <c r="B318" s="148">
        <v>0.72054398148148147</v>
      </c>
      <c r="C318" s="149"/>
      <c r="D318" s="149">
        <v>60</v>
      </c>
      <c r="E318" s="149"/>
      <c r="F318" s="149"/>
      <c r="G318" s="150">
        <v>33</v>
      </c>
      <c r="H318" s="151" t="s">
        <v>62</v>
      </c>
      <c r="I318" s="170" t="s">
        <v>58</v>
      </c>
      <c r="J318" s="152"/>
      <c r="K318" s="153">
        <v>2600</v>
      </c>
      <c r="L318" s="154" t="s">
        <v>58</v>
      </c>
      <c r="M318" s="155" t="s">
        <v>58</v>
      </c>
      <c r="N318" s="155" t="s">
        <v>58</v>
      </c>
      <c r="O318" s="156" t="s">
        <v>58</v>
      </c>
      <c r="P318" s="157" t="s">
        <v>58</v>
      </c>
      <c r="Q318" s="158" t="s">
        <v>58</v>
      </c>
      <c r="R318" s="171"/>
      <c r="S318" s="171"/>
      <c r="T318" s="172"/>
      <c r="U318" s="171"/>
      <c r="V318" s="173">
        <v>4.0999999999999996</v>
      </c>
      <c r="W318" s="173">
        <v>3.3</v>
      </c>
      <c r="X318" s="162">
        <v>5.79</v>
      </c>
      <c r="Y318" s="174"/>
      <c r="Z318" s="174"/>
      <c r="AA318" s="174"/>
      <c r="AB318" s="174"/>
      <c r="AC318" s="174"/>
      <c r="AD318" s="174"/>
      <c r="AE318" s="174"/>
      <c r="AF318" s="174"/>
      <c r="AG318" s="162"/>
      <c r="AH318" s="175"/>
      <c r="AI318" s="166"/>
      <c r="AJ318" s="168"/>
      <c r="AK318" s="168"/>
      <c r="AL318" s="168" t="s">
        <v>364</v>
      </c>
    </row>
    <row r="319" spans="1:38" ht="31.95" customHeight="1" x14ac:dyDescent="0.3">
      <c r="A319" s="147">
        <v>44075</v>
      </c>
      <c r="B319" s="148">
        <v>0.72134259259259259</v>
      </c>
      <c r="C319" s="149"/>
      <c r="D319" s="149">
        <v>30</v>
      </c>
      <c r="E319" s="149"/>
      <c r="F319" s="149"/>
      <c r="G319" s="150">
        <v>33</v>
      </c>
      <c r="H319" s="151" t="s">
        <v>66</v>
      </c>
      <c r="I319" s="170" t="s">
        <v>67</v>
      </c>
      <c r="J319" s="152"/>
      <c r="K319" s="153">
        <v>2700</v>
      </c>
      <c r="L319" s="154" t="s">
        <v>58</v>
      </c>
      <c r="M319" s="155" t="s">
        <v>58</v>
      </c>
      <c r="N319" s="155" t="s">
        <v>58</v>
      </c>
      <c r="O319" s="156" t="s">
        <v>58</v>
      </c>
      <c r="P319" s="157" t="s">
        <v>58</v>
      </c>
      <c r="Q319" s="158" t="s">
        <v>58</v>
      </c>
      <c r="R319" s="171"/>
      <c r="S319" s="171"/>
      <c r="T319" s="172"/>
      <c r="U319" s="171"/>
      <c r="V319" s="173"/>
      <c r="W319" s="173"/>
      <c r="X319" s="162"/>
      <c r="Y319" s="174"/>
      <c r="Z319" s="174"/>
      <c r="AA319" s="174"/>
      <c r="AB319" s="174"/>
      <c r="AC319" s="174"/>
      <c r="AD319" s="174"/>
      <c r="AE319" s="174"/>
      <c r="AF319" s="174"/>
      <c r="AG319" s="162"/>
      <c r="AH319" s="175"/>
      <c r="AI319" s="166"/>
      <c r="AJ319" s="168"/>
      <c r="AK319" s="168"/>
      <c r="AL319" s="168" t="s">
        <v>364</v>
      </c>
    </row>
    <row r="320" spans="1:38" ht="31.95" customHeight="1" x14ac:dyDescent="0.3">
      <c r="A320" s="147">
        <v>44075</v>
      </c>
      <c r="B320" s="148">
        <v>0.72170138888888891</v>
      </c>
      <c r="C320" s="149"/>
      <c r="D320" s="149">
        <v>60</v>
      </c>
      <c r="E320" s="149"/>
      <c r="F320" s="149"/>
      <c r="G320" s="150">
        <v>33</v>
      </c>
      <c r="H320" s="151" t="s">
        <v>62</v>
      </c>
      <c r="I320" s="170" t="s">
        <v>58</v>
      </c>
      <c r="J320" s="152"/>
      <c r="K320" s="153">
        <v>2700</v>
      </c>
      <c r="L320" s="154" t="s">
        <v>58</v>
      </c>
      <c r="M320" s="155" t="s">
        <v>58</v>
      </c>
      <c r="N320" s="155" t="s">
        <v>58</v>
      </c>
      <c r="O320" s="156" t="s">
        <v>58</v>
      </c>
      <c r="P320" s="157" t="s">
        <v>58</v>
      </c>
      <c r="Q320" s="158" t="s">
        <v>58</v>
      </c>
      <c r="R320" s="171"/>
      <c r="S320" s="171"/>
      <c r="T320" s="172"/>
      <c r="U320" s="171"/>
      <c r="V320" s="173">
        <v>4.3</v>
      </c>
      <c r="W320" s="173">
        <v>3.7</v>
      </c>
      <c r="X320" s="162">
        <v>6.03</v>
      </c>
      <c r="Y320" s="174"/>
      <c r="Z320" s="174"/>
      <c r="AA320" s="174"/>
      <c r="AB320" s="174"/>
      <c r="AC320" s="174"/>
      <c r="AD320" s="174"/>
      <c r="AE320" s="174"/>
      <c r="AF320" s="174"/>
      <c r="AG320" s="162"/>
      <c r="AH320" s="175"/>
      <c r="AI320" s="166"/>
      <c r="AJ320" s="168"/>
      <c r="AK320" s="168"/>
      <c r="AL320" s="168" t="s">
        <v>364</v>
      </c>
    </row>
    <row r="321" spans="1:38" ht="31.95" customHeight="1" x14ac:dyDescent="0.3">
      <c r="A321" s="147">
        <v>44075</v>
      </c>
      <c r="B321" s="148">
        <v>0.72237268518518516</v>
      </c>
      <c r="C321" s="149"/>
      <c r="D321" s="149">
        <v>30</v>
      </c>
      <c r="E321" s="149"/>
      <c r="F321" s="149"/>
      <c r="G321" s="150">
        <v>33</v>
      </c>
      <c r="H321" s="151" t="s">
        <v>66</v>
      </c>
      <c r="I321" s="170" t="s">
        <v>67</v>
      </c>
      <c r="J321" s="152"/>
      <c r="K321" s="153">
        <v>2900</v>
      </c>
      <c r="L321" s="154" t="s">
        <v>58</v>
      </c>
      <c r="M321" s="155" t="s">
        <v>58</v>
      </c>
      <c r="N321" s="155" t="s">
        <v>58</v>
      </c>
      <c r="O321" s="156" t="s">
        <v>58</v>
      </c>
      <c r="P321" s="157" t="s">
        <v>58</v>
      </c>
      <c r="Q321" s="158" t="s">
        <v>58</v>
      </c>
      <c r="R321" s="171"/>
      <c r="S321" s="171"/>
      <c r="T321" s="172"/>
      <c r="U321" s="171"/>
      <c r="V321" s="173"/>
      <c r="W321" s="173"/>
      <c r="X321" s="162"/>
      <c r="Y321" s="174"/>
      <c r="Z321" s="174"/>
      <c r="AA321" s="174"/>
      <c r="AB321" s="174"/>
      <c r="AC321" s="174"/>
      <c r="AD321" s="174"/>
      <c r="AE321" s="174"/>
      <c r="AF321" s="174"/>
      <c r="AG321" s="162"/>
      <c r="AH321" s="175"/>
      <c r="AI321" s="166"/>
      <c r="AJ321" s="168"/>
      <c r="AK321" s="168"/>
      <c r="AL321" s="168" t="s">
        <v>364</v>
      </c>
    </row>
    <row r="322" spans="1:38" ht="31.95" customHeight="1" x14ac:dyDescent="0.3">
      <c r="A322" s="147">
        <v>44075</v>
      </c>
      <c r="B322" s="148">
        <v>0.72281249999999997</v>
      </c>
      <c r="C322" s="149"/>
      <c r="D322" s="149">
        <v>60</v>
      </c>
      <c r="E322" s="149"/>
      <c r="F322" s="149"/>
      <c r="G322" s="150">
        <v>33</v>
      </c>
      <c r="H322" s="151" t="s">
        <v>62</v>
      </c>
      <c r="I322" s="170" t="s">
        <v>58</v>
      </c>
      <c r="J322" s="152"/>
      <c r="K322" s="153">
        <v>2900</v>
      </c>
      <c r="L322" s="154" t="s">
        <v>58</v>
      </c>
      <c r="M322" s="155" t="s">
        <v>58</v>
      </c>
      <c r="N322" s="155" t="s">
        <v>58</v>
      </c>
      <c r="O322" s="156" t="s">
        <v>58</v>
      </c>
      <c r="P322" s="157" t="s">
        <v>58</v>
      </c>
      <c r="Q322" s="158" t="s">
        <v>58</v>
      </c>
      <c r="R322" s="171"/>
      <c r="S322" s="171"/>
      <c r="T322" s="172"/>
      <c r="U322" s="171"/>
      <c r="V322" s="173">
        <v>4.8</v>
      </c>
      <c r="W322" s="173">
        <v>4.5999999999999996</v>
      </c>
      <c r="X322" s="162">
        <v>6.51</v>
      </c>
      <c r="Y322" s="174"/>
      <c r="Z322" s="174"/>
      <c r="AA322" s="174"/>
      <c r="AB322" s="174"/>
      <c r="AC322" s="174"/>
      <c r="AD322" s="174"/>
      <c r="AE322" s="174"/>
      <c r="AF322" s="174"/>
      <c r="AG322" s="162"/>
      <c r="AH322" s="175"/>
      <c r="AI322" s="166"/>
      <c r="AJ322" s="168"/>
      <c r="AK322" s="168"/>
      <c r="AL322" s="168" t="s">
        <v>364</v>
      </c>
    </row>
    <row r="323" spans="1:38" ht="31.95" customHeight="1" x14ac:dyDescent="0.3">
      <c r="A323" s="176">
        <v>44075</v>
      </c>
      <c r="B323" s="181">
        <v>0.72349537037037026</v>
      </c>
      <c r="C323" s="184"/>
      <c r="D323" s="149" t="s">
        <v>58</v>
      </c>
      <c r="E323" s="149"/>
      <c r="F323" s="149"/>
      <c r="G323" s="150" t="s">
        <v>58</v>
      </c>
      <c r="H323" s="185" t="s">
        <v>365</v>
      </c>
      <c r="I323" s="178" t="s">
        <v>58</v>
      </c>
      <c r="J323" s="186"/>
      <c r="K323" s="153" t="s">
        <v>58</v>
      </c>
      <c r="L323" s="154" t="s">
        <v>58</v>
      </c>
      <c r="M323" s="155" t="s">
        <v>58</v>
      </c>
      <c r="N323" s="155" t="s">
        <v>58</v>
      </c>
      <c r="O323" s="156" t="s">
        <v>58</v>
      </c>
      <c r="P323" s="187" t="s">
        <v>58</v>
      </c>
      <c r="Q323" s="158" t="s">
        <v>58</v>
      </c>
      <c r="R323" s="159"/>
      <c r="S323" s="159"/>
      <c r="T323" s="160"/>
      <c r="U323" s="171"/>
      <c r="V323" s="188"/>
      <c r="W323" s="188"/>
      <c r="X323" s="189"/>
      <c r="Y323" s="190"/>
      <c r="Z323" s="190"/>
      <c r="AA323" s="190"/>
      <c r="AB323" s="190"/>
      <c r="AC323" s="190"/>
      <c r="AD323" s="190"/>
      <c r="AE323" s="190"/>
      <c r="AF323" s="190"/>
      <c r="AG323" s="189"/>
      <c r="AH323" s="191"/>
      <c r="AI323" s="192" t="s">
        <v>106</v>
      </c>
      <c r="AJ323" s="167" t="s">
        <v>366</v>
      </c>
      <c r="AK323" s="167"/>
      <c r="AL323" s="167"/>
    </row>
  </sheetData>
  <mergeCells count="7">
    <mergeCell ref="AI1:AL1"/>
    <mergeCell ref="J1:Q1"/>
    <mergeCell ref="R1:S1"/>
    <mergeCell ref="T1:U1"/>
    <mergeCell ref="V1:W1"/>
    <mergeCell ref="Y1:AF1"/>
    <mergeCell ref="AG1:AH1"/>
  </mergeCells>
  <conditionalFormatting sqref="G4">
    <cfRule type="expression" dxfId="756" priority="751">
      <formula>MOD(G4,2)=0</formula>
    </cfRule>
    <cfRule type="expression" dxfId="755" priority="752">
      <formula>MOD(G4,2)=1</formula>
    </cfRule>
    <cfRule type="containsBlanks" dxfId="754" priority="753">
      <formula>LEN(TRIM(G4))=0</formula>
    </cfRule>
  </conditionalFormatting>
  <conditionalFormatting sqref="G96 G61:G94 G190:G209 G217:G252 G272 G286:G292 G303 G311:G323">
    <cfRule type="containsBlanks" dxfId="753" priority="746">
      <formula>LEN(TRIM(G61))=0</formula>
    </cfRule>
    <cfRule type="expression" dxfId="752" priority="748">
      <formula>MOD(G61,2)=0</formula>
    </cfRule>
    <cfRule type="expression" dxfId="751" priority="749">
      <formula>MOD(G61,2)=1</formula>
    </cfRule>
  </conditionalFormatting>
  <conditionalFormatting sqref="G64">
    <cfRule type="containsBlanks" dxfId="750" priority="742">
      <formula>LEN(TRIM(G64))=0</formula>
    </cfRule>
    <cfRule type="expression" dxfId="749" priority="744">
      <formula>MOD(G64,2)=0</formula>
    </cfRule>
    <cfRule type="expression" dxfId="748" priority="745">
      <formula>MOD(G64,2)=1</formula>
    </cfRule>
  </conditionalFormatting>
  <conditionalFormatting sqref="G71">
    <cfRule type="containsBlanks" dxfId="747" priority="736">
      <formula>LEN(TRIM(G71))=0</formula>
    </cfRule>
    <cfRule type="expression" dxfId="746" priority="738">
      <formula>MOD(G71,2)=0</formula>
    </cfRule>
    <cfRule type="expression" dxfId="745" priority="739">
      <formula>MOD(G71,2)=1</formula>
    </cfRule>
  </conditionalFormatting>
  <conditionalFormatting sqref="G72:G78">
    <cfRule type="containsBlanks" dxfId="744" priority="732">
      <formula>LEN(TRIM(G72))=0</formula>
    </cfRule>
    <cfRule type="expression" dxfId="743" priority="734">
      <formula>MOD(G72,2)=0</formula>
    </cfRule>
    <cfRule type="expression" dxfId="742" priority="735">
      <formula>MOD(G72,2)=1</formula>
    </cfRule>
  </conditionalFormatting>
  <conditionalFormatting sqref="G79">
    <cfRule type="containsBlanks" dxfId="741" priority="724">
      <formula>LEN(TRIM(G79))=0</formula>
    </cfRule>
    <cfRule type="expression" dxfId="740" priority="726">
      <formula>MOD(G79,2)=0</formula>
    </cfRule>
    <cfRule type="expression" dxfId="739" priority="727">
      <formula>MOD(G79,2)=1</formula>
    </cfRule>
  </conditionalFormatting>
  <conditionalFormatting sqref="G80">
    <cfRule type="containsBlanks" dxfId="738" priority="720">
      <formula>LEN(TRIM(G80))=0</formula>
    </cfRule>
    <cfRule type="expression" dxfId="737" priority="722">
      <formula>MOD(G80,2)=0</formula>
    </cfRule>
    <cfRule type="expression" dxfId="736" priority="723">
      <formula>MOD(G80,2)=1</formula>
    </cfRule>
  </conditionalFormatting>
  <conditionalFormatting sqref="G5">
    <cfRule type="containsBlanks" dxfId="735" priority="711">
      <formula>LEN(TRIM(G5))=0</formula>
    </cfRule>
    <cfRule type="expression" dxfId="734" priority="713">
      <formula>MOD(G5,2)=0</formula>
    </cfRule>
    <cfRule type="expression" dxfId="733" priority="714">
      <formula>MOD(G5,2)=1</formula>
    </cfRule>
  </conditionalFormatting>
  <conditionalFormatting sqref="G87">
    <cfRule type="containsBlanks" dxfId="732" priority="702">
      <formula>LEN(TRIM(G87))=0</formula>
    </cfRule>
    <cfRule type="expression" dxfId="731" priority="704">
      <formula>MOD(G87,2)=0</formula>
    </cfRule>
    <cfRule type="expression" dxfId="730" priority="705">
      <formula>MOD(G87,2)=1</formula>
    </cfRule>
  </conditionalFormatting>
  <conditionalFormatting sqref="G88">
    <cfRule type="containsBlanks" dxfId="729" priority="698">
      <formula>LEN(TRIM(G88))=0</formula>
    </cfRule>
    <cfRule type="expression" dxfId="728" priority="700">
      <formula>MOD(G88,2)=0</formula>
    </cfRule>
    <cfRule type="expression" dxfId="727" priority="701">
      <formula>MOD(G88,2)=1</formula>
    </cfRule>
  </conditionalFormatting>
  <conditionalFormatting sqref="G210">
    <cfRule type="containsBlanks" dxfId="726" priority="686">
      <formula>LEN(TRIM(G210))=0</formula>
    </cfRule>
    <cfRule type="expression" dxfId="725" priority="688">
      <formula>MOD(G210,2)=0</formula>
    </cfRule>
    <cfRule type="expression" dxfId="724" priority="689">
      <formula>MOD(G210,2)=1</formula>
    </cfRule>
  </conditionalFormatting>
  <conditionalFormatting sqref="G98">
    <cfRule type="containsBlanks" dxfId="723" priority="659">
      <formula>LEN(TRIM(G98))=0</formula>
    </cfRule>
    <cfRule type="expression" dxfId="722" priority="661">
      <formula>MOD(G98,2)=0</formula>
    </cfRule>
    <cfRule type="expression" dxfId="721" priority="662">
      <formula>MOD(G98,2)=1</formula>
    </cfRule>
  </conditionalFormatting>
  <conditionalFormatting sqref="G111">
    <cfRule type="containsBlanks" dxfId="720" priority="649">
      <formula>LEN(TRIM(G111))=0</formula>
    </cfRule>
    <cfRule type="expression" dxfId="719" priority="651">
      <formula>MOD(G111,2)=0</formula>
    </cfRule>
    <cfRule type="expression" dxfId="718" priority="652">
      <formula>MOD(G111,2)=1</formula>
    </cfRule>
  </conditionalFormatting>
  <conditionalFormatting sqref="G97">
    <cfRule type="containsBlanks" dxfId="717" priority="663">
      <formula>LEN(TRIM(G97))=0</formula>
    </cfRule>
    <cfRule type="expression" dxfId="716" priority="665">
      <formula>MOD(G97,2)=0</formula>
    </cfRule>
    <cfRule type="expression" dxfId="715" priority="666">
      <formula>MOD(G97,2)=1</formula>
    </cfRule>
  </conditionalFormatting>
  <conditionalFormatting sqref="G110">
    <cfRule type="containsBlanks" dxfId="714" priority="653">
      <formula>LEN(TRIM(G110))=0</formula>
    </cfRule>
    <cfRule type="expression" dxfId="713" priority="655">
      <formula>MOD(G110,2)=0</formula>
    </cfRule>
    <cfRule type="expression" dxfId="712" priority="656">
      <formula>MOD(G110,2)=1</formula>
    </cfRule>
  </conditionalFormatting>
  <conditionalFormatting sqref="G122">
    <cfRule type="containsBlanks" dxfId="711" priority="641">
      <formula>LEN(TRIM(G122))=0</formula>
    </cfRule>
    <cfRule type="expression" dxfId="710" priority="643">
      <formula>MOD(G122,2)=0</formula>
    </cfRule>
    <cfRule type="expression" dxfId="709" priority="644">
      <formula>MOD(G122,2)=1</formula>
    </cfRule>
  </conditionalFormatting>
  <conditionalFormatting sqref="G167">
    <cfRule type="containsBlanks" dxfId="708" priority="637">
      <formula>LEN(TRIM(G167))=0</formula>
    </cfRule>
    <cfRule type="expression" dxfId="707" priority="639">
      <formula>MOD(G167,2)=0</formula>
    </cfRule>
    <cfRule type="expression" dxfId="706" priority="640">
      <formula>MOD(G167,2)=1</formula>
    </cfRule>
  </conditionalFormatting>
  <conditionalFormatting sqref="G178">
    <cfRule type="containsBlanks" dxfId="705" priority="629">
      <formula>LEN(TRIM(G178))=0</formula>
    </cfRule>
    <cfRule type="expression" dxfId="704" priority="631">
      <formula>MOD(G178,2)=0</formula>
    </cfRule>
    <cfRule type="expression" dxfId="703" priority="632">
      <formula>MOD(G178,2)=1</formula>
    </cfRule>
  </conditionalFormatting>
  <conditionalFormatting sqref="G179">
    <cfRule type="containsBlanks" dxfId="702" priority="625">
      <formula>LEN(TRIM(G179))=0</formula>
    </cfRule>
    <cfRule type="expression" dxfId="701" priority="627">
      <formula>MOD(G179,2)=0</formula>
    </cfRule>
    <cfRule type="expression" dxfId="700" priority="628">
      <formula>MOD(G179,2)=1</formula>
    </cfRule>
  </conditionalFormatting>
  <conditionalFormatting sqref="G63">
    <cfRule type="containsBlanks" dxfId="699" priority="605">
      <formula>LEN(TRIM(G63))=0</formula>
    </cfRule>
    <cfRule type="expression" dxfId="698" priority="607">
      <formula>MOD(G63,2)=0</formula>
    </cfRule>
    <cfRule type="expression" dxfId="697" priority="608">
      <formula>MOD(G63,2)=1</formula>
    </cfRule>
  </conditionalFormatting>
  <conditionalFormatting sqref="G96">
    <cfRule type="containsBlanks" dxfId="696" priority="600">
      <formula>LEN(TRIM(G96))=0</formula>
    </cfRule>
    <cfRule type="expression" dxfId="695" priority="602">
      <formula>MOD(G96,2)=0</formula>
    </cfRule>
    <cfRule type="expression" dxfId="694" priority="603">
      <formula>MOD(G96,2)=1</formula>
    </cfRule>
  </conditionalFormatting>
  <conditionalFormatting sqref="G65:G70">
    <cfRule type="containsBlanks" dxfId="693" priority="594">
      <formula>LEN(TRIM(G65))=0</formula>
    </cfRule>
    <cfRule type="expression" dxfId="692" priority="596">
      <formula>MOD(G65,2)=0</formula>
    </cfRule>
    <cfRule type="expression" dxfId="691" priority="597">
      <formula>MOD(G65,2)=1</formula>
    </cfRule>
  </conditionalFormatting>
  <conditionalFormatting sqref="G73:G78">
    <cfRule type="containsBlanks" dxfId="690" priority="589">
      <formula>LEN(TRIM(G73))=0</formula>
    </cfRule>
    <cfRule type="expression" dxfId="689" priority="591">
      <formula>MOD(G73,2)=0</formula>
    </cfRule>
    <cfRule type="expression" dxfId="688" priority="592">
      <formula>MOD(G73,2)=1</formula>
    </cfRule>
  </conditionalFormatting>
  <conditionalFormatting sqref="G81:G86">
    <cfRule type="containsBlanks" dxfId="687" priority="585">
      <formula>LEN(TRIM(G81))=0</formula>
    </cfRule>
    <cfRule type="expression" dxfId="686" priority="587">
      <formula>MOD(G81,2)=0</formula>
    </cfRule>
    <cfRule type="expression" dxfId="685" priority="588">
      <formula>MOD(G81,2)=1</formula>
    </cfRule>
  </conditionalFormatting>
  <conditionalFormatting sqref="G96 G89:G94">
    <cfRule type="containsBlanks" dxfId="684" priority="581">
      <formula>LEN(TRIM(G89))=0</formula>
    </cfRule>
    <cfRule type="expression" dxfId="683" priority="583">
      <formula>MOD(G89,2)=0</formula>
    </cfRule>
    <cfRule type="expression" dxfId="682" priority="584">
      <formula>MOD(G89,2)=1</formula>
    </cfRule>
  </conditionalFormatting>
  <conditionalFormatting sqref="G311">
    <cfRule type="containsBlanks" dxfId="681" priority="577">
      <formula>LEN(TRIM(G311))=0</formula>
    </cfRule>
    <cfRule type="expression" dxfId="680" priority="579">
      <formula>MOD(G311,2)=0</formula>
    </cfRule>
    <cfRule type="expression" dxfId="679" priority="580">
      <formula>MOD(G311,2)=1</formula>
    </cfRule>
  </conditionalFormatting>
  <conditionalFormatting sqref="G6:G11">
    <cfRule type="containsBlanks" dxfId="678" priority="569">
      <formula>LEN(TRIM(G6))=0</formula>
    </cfRule>
    <cfRule type="expression" dxfId="677" priority="571">
      <formula>MOD(G6,2)=0</formula>
    </cfRule>
    <cfRule type="expression" dxfId="676" priority="572">
      <formula>MOD(G6,2)=1</formula>
    </cfRule>
  </conditionalFormatting>
  <conditionalFormatting sqref="G65:G70">
    <cfRule type="containsBlanks" dxfId="675" priority="565">
      <formula>LEN(TRIM(G65))=0</formula>
    </cfRule>
    <cfRule type="expression" dxfId="674" priority="567">
      <formula>MOD(G65,2)=0</formula>
    </cfRule>
    <cfRule type="expression" dxfId="673" priority="568">
      <formula>MOD(G65,2)=1</formula>
    </cfRule>
  </conditionalFormatting>
  <conditionalFormatting sqref="G81:G86">
    <cfRule type="containsBlanks" dxfId="672" priority="561">
      <formula>LEN(TRIM(G81))=0</formula>
    </cfRule>
    <cfRule type="expression" dxfId="671" priority="563">
      <formula>MOD(G81,2)=0</formula>
    </cfRule>
    <cfRule type="expression" dxfId="670" priority="564">
      <formula>MOD(G81,2)=1</formula>
    </cfRule>
  </conditionalFormatting>
  <conditionalFormatting sqref="G96 G89:G94">
    <cfRule type="containsBlanks" dxfId="669" priority="557">
      <formula>LEN(TRIM(G89))=0</formula>
    </cfRule>
    <cfRule type="expression" dxfId="668" priority="559">
      <formula>MOD(G89,2)=0</formula>
    </cfRule>
    <cfRule type="expression" dxfId="667" priority="560">
      <formula>MOD(G89,2)=1</formula>
    </cfRule>
  </conditionalFormatting>
  <conditionalFormatting sqref="G312:G322">
    <cfRule type="containsBlanks" dxfId="666" priority="553">
      <formula>LEN(TRIM(G312))=0</formula>
    </cfRule>
    <cfRule type="expression" dxfId="665" priority="555">
      <formula>MOD(G312,2)=0</formula>
    </cfRule>
    <cfRule type="expression" dxfId="664" priority="556">
      <formula>MOD(G312,2)=1</formula>
    </cfRule>
  </conditionalFormatting>
  <conditionalFormatting sqref="G312:G322">
    <cfRule type="containsBlanks" dxfId="663" priority="549">
      <formula>LEN(TRIM(G312))=0</formula>
    </cfRule>
    <cfRule type="expression" dxfId="662" priority="551">
      <formula>MOD(G312,2)=0</formula>
    </cfRule>
    <cfRule type="expression" dxfId="661" priority="552">
      <formula>MOD(G312,2)=1</formula>
    </cfRule>
  </conditionalFormatting>
  <conditionalFormatting sqref="G253">
    <cfRule type="containsBlanks" dxfId="660" priority="541">
      <formula>LEN(TRIM(G253))=0</formula>
    </cfRule>
    <cfRule type="expression" dxfId="659" priority="543">
      <formula>MOD(G253,2)=0</formula>
    </cfRule>
    <cfRule type="expression" dxfId="658" priority="544">
      <formula>MOD(G253,2)=1</formula>
    </cfRule>
  </conditionalFormatting>
  <conditionalFormatting sqref="G270:G271 G281">
    <cfRule type="containsBlanks" dxfId="657" priority="531">
      <formula>LEN(TRIM(G270))=0</formula>
    </cfRule>
    <cfRule type="expression" dxfId="656" priority="532">
      <formula>MOD(G270,2)=0</formula>
    </cfRule>
    <cfRule type="expression" dxfId="655" priority="533">
      <formula>MOD(G270,2)=1</formula>
    </cfRule>
  </conditionalFormatting>
  <conditionalFormatting sqref="G304">
    <cfRule type="containsBlanks" dxfId="654" priority="519">
      <formula>LEN(TRIM(G304))=0</formula>
    </cfRule>
    <cfRule type="expression" dxfId="653" priority="521">
      <formula>MOD(G304,2)=0</formula>
    </cfRule>
    <cfRule type="expression" dxfId="652" priority="522">
      <formula>MOD(G304,2)=1</formula>
    </cfRule>
  </conditionalFormatting>
  <conditionalFormatting sqref="G312:G322">
    <cfRule type="containsBlanks" dxfId="651" priority="509">
      <formula>LEN(TRIM(G312))=0</formula>
    </cfRule>
    <cfRule type="expression" dxfId="650" priority="511">
      <formula>MOD(G312,2)=0</formula>
    </cfRule>
    <cfRule type="expression" dxfId="649" priority="512">
      <formula>MOD(G312,2)=1</formula>
    </cfRule>
  </conditionalFormatting>
  <conditionalFormatting sqref="G45 G12:G43">
    <cfRule type="containsBlanks" dxfId="648" priority="505">
      <formula>LEN(TRIM(G12))=0</formula>
    </cfRule>
    <cfRule type="expression" dxfId="647" priority="506">
      <formula>MOD(G12,2)=0</formula>
    </cfRule>
    <cfRule type="expression" dxfId="646" priority="507">
      <formula>MOD(G12,2)=1</formula>
    </cfRule>
  </conditionalFormatting>
  <conditionalFormatting sqref="G13">
    <cfRule type="containsBlanks" dxfId="645" priority="501">
      <formula>LEN(TRIM(G13))=0</formula>
    </cfRule>
    <cfRule type="expression" dxfId="644" priority="503">
      <formula>MOD(G13,2)=0</formula>
    </cfRule>
    <cfRule type="expression" dxfId="643" priority="504">
      <formula>MOD(G13,2)=1</formula>
    </cfRule>
  </conditionalFormatting>
  <conditionalFormatting sqref="G20">
    <cfRule type="containsBlanks" dxfId="642" priority="496">
      <formula>LEN(TRIM(G20))=0</formula>
    </cfRule>
    <cfRule type="expression" dxfId="641" priority="498">
      <formula>MOD(G20,2)=0</formula>
    </cfRule>
    <cfRule type="expression" dxfId="640" priority="499">
      <formula>MOD(G20,2)=1</formula>
    </cfRule>
  </conditionalFormatting>
  <conditionalFormatting sqref="G21:G27">
    <cfRule type="containsBlanks" dxfId="639" priority="492">
      <formula>LEN(TRIM(G21))=0</formula>
    </cfRule>
    <cfRule type="expression" dxfId="638" priority="494">
      <formula>MOD(G21,2)=0</formula>
    </cfRule>
    <cfRule type="expression" dxfId="637" priority="495">
      <formula>MOD(G21,2)=1</formula>
    </cfRule>
  </conditionalFormatting>
  <conditionalFormatting sqref="G28">
    <cfRule type="containsBlanks" dxfId="636" priority="484">
      <formula>LEN(TRIM(G28))=0</formula>
    </cfRule>
    <cfRule type="expression" dxfId="635" priority="486">
      <formula>MOD(G28,2)=0</formula>
    </cfRule>
    <cfRule type="expression" dxfId="634" priority="487">
      <formula>MOD(G28,2)=1</formula>
    </cfRule>
  </conditionalFormatting>
  <conditionalFormatting sqref="G29:G35">
    <cfRule type="containsBlanks" dxfId="633" priority="480">
      <formula>LEN(TRIM(G29))=0</formula>
    </cfRule>
    <cfRule type="expression" dxfId="632" priority="482">
      <formula>MOD(G29,2)=0</formula>
    </cfRule>
    <cfRule type="expression" dxfId="631" priority="483">
      <formula>MOD(G29,2)=1</formula>
    </cfRule>
  </conditionalFormatting>
  <conditionalFormatting sqref="G36">
    <cfRule type="containsBlanks" dxfId="630" priority="472">
      <formula>LEN(TRIM(G36))=0</formula>
    </cfRule>
    <cfRule type="expression" dxfId="629" priority="474">
      <formula>MOD(G36,2)=0</formula>
    </cfRule>
    <cfRule type="expression" dxfId="628" priority="475">
      <formula>MOD(G36,2)=1</formula>
    </cfRule>
  </conditionalFormatting>
  <conditionalFormatting sqref="G37">
    <cfRule type="containsBlanks" dxfId="627" priority="468">
      <formula>LEN(TRIM(G37))=0</formula>
    </cfRule>
    <cfRule type="expression" dxfId="626" priority="470">
      <formula>MOD(G37,2)=0</formula>
    </cfRule>
    <cfRule type="expression" dxfId="625" priority="471">
      <formula>MOD(G37,2)=1</formula>
    </cfRule>
  </conditionalFormatting>
  <conditionalFormatting sqref="G12">
    <cfRule type="containsBlanks" dxfId="624" priority="462">
      <formula>LEN(TRIM(G12))=0</formula>
    </cfRule>
    <cfRule type="expression" dxfId="623" priority="464">
      <formula>MOD(G12,2)=0</formula>
    </cfRule>
    <cfRule type="expression" dxfId="622" priority="465">
      <formula>MOD(G12,2)=1</formula>
    </cfRule>
  </conditionalFormatting>
  <conditionalFormatting sqref="G45">
    <cfRule type="containsBlanks" dxfId="621" priority="457">
      <formula>LEN(TRIM(G45))=0</formula>
    </cfRule>
    <cfRule type="expression" dxfId="620" priority="459">
      <formula>MOD(G45,2)=0</formula>
    </cfRule>
    <cfRule type="expression" dxfId="619" priority="460">
      <formula>MOD(G45,2)=1</formula>
    </cfRule>
  </conditionalFormatting>
  <conditionalFormatting sqref="G14:G19">
    <cfRule type="containsBlanks" dxfId="618" priority="451">
      <formula>LEN(TRIM(G14))=0</formula>
    </cfRule>
    <cfRule type="expression" dxfId="617" priority="453">
      <formula>MOD(G14,2)=0</formula>
    </cfRule>
    <cfRule type="expression" dxfId="616" priority="454">
      <formula>MOD(G14,2)=1</formula>
    </cfRule>
  </conditionalFormatting>
  <conditionalFormatting sqref="G22:G27">
    <cfRule type="containsBlanks" dxfId="615" priority="446">
      <formula>LEN(TRIM(G22))=0</formula>
    </cfRule>
    <cfRule type="expression" dxfId="614" priority="448">
      <formula>MOD(G22,2)=0</formula>
    </cfRule>
    <cfRule type="expression" dxfId="613" priority="449">
      <formula>MOD(G22,2)=1</formula>
    </cfRule>
  </conditionalFormatting>
  <conditionalFormatting sqref="G30:G35">
    <cfRule type="containsBlanks" dxfId="612" priority="442">
      <formula>LEN(TRIM(G30))=0</formula>
    </cfRule>
    <cfRule type="expression" dxfId="611" priority="444">
      <formula>MOD(G30,2)=0</formula>
    </cfRule>
    <cfRule type="expression" dxfId="610" priority="445">
      <formula>MOD(G30,2)=1</formula>
    </cfRule>
  </conditionalFormatting>
  <conditionalFormatting sqref="G38:G43 G45">
    <cfRule type="containsBlanks" dxfId="609" priority="438">
      <formula>LEN(TRIM(G38))=0</formula>
    </cfRule>
    <cfRule type="expression" dxfId="608" priority="440">
      <formula>MOD(G38,2)=0</formula>
    </cfRule>
    <cfRule type="expression" dxfId="607" priority="441">
      <formula>MOD(G38,2)=1</formula>
    </cfRule>
  </conditionalFormatting>
  <conditionalFormatting sqref="G14:G19">
    <cfRule type="containsBlanks" dxfId="606" priority="432">
      <formula>LEN(TRIM(G14))=0</formula>
    </cfRule>
    <cfRule type="expression" dxfId="605" priority="434">
      <formula>MOD(G14,2)=0</formula>
    </cfRule>
    <cfRule type="expression" dxfId="604" priority="435">
      <formula>MOD(G14,2)=1</formula>
    </cfRule>
  </conditionalFormatting>
  <conditionalFormatting sqref="G30:G35">
    <cfRule type="containsBlanks" dxfId="603" priority="428">
      <formula>LEN(TRIM(G30))=0</formula>
    </cfRule>
    <cfRule type="expression" dxfId="602" priority="430">
      <formula>MOD(G30,2)=0</formula>
    </cfRule>
    <cfRule type="expression" dxfId="601" priority="431">
      <formula>MOD(G30,2)=1</formula>
    </cfRule>
  </conditionalFormatting>
  <conditionalFormatting sqref="G38:G43 G45">
    <cfRule type="containsBlanks" dxfId="600" priority="424">
      <formula>LEN(TRIM(G38))=0</formula>
    </cfRule>
    <cfRule type="expression" dxfId="599" priority="426">
      <formula>MOD(G38,2)=0</formula>
    </cfRule>
    <cfRule type="expression" dxfId="598" priority="427">
      <formula>MOD(G38,2)=1</formula>
    </cfRule>
  </conditionalFormatting>
  <conditionalFormatting sqref="G44">
    <cfRule type="containsBlanks" dxfId="597" priority="417">
      <formula>LEN(TRIM(G44))=0</formula>
    </cfRule>
    <cfRule type="expression" dxfId="596" priority="418">
      <formula>MOD(G44,2)=0</formula>
    </cfRule>
    <cfRule type="expression" dxfId="595" priority="419">
      <formula>MOD(G44,2)=1</formula>
    </cfRule>
  </conditionalFormatting>
  <conditionalFormatting sqref="G44">
    <cfRule type="containsBlanks" dxfId="594" priority="413">
      <formula>LEN(TRIM(G44))=0</formula>
    </cfRule>
    <cfRule type="expression" dxfId="593" priority="415">
      <formula>MOD(G44,2)=0</formula>
    </cfRule>
    <cfRule type="expression" dxfId="592" priority="416">
      <formula>MOD(G44,2)=1</formula>
    </cfRule>
  </conditionalFormatting>
  <conditionalFormatting sqref="G46:G60">
    <cfRule type="containsBlanks" dxfId="591" priority="407">
      <formula>LEN(TRIM(G46))=0</formula>
    </cfRule>
    <cfRule type="expression" dxfId="590" priority="408">
      <formula>MOD(G46,2)=0</formula>
    </cfRule>
    <cfRule type="expression" dxfId="589" priority="409">
      <formula>MOD(G46,2)=1</formula>
    </cfRule>
  </conditionalFormatting>
  <conditionalFormatting sqref="G47">
    <cfRule type="containsBlanks" dxfId="588" priority="403">
      <formula>LEN(TRIM(G47))=0</formula>
    </cfRule>
    <cfRule type="expression" dxfId="587" priority="405">
      <formula>MOD(G47,2)=0</formula>
    </cfRule>
    <cfRule type="expression" dxfId="586" priority="406">
      <formula>MOD(G47,2)=1</formula>
    </cfRule>
  </conditionalFormatting>
  <conditionalFormatting sqref="G54">
    <cfRule type="containsBlanks" dxfId="585" priority="397">
      <formula>LEN(TRIM(G54))=0</formula>
    </cfRule>
    <cfRule type="expression" dxfId="584" priority="399">
      <formula>MOD(G54,2)=0</formula>
    </cfRule>
    <cfRule type="expression" dxfId="583" priority="400">
      <formula>MOD(G54,2)=1</formula>
    </cfRule>
  </conditionalFormatting>
  <conditionalFormatting sqref="G55:G60">
    <cfRule type="containsBlanks" dxfId="582" priority="393">
      <formula>LEN(TRIM(G55))=0</formula>
    </cfRule>
    <cfRule type="expression" dxfId="581" priority="395">
      <formula>MOD(G55,2)=0</formula>
    </cfRule>
    <cfRule type="expression" dxfId="580" priority="396">
      <formula>MOD(G55,2)=1</formula>
    </cfRule>
  </conditionalFormatting>
  <conditionalFormatting sqref="G46">
    <cfRule type="containsBlanks" dxfId="579" priority="387">
      <formula>LEN(TRIM(G46))=0</formula>
    </cfRule>
    <cfRule type="expression" dxfId="578" priority="389">
      <formula>MOD(G46,2)=0</formula>
    </cfRule>
    <cfRule type="expression" dxfId="577" priority="390">
      <formula>MOD(G46,2)=1</formula>
    </cfRule>
  </conditionalFormatting>
  <conditionalFormatting sqref="G48:G53">
    <cfRule type="containsBlanks" dxfId="576" priority="382">
      <formula>LEN(TRIM(G48))=0</formula>
    </cfRule>
    <cfRule type="expression" dxfId="575" priority="384">
      <formula>MOD(G48,2)=0</formula>
    </cfRule>
    <cfRule type="expression" dxfId="574" priority="385">
      <formula>MOD(G48,2)=1</formula>
    </cfRule>
  </conditionalFormatting>
  <conditionalFormatting sqref="G56:G60">
    <cfRule type="containsBlanks" dxfId="573" priority="377">
      <formula>LEN(TRIM(G56))=0</formula>
    </cfRule>
    <cfRule type="expression" dxfId="572" priority="379">
      <formula>MOD(G56,2)=0</formula>
    </cfRule>
    <cfRule type="expression" dxfId="571" priority="380">
      <formula>MOD(G56,2)=1</formula>
    </cfRule>
  </conditionalFormatting>
  <conditionalFormatting sqref="G48:G53">
    <cfRule type="containsBlanks" dxfId="570" priority="371">
      <formula>LEN(TRIM(G48))=0</formula>
    </cfRule>
    <cfRule type="expression" dxfId="569" priority="373">
      <formula>MOD(G48,2)=0</formula>
    </cfRule>
    <cfRule type="expression" dxfId="568" priority="374">
      <formula>MOD(G48,2)=1</formula>
    </cfRule>
  </conditionalFormatting>
  <conditionalFormatting sqref="G95">
    <cfRule type="containsBlanks" dxfId="567" priority="364">
      <formula>LEN(TRIM(G95))=0</formula>
    </cfRule>
    <cfRule type="expression" dxfId="566" priority="365">
      <formula>MOD(G95,2)=0</formula>
    </cfRule>
    <cfRule type="expression" dxfId="565" priority="366">
      <formula>MOD(G95,2)=1</formula>
    </cfRule>
  </conditionalFormatting>
  <conditionalFormatting sqref="G14:G19">
    <cfRule type="containsBlanks" dxfId="564" priority="348">
      <formula>LEN(TRIM(G14))=0</formula>
    </cfRule>
    <cfRule type="expression" dxfId="563" priority="350">
      <formula>MOD(G14,2)=0</formula>
    </cfRule>
    <cfRule type="expression" dxfId="562" priority="351">
      <formula>MOD(G14,2)=1</formula>
    </cfRule>
  </conditionalFormatting>
  <conditionalFormatting sqref="G191">
    <cfRule type="containsBlanks" dxfId="561" priority="344">
      <formula>LEN(TRIM(G191))=0</formula>
    </cfRule>
    <cfRule type="expression" dxfId="560" priority="346">
      <formula>MOD(G191,2)=0</formula>
    </cfRule>
    <cfRule type="expression" dxfId="559" priority="347">
      <formula>MOD(G191,2)=1</formula>
    </cfRule>
  </conditionalFormatting>
  <conditionalFormatting sqref="G192">
    <cfRule type="containsBlanks" dxfId="558" priority="343">
      <formula>LEN(TRIM(G192))=0</formula>
    </cfRule>
  </conditionalFormatting>
  <conditionalFormatting sqref="G193">
    <cfRule type="containsBlanks" dxfId="557" priority="342">
      <formula>LEN(TRIM(G193))=0</formula>
    </cfRule>
  </conditionalFormatting>
  <conditionalFormatting sqref="G200">
    <cfRule type="containsBlanks" dxfId="556" priority="341">
      <formula>LEN(TRIM(G200))=0</formula>
    </cfRule>
  </conditionalFormatting>
  <conditionalFormatting sqref="G201">
    <cfRule type="containsBlanks" dxfId="555" priority="340">
      <formula>LEN(TRIM(G201))=0</formula>
    </cfRule>
  </conditionalFormatting>
  <conditionalFormatting sqref="G194:G199">
    <cfRule type="containsBlanks" dxfId="554" priority="337">
      <formula>LEN(TRIM(G194))=0</formula>
    </cfRule>
  </conditionalFormatting>
  <conditionalFormatting sqref="G202:G207">
    <cfRule type="containsBlanks" dxfId="553" priority="334">
      <formula>LEN(TRIM(G202))=0</formula>
    </cfRule>
  </conditionalFormatting>
  <conditionalFormatting sqref="G194:G199">
    <cfRule type="containsBlanks" dxfId="552" priority="332">
      <formula>LEN(TRIM(G194))=0</formula>
    </cfRule>
  </conditionalFormatting>
  <conditionalFormatting sqref="G202:G207">
    <cfRule type="containsBlanks" dxfId="551" priority="330">
      <formula>LEN(TRIM(G202))=0</formula>
    </cfRule>
  </conditionalFormatting>
  <conditionalFormatting sqref="G38:G43">
    <cfRule type="containsBlanks" dxfId="550" priority="313">
      <formula>LEN(TRIM(G38))=0</formula>
    </cfRule>
    <cfRule type="expression" dxfId="549" priority="315">
      <formula>MOD(G38,2)=0</formula>
    </cfRule>
    <cfRule type="expression" dxfId="548" priority="316">
      <formula>MOD(G38,2)=1</formula>
    </cfRule>
  </conditionalFormatting>
  <conditionalFormatting sqref="G48:G53">
    <cfRule type="containsBlanks" dxfId="547" priority="309">
      <formula>LEN(TRIM(G48))=0</formula>
    </cfRule>
    <cfRule type="expression" dxfId="546" priority="311">
      <formula>MOD(G48,2)=0</formula>
    </cfRule>
    <cfRule type="expression" dxfId="545" priority="312">
      <formula>MOD(G48,2)=1</formula>
    </cfRule>
  </conditionalFormatting>
  <conditionalFormatting sqref="G109">
    <cfRule type="containsBlanks" dxfId="544" priority="302">
      <formula>LEN(TRIM(G109))=0</formula>
    </cfRule>
    <cfRule type="expression" dxfId="543" priority="304">
      <formula>MOD(G109,2)=0</formula>
    </cfRule>
    <cfRule type="expression" dxfId="542" priority="305">
      <formula>MOD(G109,2)=1</formula>
    </cfRule>
  </conditionalFormatting>
  <conditionalFormatting sqref="G81:G86">
    <cfRule type="containsBlanks" dxfId="541" priority="291">
      <formula>LEN(TRIM(G81))=0</formula>
    </cfRule>
    <cfRule type="expression" dxfId="540" priority="293">
      <formula>MOD(G81,2)=0</formula>
    </cfRule>
    <cfRule type="expression" dxfId="539" priority="294">
      <formula>MOD(G81,2)=1</formula>
    </cfRule>
  </conditionalFormatting>
  <conditionalFormatting sqref="G99:G108">
    <cfRule type="containsBlanks" dxfId="538" priority="287">
      <formula>LEN(TRIM(G99))=0</formula>
    </cfRule>
    <cfRule type="expression" dxfId="537" priority="289">
      <formula>MOD(G99,2)=0</formula>
    </cfRule>
    <cfRule type="expression" dxfId="536" priority="290">
      <formula>MOD(G99,2)=1</formula>
    </cfRule>
  </conditionalFormatting>
  <conditionalFormatting sqref="G112:G122">
    <cfRule type="containsBlanks" dxfId="535" priority="283">
      <formula>LEN(TRIM(G112))=0</formula>
    </cfRule>
    <cfRule type="expression" dxfId="534" priority="285">
      <formula>MOD(G112,2)=0</formula>
    </cfRule>
    <cfRule type="expression" dxfId="533" priority="286">
      <formula>MOD(G112,2)=1</formula>
    </cfRule>
  </conditionalFormatting>
  <conditionalFormatting sqref="G194:G199">
    <cfRule type="containsBlanks" dxfId="532" priority="282">
      <formula>LEN(TRIM(G194))=0</formula>
    </cfRule>
  </conditionalFormatting>
  <conditionalFormatting sqref="G202:G207">
    <cfRule type="containsBlanks" dxfId="531" priority="280">
      <formula>LEN(TRIM(G202))=0</formula>
    </cfRule>
  </conditionalFormatting>
  <conditionalFormatting sqref="G123">
    <cfRule type="containsBlanks" dxfId="530" priority="272">
      <formula>LEN(TRIM(G123))=0</formula>
    </cfRule>
    <cfRule type="expression" dxfId="529" priority="274">
      <formula>MOD(G123,2)=0</formula>
    </cfRule>
    <cfRule type="expression" dxfId="528" priority="275">
      <formula>MOD(G123,2)=1</formula>
    </cfRule>
  </conditionalFormatting>
  <conditionalFormatting sqref="G124">
    <cfRule type="containsBlanks" dxfId="527" priority="258">
      <formula>LEN(TRIM(G124))=0</formula>
    </cfRule>
    <cfRule type="expression" dxfId="526" priority="260">
      <formula>MOD(G124,2)=0</formula>
    </cfRule>
    <cfRule type="expression" dxfId="525" priority="261">
      <formula>MOD(G124,2)=1</formula>
    </cfRule>
  </conditionalFormatting>
  <conditionalFormatting sqref="G166">
    <cfRule type="containsBlanks" dxfId="524" priority="172">
      <formula>LEN(TRIM(G166))=0</formula>
    </cfRule>
    <cfRule type="expression" dxfId="523" priority="174">
      <formula>MOD(G166,2)=0</formula>
    </cfRule>
    <cfRule type="expression" dxfId="522" priority="175">
      <formula>MOD(G166,2)=1</formula>
    </cfRule>
  </conditionalFormatting>
  <conditionalFormatting sqref="G131">
    <cfRule type="containsBlanks" dxfId="521" priority="239">
      <formula>LEN(TRIM(G131))=0</formula>
    </cfRule>
    <cfRule type="expression" dxfId="520" priority="241">
      <formula>MOD(G131,2)=0</formula>
    </cfRule>
    <cfRule type="expression" dxfId="519" priority="242">
      <formula>MOD(G131,2)=1</formula>
    </cfRule>
  </conditionalFormatting>
  <conditionalFormatting sqref="G133">
    <cfRule type="containsBlanks" dxfId="518" priority="220">
      <formula>LEN(TRIM(G133))=0</formula>
    </cfRule>
    <cfRule type="expression" dxfId="517" priority="222">
      <formula>MOD(G133,2)=0</formula>
    </cfRule>
    <cfRule type="expression" dxfId="516" priority="223">
      <formula>MOD(G133,2)=1</formula>
    </cfRule>
  </conditionalFormatting>
  <conditionalFormatting sqref="G155">
    <cfRule type="containsBlanks" dxfId="515" priority="210">
      <formula>LEN(TRIM(G155))=0</formula>
    </cfRule>
    <cfRule type="expression" dxfId="514" priority="212">
      <formula>MOD(G155,2)=0</formula>
    </cfRule>
    <cfRule type="expression" dxfId="513" priority="213">
      <formula>MOD(G155,2)=1</formula>
    </cfRule>
  </conditionalFormatting>
  <conditionalFormatting sqref="G132">
    <cfRule type="containsBlanks" dxfId="512" priority="224">
      <formula>LEN(TRIM(G132))=0</formula>
    </cfRule>
    <cfRule type="expression" dxfId="511" priority="226">
      <formula>MOD(G132,2)=0</formula>
    </cfRule>
    <cfRule type="expression" dxfId="510" priority="227">
      <formula>MOD(G132,2)=1</formula>
    </cfRule>
  </conditionalFormatting>
  <conditionalFormatting sqref="G154">
    <cfRule type="containsBlanks" dxfId="509" priority="214">
      <formula>LEN(TRIM(G154))=0</formula>
    </cfRule>
    <cfRule type="expression" dxfId="508" priority="216">
      <formula>MOD(G154,2)=0</formula>
    </cfRule>
    <cfRule type="expression" dxfId="507" priority="217">
      <formula>MOD(G154,2)=1</formula>
    </cfRule>
  </conditionalFormatting>
  <conditionalFormatting sqref="G153">
    <cfRule type="containsBlanks" dxfId="506" priority="187">
      <formula>LEN(TRIM(G153))=0</formula>
    </cfRule>
    <cfRule type="expression" dxfId="505" priority="189">
      <formula>MOD(G153,2)=0</formula>
    </cfRule>
    <cfRule type="expression" dxfId="504" priority="190">
      <formula>MOD(G153,2)=1</formula>
    </cfRule>
  </conditionalFormatting>
  <conditionalFormatting sqref="G142">
    <cfRule type="containsBlanks" dxfId="503" priority="155">
      <formula>LEN(TRIM(G142))=0</formula>
    </cfRule>
    <cfRule type="expression" dxfId="502" priority="157">
      <formula>MOD(G142,2)=0</formula>
    </cfRule>
    <cfRule type="expression" dxfId="501" priority="158">
      <formula>MOD(G142,2)=1</formula>
    </cfRule>
  </conditionalFormatting>
  <conditionalFormatting sqref="G141">
    <cfRule type="containsBlanks" dxfId="500" priority="159">
      <formula>LEN(TRIM(G141))=0</formula>
    </cfRule>
    <cfRule type="expression" dxfId="499" priority="161">
      <formula>MOD(G141,2)=0</formula>
    </cfRule>
    <cfRule type="expression" dxfId="498" priority="162">
      <formula>MOD(G141,2)=1</formula>
    </cfRule>
  </conditionalFormatting>
  <conditionalFormatting sqref="G211:G216">
    <cfRule type="containsBlanks" dxfId="497" priority="108">
      <formula>LEN(TRIM(G211))=0</formula>
    </cfRule>
    <cfRule type="expression" dxfId="496" priority="110">
      <formula>MOD(G211,2)=0</formula>
    </cfRule>
    <cfRule type="expression" dxfId="495" priority="111">
      <formula>MOD(G211,2)=1</formula>
    </cfRule>
  </conditionalFormatting>
  <conditionalFormatting sqref="G125:G130">
    <cfRule type="containsBlanks" dxfId="494" priority="136">
      <formula>LEN(TRIM(G125))=0</formula>
    </cfRule>
    <cfRule type="expression" dxfId="493" priority="138">
      <formula>MOD(G125,2)=0</formula>
    </cfRule>
    <cfRule type="expression" dxfId="492" priority="139">
      <formula>MOD(G125,2)=1</formula>
    </cfRule>
  </conditionalFormatting>
  <conditionalFormatting sqref="G134:G140">
    <cfRule type="containsBlanks" dxfId="491" priority="132">
      <formula>LEN(TRIM(G134))=0</formula>
    </cfRule>
    <cfRule type="expression" dxfId="490" priority="134">
      <formula>MOD(G134,2)=0</formula>
    </cfRule>
    <cfRule type="expression" dxfId="489" priority="135">
      <formula>MOD(G134,2)=1</formula>
    </cfRule>
  </conditionalFormatting>
  <conditionalFormatting sqref="G143:G152">
    <cfRule type="containsBlanks" dxfId="488" priority="128">
      <formula>LEN(TRIM(G143))=0</formula>
    </cfRule>
    <cfRule type="expression" dxfId="487" priority="130">
      <formula>MOD(G143,2)=0</formula>
    </cfRule>
    <cfRule type="expression" dxfId="486" priority="131">
      <formula>MOD(G143,2)=1</formula>
    </cfRule>
  </conditionalFormatting>
  <conditionalFormatting sqref="G156:G165">
    <cfRule type="containsBlanks" dxfId="485" priority="124">
      <formula>LEN(TRIM(G156))=0</formula>
    </cfRule>
    <cfRule type="expression" dxfId="484" priority="126">
      <formula>MOD(G156,2)=0</formula>
    </cfRule>
    <cfRule type="expression" dxfId="483" priority="127">
      <formula>MOD(G156,2)=1</formula>
    </cfRule>
  </conditionalFormatting>
  <conditionalFormatting sqref="G168:G177">
    <cfRule type="containsBlanks" dxfId="482" priority="120">
      <formula>LEN(TRIM(G168))=0</formula>
    </cfRule>
    <cfRule type="expression" dxfId="481" priority="122">
      <formula>MOD(G168,2)=0</formula>
    </cfRule>
    <cfRule type="expression" dxfId="480" priority="123">
      <formula>MOD(G168,2)=1</formula>
    </cfRule>
  </conditionalFormatting>
  <conditionalFormatting sqref="G180:G189">
    <cfRule type="containsBlanks" dxfId="479" priority="116">
      <formula>LEN(TRIM(G180))=0</formula>
    </cfRule>
    <cfRule type="expression" dxfId="478" priority="118">
      <formula>MOD(G180,2)=0</formula>
    </cfRule>
    <cfRule type="expression" dxfId="477" priority="119">
      <formula>MOD(G180,2)=1</formula>
    </cfRule>
  </conditionalFormatting>
  <conditionalFormatting sqref="G194:G199">
    <cfRule type="containsBlanks" dxfId="476" priority="115">
      <formula>LEN(TRIM(G194))=0</formula>
    </cfRule>
  </conditionalFormatting>
  <conditionalFormatting sqref="G202:G207">
    <cfRule type="containsBlanks" dxfId="475" priority="113">
      <formula>LEN(TRIM(G202))=0</formula>
    </cfRule>
  </conditionalFormatting>
  <conditionalFormatting sqref="G254:G259">
    <cfRule type="containsBlanks" dxfId="474" priority="104">
      <formula>LEN(TRIM(G254))=0</formula>
    </cfRule>
    <cfRule type="expression" dxfId="473" priority="106">
      <formula>MOD(G254,2)=0</formula>
    </cfRule>
    <cfRule type="expression" dxfId="472" priority="107">
      <formula>MOD(G254,2)=1</formula>
    </cfRule>
  </conditionalFormatting>
  <conditionalFormatting sqref="G260:G261">
    <cfRule type="containsBlanks" dxfId="468" priority="83">
      <formula>LEN(TRIM(G260))=0</formula>
    </cfRule>
    <cfRule type="expression" dxfId="467" priority="85">
      <formula>MOD(G260,2)=0</formula>
    </cfRule>
    <cfRule type="expression" dxfId="466" priority="86">
      <formula>MOD(G260,2)=1</formula>
    </cfRule>
  </conditionalFormatting>
  <conditionalFormatting sqref="G283:G291">
    <cfRule type="containsBlanks" dxfId="465" priority="68">
      <formula>LEN(TRIM(G283))=0</formula>
    </cfRule>
    <cfRule type="expression" dxfId="464" priority="69">
      <formula>MOD(G283,2)=0</formula>
    </cfRule>
    <cfRule type="expression" dxfId="463" priority="70">
      <formula>MOD(G283,2)=1</formula>
    </cfRule>
  </conditionalFormatting>
  <conditionalFormatting sqref="G282 G285">
    <cfRule type="containsBlanks" dxfId="462" priority="61">
      <formula>LEN(TRIM(G282))=0</formula>
    </cfRule>
    <cfRule type="expression" dxfId="461" priority="62">
      <formula>MOD(G282,2)=0</formula>
    </cfRule>
    <cfRule type="expression" dxfId="460" priority="63">
      <formula>MOD(G282,2)=1</formula>
    </cfRule>
  </conditionalFormatting>
  <conditionalFormatting sqref="G284">
    <cfRule type="containsBlanks" dxfId="459" priority="43">
      <formula>LEN(TRIM(G284))=0</formula>
    </cfRule>
    <cfRule type="expression" dxfId="458" priority="44">
      <formula>MOD(G284,2)=0</formula>
    </cfRule>
    <cfRule type="expression" dxfId="457" priority="45">
      <formula>MOD(G284,2)=1</formula>
    </cfRule>
  </conditionalFormatting>
  <conditionalFormatting sqref="G294">
    <cfRule type="containsBlanks" dxfId="456" priority="39">
      <formula>LEN(TRIM(G294))=0</formula>
    </cfRule>
    <cfRule type="expression" dxfId="455" priority="40">
      <formula>MOD(G294,2)=0</formula>
    </cfRule>
    <cfRule type="expression" dxfId="454" priority="41">
      <formula>MOD(G294,2)=1</formula>
    </cfRule>
  </conditionalFormatting>
  <conditionalFormatting sqref="G293">
    <cfRule type="containsBlanks" dxfId="453" priority="32">
      <formula>LEN(TRIM(G293))=0</formula>
    </cfRule>
    <cfRule type="expression" dxfId="452" priority="33">
      <formula>MOD(G293,2)=0</formula>
    </cfRule>
    <cfRule type="expression" dxfId="451" priority="34">
      <formula>MOD(G293,2)=1</formula>
    </cfRule>
  </conditionalFormatting>
  <conditionalFormatting sqref="G262:G269">
    <cfRule type="containsBlanks" dxfId="450" priority="13">
      <formula>LEN(TRIM(G262))=0</formula>
    </cfRule>
    <cfRule type="expression" dxfId="449" priority="15">
      <formula>MOD(G262,2)=0</formula>
    </cfRule>
    <cfRule type="expression" dxfId="448" priority="16">
      <formula>MOD(G262,2)=1</formula>
    </cfRule>
  </conditionalFormatting>
  <conditionalFormatting sqref="G273:G280">
    <cfRule type="containsBlanks" dxfId="447" priority="9">
      <formula>LEN(TRIM(G273))=0</formula>
    </cfRule>
    <cfRule type="expression" dxfId="446" priority="10">
      <formula>MOD(G273,2)=0</formula>
    </cfRule>
    <cfRule type="expression" dxfId="445" priority="11">
      <formula>MOD(G273,2)=1</formula>
    </cfRule>
  </conditionalFormatting>
  <conditionalFormatting sqref="G295:G302">
    <cfRule type="containsBlanks" dxfId="444" priority="5">
      <formula>LEN(TRIM(G295))=0</formula>
    </cfRule>
    <cfRule type="expression" dxfId="443" priority="6">
      <formula>MOD(G295,2)=0</formula>
    </cfRule>
    <cfRule type="expression" dxfId="442" priority="7">
      <formula>MOD(G295,2)=1</formula>
    </cfRule>
  </conditionalFormatting>
  <conditionalFormatting sqref="G305:G310">
    <cfRule type="containsBlanks" dxfId="441" priority="1">
      <formula>LEN(TRIM(G305))=0</formula>
    </cfRule>
    <cfRule type="expression" dxfId="440" priority="3">
      <formula>MOD(G305,2)=0</formula>
    </cfRule>
    <cfRule type="expression" dxfId="439" priority="4">
      <formula>MOD(G305,2)=1</formula>
    </cfRule>
  </conditionalFormatting>
  <pageMargins left="0.23622047244094491" right="0.23622047244094491" top="0.74803149606299213" bottom="0.74803149606299213" header="0.31496062992125984" footer="0.31496062992125984"/>
  <pageSetup paperSize="8" scale="67" fitToHeight="0" orientation="landscape" r:id="rId1"/>
  <extLst>
    <ext xmlns:x14="http://schemas.microsoft.com/office/spreadsheetml/2009/9/main" uri="{78C0D931-6437-407d-A8EE-F0AAD7539E65}">
      <x14:conditionalFormattings>
        <x14:conditionalFormatting xmlns:xm="http://schemas.microsoft.com/office/excel/2006/main">
          <x14:cfRule type="containsText" priority="750" operator="containsText" id="{11C3A70C-E6A2-471D-9496-EB8363C5F241}">
            <xm:f>NOT(ISERROR(SEARCH("-",G4)))</xm:f>
            <xm:f>"-"</xm:f>
            <x14:dxf>
              <fill>
                <patternFill>
                  <bgColor rgb="FFF2F2F2"/>
                </patternFill>
              </fill>
            </x14:dxf>
          </x14:cfRule>
          <xm:sqref>G4 G96 G61:G94 G190:G209 G217:G252 G272 G286:G292 G303 G311:G322</xm:sqref>
        </x14:conditionalFormatting>
        <x14:conditionalFormatting xmlns:xm="http://schemas.microsoft.com/office/excel/2006/main">
          <x14:cfRule type="containsText" priority="747" operator="containsText" id="{CA2BB74D-A288-425A-8A2D-C5AD252B3AF4}">
            <xm:f>NOT(ISERROR(SEARCH("-",G323)))</xm:f>
            <xm:f>"-"</xm:f>
            <x14:dxf>
              <fill>
                <patternFill>
                  <bgColor rgb="FFF2F2F2"/>
                </patternFill>
              </fill>
            </x14:dxf>
          </x14:cfRule>
          <xm:sqref>G323</xm:sqref>
        </x14:conditionalFormatting>
        <x14:conditionalFormatting xmlns:xm="http://schemas.microsoft.com/office/excel/2006/main">
          <x14:cfRule type="containsText" priority="743" operator="containsText" id="{22B40B4D-61C9-4F4A-AC87-0CCFF537B1EE}">
            <xm:f>NOT(ISERROR(SEARCH("-",G64)))</xm:f>
            <xm:f>"-"</xm:f>
            <x14:dxf>
              <fill>
                <patternFill>
                  <bgColor rgb="FFF2F2F2"/>
                </patternFill>
              </fill>
            </x14:dxf>
          </x14:cfRule>
          <xm:sqref>G64</xm:sqref>
        </x14:conditionalFormatting>
        <x14:conditionalFormatting xmlns:xm="http://schemas.microsoft.com/office/excel/2006/main">
          <x14:cfRule type="expression" priority="741" id="{F3485C51-DAC3-42B3-BD92-1EAA69199F26}">
            <xm:f>I4='[IV2_Seq9 - Notes ver4.6 - Rev0.xlsm]Categories'!#REF!</xm:f>
            <x14:dxf>
              <font>
                <b/>
                <i val="0"/>
              </font>
            </x14:dxf>
          </x14:cfRule>
          <xm:sqref>L96:L108 L4:L94 L110:L122 L132:L140 L167:L259 L274:L281 L262:L272 L286:L292 L297:L323</xm:sqref>
        </x14:conditionalFormatting>
        <x14:conditionalFormatting xmlns:xm="http://schemas.microsoft.com/office/excel/2006/main">
          <x14:cfRule type="expression" priority="740" id="{FDEE4C94-972A-4854-9984-FCE2F7A918B4}">
            <xm:f>I66='[IV2_Seq9 - Notes ver4.6 - Rev0.xlsm]Categories'!#REF!</xm:f>
            <x14:dxf>
              <font>
                <b/>
                <i val="0"/>
              </font>
            </x14:dxf>
          </x14:cfRule>
          <xm:sqref>L66:L71</xm:sqref>
        </x14:conditionalFormatting>
        <x14:conditionalFormatting xmlns:xm="http://schemas.microsoft.com/office/excel/2006/main">
          <x14:cfRule type="containsText" priority="737" operator="containsText" id="{E3363E00-5F5D-4949-B4EA-252F3D2534EA}">
            <xm:f>NOT(ISERROR(SEARCH("-",G71)))</xm:f>
            <xm:f>"-"</xm:f>
            <x14:dxf>
              <fill>
                <patternFill>
                  <bgColor rgb="FFF2F2F2"/>
                </patternFill>
              </fill>
            </x14:dxf>
          </x14:cfRule>
          <xm:sqref>G71</xm:sqref>
        </x14:conditionalFormatting>
        <x14:conditionalFormatting xmlns:xm="http://schemas.microsoft.com/office/excel/2006/main">
          <x14:cfRule type="containsText" priority="733" operator="containsText" id="{EE969D4D-47EC-4A87-98B2-85EE33E8AFEA}">
            <xm:f>NOT(ISERROR(SEARCH("-",G72)))</xm:f>
            <xm:f>"-"</xm:f>
            <x14:dxf>
              <fill>
                <patternFill>
                  <bgColor rgb="FFF2F2F2"/>
                </patternFill>
              </fill>
            </x14:dxf>
          </x14:cfRule>
          <xm:sqref>G72:G78</xm:sqref>
        </x14:conditionalFormatting>
        <x14:conditionalFormatting xmlns:xm="http://schemas.microsoft.com/office/excel/2006/main">
          <x14:cfRule type="expression" priority="731" id="{08BCF46A-4815-4DD3-AE17-CFE5852B9CF9}">
            <xm:f>I73='[IV2_Seq9 - Notes ver4.6 - Rev0.xlsm]Categories'!#REF!</xm:f>
            <x14:dxf>
              <font>
                <b/>
                <i val="0"/>
              </font>
            </x14:dxf>
          </x14:cfRule>
          <xm:sqref>L73</xm:sqref>
        </x14:conditionalFormatting>
        <x14:conditionalFormatting xmlns:xm="http://schemas.microsoft.com/office/excel/2006/main">
          <x14:cfRule type="expression" priority="730" id="{02F7F914-D12E-4C57-83FD-A1A7758D6257}">
            <xm:f>I72='[IV2_Seq9 - Notes ver4.6 - Rev0.xlsm]Categories'!#REF!</xm:f>
            <x14:dxf>
              <font>
                <b/>
                <i val="0"/>
              </font>
            </x14:dxf>
          </x14:cfRule>
          <xm:sqref>L72</xm:sqref>
        </x14:conditionalFormatting>
        <x14:conditionalFormatting xmlns:xm="http://schemas.microsoft.com/office/excel/2006/main">
          <x14:cfRule type="expression" priority="729" id="{69AA0591-93A2-4436-9C3E-A093531844DB}">
            <xm:f>I57='[IV2_Seq9 - Notes ver4.6 - Rev0.xlsm]Categories'!#REF!</xm:f>
            <x14:dxf>
              <font>
                <b/>
                <i val="0"/>
              </font>
            </x14:dxf>
          </x14:cfRule>
          <xm:sqref>L74:L78 L57:L60 L118:L121</xm:sqref>
        </x14:conditionalFormatting>
        <x14:conditionalFormatting xmlns:xm="http://schemas.microsoft.com/office/excel/2006/main">
          <x14:cfRule type="expression" priority="728" id="{073DBCDA-64B7-4A15-A2B9-17B623487E5B}">
            <xm:f>I79='[IV2_Seq9 - Notes ver4.6 - Rev0.xlsm]Categories'!#REF!</xm:f>
            <x14:dxf>
              <font>
                <b/>
                <i val="0"/>
              </font>
            </x14:dxf>
          </x14:cfRule>
          <xm:sqref>L79</xm:sqref>
        </x14:conditionalFormatting>
        <x14:conditionalFormatting xmlns:xm="http://schemas.microsoft.com/office/excel/2006/main">
          <x14:cfRule type="containsText" priority="725" operator="containsText" id="{4B3BF3AA-D8C4-4449-A8E9-8C03969A46AC}">
            <xm:f>NOT(ISERROR(SEARCH("-",G79)))</xm:f>
            <xm:f>"-"</xm:f>
            <x14:dxf>
              <fill>
                <patternFill>
                  <bgColor rgb="FFF2F2F2"/>
                </patternFill>
              </fill>
            </x14:dxf>
          </x14:cfRule>
          <xm:sqref>G79</xm:sqref>
        </x14:conditionalFormatting>
        <x14:conditionalFormatting xmlns:xm="http://schemas.microsoft.com/office/excel/2006/main">
          <x14:cfRule type="containsText" priority="721" operator="containsText" id="{D6406941-480A-403B-AC84-DD8F2AB6A77D}">
            <xm:f>NOT(ISERROR(SEARCH("-",G80)))</xm:f>
            <xm:f>"-"</xm:f>
            <x14:dxf>
              <fill>
                <patternFill>
                  <bgColor rgb="FFF2F2F2"/>
                </patternFill>
              </fill>
            </x14:dxf>
          </x14:cfRule>
          <xm:sqref>G80</xm:sqref>
        </x14:conditionalFormatting>
        <x14:conditionalFormatting xmlns:xm="http://schemas.microsoft.com/office/excel/2006/main">
          <x14:cfRule type="expression" priority="719" id="{416CF91D-9A05-4399-88D4-201D4D719CFA}">
            <xm:f>I81='[IV2_Seq9 - Notes ver4.6 - Rev0.xlsm]Categories'!#REF!</xm:f>
            <x14:dxf>
              <font>
                <b/>
                <i val="0"/>
              </font>
            </x14:dxf>
          </x14:cfRule>
          <xm:sqref>L81</xm:sqref>
        </x14:conditionalFormatting>
        <x14:conditionalFormatting xmlns:xm="http://schemas.microsoft.com/office/excel/2006/main">
          <x14:cfRule type="expression" priority="718" id="{22D93CBA-434B-44EA-ADD8-CDE024207EB5}">
            <xm:f>I80='[IV2_Seq9 - Notes ver4.6 - Rev0.xlsm]Categories'!#REF!</xm:f>
            <x14:dxf>
              <font>
                <b/>
                <i val="0"/>
              </font>
            </x14:dxf>
          </x14:cfRule>
          <xm:sqref>L80</xm:sqref>
        </x14:conditionalFormatting>
        <x14:conditionalFormatting xmlns:xm="http://schemas.microsoft.com/office/excel/2006/main">
          <x14:cfRule type="expression" priority="717" id="{989D1ECE-F118-4315-9DBE-26808D73C9C5}">
            <xm:f>I82='[IV2_Seq9 - Notes ver4.6 - Rev0.xlsm]Categories'!#REF!</xm:f>
            <x14:dxf>
              <font>
                <b/>
                <i val="0"/>
              </font>
            </x14:dxf>
          </x14:cfRule>
          <xm:sqref>L82:L86</xm:sqref>
        </x14:conditionalFormatting>
        <x14:conditionalFormatting xmlns:xm="http://schemas.microsoft.com/office/excel/2006/main">
          <x14:cfRule type="expression" priority="716" id="{D847D97A-FA71-4E44-9D77-09D9EE6A31E5}">
            <xm:f>I9='[IV2_Seq9 - Notes ver4.6 - Rev0.xlsm]Categories'!#REF!</xm:f>
            <x14:dxf>
              <font>
                <b/>
                <i val="0"/>
              </font>
            </x14:dxf>
          </x14:cfRule>
          <xm:sqref>L9</xm:sqref>
        </x14:conditionalFormatting>
        <x14:conditionalFormatting xmlns:xm="http://schemas.microsoft.com/office/excel/2006/main">
          <x14:cfRule type="expression" priority="715" id="{EB2632DD-CD23-4ECC-AC0B-85A4545D1E0D}">
            <xm:f>I7='[IV2_Seq9 - Notes ver4.6 - Rev0.xlsm]Categories'!#REF!</xm:f>
            <x14:dxf>
              <font>
                <b/>
                <i val="0"/>
              </font>
            </x14:dxf>
          </x14:cfRule>
          <xm:sqref>L7</xm:sqref>
        </x14:conditionalFormatting>
        <x14:conditionalFormatting xmlns:xm="http://schemas.microsoft.com/office/excel/2006/main">
          <x14:cfRule type="containsText" priority="712" operator="containsText" id="{5B799D0E-82C7-4593-AC3F-BA3473AD9201}">
            <xm:f>NOT(ISERROR(SEARCH("-",G5)))</xm:f>
            <xm:f>"-"</xm:f>
            <x14:dxf>
              <fill>
                <patternFill>
                  <bgColor rgb="FFF2F2F2"/>
                </patternFill>
              </fill>
            </x14:dxf>
          </x14:cfRule>
          <xm:sqref>G5</xm:sqref>
        </x14:conditionalFormatting>
        <x14:conditionalFormatting xmlns:xm="http://schemas.microsoft.com/office/excel/2006/main">
          <x14:cfRule type="expression" priority="710" id="{3163C574-11C0-4233-92D3-216AB596CAE1}">
            <xm:f>I5='[IV2_Seq9 - Notes ver4.6 - Rev0.xlsm]Categories'!#REF!</xm:f>
            <x14:dxf>
              <font>
                <b/>
                <i val="0"/>
              </font>
            </x14:dxf>
          </x14:cfRule>
          <xm:sqref>L5</xm:sqref>
        </x14:conditionalFormatting>
        <x14:conditionalFormatting xmlns:xm="http://schemas.microsoft.com/office/excel/2006/main">
          <x14:cfRule type="expression" priority="709" id="{26DC9DB4-5D42-4A4F-A84D-64349CDBD268}">
            <xm:f>I6='[IV2_Seq9 - Notes ver4.6 - Rev0.xlsm]Categories'!#REF!</xm:f>
            <x14:dxf>
              <font>
                <b/>
                <i val="0"/>
              </font>
            </x14:dxf>
          </x14:cfRule>
          <xm:sqref>L6</xm:sqref>
        </x14:conditionalFormatting>
        <x14:conditionalFormatting xmlns:xm="http://schemas.microsoft.com/office/excel/2006/main">
          <x14:cfRule type="expression" priority="708" id="{66965672-BFBB-4DE6-B2F8-7088BCA1211B}">
            <xm:f>I8='[IV2_Seq9 - Notes ver4.6 - Rev0.xlsm]Categories'!#REF!</xm:f>
            <x14:dxf>
              <font>
                <b/>
                <i val="0"/>
              </font>
            </x14:dxf>
          </x14:cfRule>
          <xm:sqref>L8</xm:sqref>
        </x14:conditionalFormatting>
        <x14:conditionalFormatting xmlns:xm="http://schemas.microsoft.com/office/excel/2006/main">
          <x14:cfRule type="expression" priority="707" id="{F6C90997-D40F-47B6-BE57-862FD39BFD3C}">
            <xm:f>I10='[IV2_Seq9 - Notes ver4.6 - Rev0.xlsm]Categories'!#REF!</xm:f>
            <x14:dxf>
              <font>
                <b/>
                <i val="0"/>
              </font>
            </x14:dxf>
          </x14:cfRule>
          <xm:sqref>L10</xm:sqref>
        </x14:conditionalFormatting>
        <x14:conditionalFormatting xmlns:xm="http://schemas.microsoft.com/office/excel/2006/main">
          <x14:cfRule type="expression" priority="706" id="{3886F108-7ADB-4806-BA02-C8F6DD623115}">
            <xm:f>I87='[IV2_Seq9 - Notes ver4.6 - Rev0.xlsm]Categories'!#REF!</xm:f>
            <x14:dxf>
              <font>
                <b/>
                <i val="0"/>
              </font>
            </x14:dxf>
          </x14:cfRule>
          <xm:sqref>L87</xm:sqref>
        </x14:conditionalFormatting>
        <x14:conditionalFormatting xmlns:xm="http://schemas.microsoft.com/office/excel/2006/main">
          <x14:cfRule type="containsText" priority="703" operator="containsText" id="{B19B5475-A2D3-4877-85C1-5D1EB2FDD4AA}">
            <xm:f>NOT(ISERROR(SEARCH("-",G87)))</xm:f>
            <xm:f>"-"</xm:f>
            <x14:dxf>
              <fill>
                <patternFill>
                  <bgColor rgb="FFF2F2F2"/>
                </patternFill>
              </fill>
            </x14:dxf>
          </x14:cfRule>
          <xm:sqref>G87</xm:sqref>
        </x14:conditionalFormatting>
        <x14:conditionalFormatting xmlns:xm="http://schemas.microsoft.com/office/excel/2006/main">
          <x14:cfRule type="containsText" priority="699" operator="containsText" id="{A84C1E41-AA4A-4742-9141-53201151A312}">
            <xm:f>NOT(ISERROR(SEARCH("-",G88)))</xm:f>
            <xm:f>"-"</xm:f>
            <x14:dxf>
              <fill>
                <patternFill>
                  <bgColor rgb="FFF2F2F2"/>
                </patternFill>
              </fill>
            </x14:dxf>
          </x14:cfRule>
          <xm:sqref>G88</xm:sqref>
        </x14:conditionalFormatting>
        <x14:conditionalFormatting xmlns:xm="http://schemas.microsoft.com/office/excel/2006/main">
          <x14:cfRule type="expression" priority="697" id="{8357B04F-2B89-4962-B92B-C5AF87649014}">
            <xm:f>I89='[IV2_Seq9 - Notes ver4.6 - Rev0.xlsm]Categories'!#REF!</xm:f>
            <x14:dxf>
              <font>
                <b/>
                <i val="0"/>
              </font>
            </x14:dxf>
          </x14:cfRule>
          <xm:sqref>L89</xm:sqref>
        </x14:conditionalFormatting>
        <x14:conditionalFormatting xmlns:xm="http://schemas.microsoft.com/office/excel/2006/main">
          <x14:cfRule type="expression" priority="696" id="{B3DE9342-741F-4B8D-AE54-24DE1E477CA2}">
            <xm:f>I88='[IV2_Seq9 - Notes ver4.6 - Rev0.xlsm]Categories'!#REF!</xm:f>
            <x14:dxf>
              <font>
                <b/>
                <i val="0"/>
              </font>
            </x14:dxf>
          </x14:cfRule>
          <xm:sqref>L88</xm:sqref>
        </x14:conditionalFormatting>
        <x14:conditionalFormatting xmlns:xm="http://schemas.microsoft.com/office/excel/2006/main">
          <x14:cfRule type="expression" priority="695" id="{6413F5A8-31A0-4FEA-8672-76C57C2C0D0B}">
            <xm:f>I4='[IV2_Seq9 - Notes ver4.6 - Rev0.xlsm]Categories'!#REF!</xm:f>
            <x14:dxf>
              <font>
                <b/>
                <i val="0"/>
              </font>
            </x14:dxf>
          </x14:cfRule>
          <xm:sqref>O4:O11 O62 O64:O94 O190 O321:O322 O107:O108 O210:O252</xm:sqref>
        </x14:conditionalFormatting>
        <x14:conditionalFormatting xmlns:xm="http://schemas.microsoft.com/office/excel/2006/main">
          <x14:cfRule type="expression" priority="694" id="{748730CD-A8E1-403B-8096-8434846257B7}">
            <xm:f>I323='[IV2_Seq9 - Notes ver4.6 - Rev0.xlsm]Categories'!#REF!</xm:f>
            <x14:dxf>
              <font>
                <b/>
                <i val="0"/>
              </font>
            </x14:dxf>
          </x14:cfRule>
          <xm:sqref>O323</xm:sqref>
        </x14:conditionalFormatting>
        <x14:conditionalFormatting xmlns:xm="http://schemas.microsoft.com/office/excel/2006/main">
          <x14:cfRule type="notContainsText" priority="693" operator="notContains" id="{365CF7FF-45C3-40B1-8D85-2246625C6904}">
            <xm:f>ISERROR(SEARCH("-",M4))</xm:f>
            <xm:f>"-"</xm:f>
            <x14:dxf>
              <fill>
                <patternFill>
                  <bgColor rgb="FFF2F2F2"/>
                </patternFill>
              </fill>
            </x14:dxf>
          </x14:cfRule>
          <xm:sqref>M96:N108 M4:N94 M110:N122 M167:N259 M274:N281 M262:N272 M286:N292 M297:N323</xm:sqref>
        </x14:conditionalFormatting>
        <x14:conditionalFormatting xmlns:xm="http://schemas.microsoft.com/office/excel/2006/main">
          <x14:cfRule type="expression" priority="692" id="{A35B7113-DEB6-4A69-BF08-2977563B6C22}">
            <xm:f>I216='[IV2_Seq9 - Notes ver4.6 - Rev0.xlsm]Categories'!#REF!</xm:f>
            <x14:dxf>
              <font>
                <b/>
                <i val="0"/>
              </font>
            </x14:dxf>
          </x14:cfRule>
          <xm:sqref>L216</xm:sqref>
        </x14:conditionalFormatting>
        <x14:conditionalFormatting xmlns:xm="http://schemas.microsoft.com/office/excel/2006/main">
          <x14:cfRule type="expression" priority="691" id="{0DA79155-9035-4BFD-9890-6CCA49FCFB72}">
            <xm:f>I214='[IV2_Seq9 - Notes ver4.6 - Rev0.xlsm]Categories'!#REF!</xm:f>
            <x14:dxf>
              <font>
                <b/>
                <i val="0"/>
              </font>
            </x14:dxf>
          </x14:cfRule>
          <xm:sqref>L214</xm:sqref>
        </x14:conditionalFormatting>
        <x14:conditionalFormatting xmlns:xm="http://schemas.microsoft.com/office/excel/2006/main">
          <x14:cfRule type="expression" priority="690" id="{1F0B5EC8-A82E-4058-8B9B-0025C708011C}">
            <xm:f>I212='[IV2_Seq9 - Notes ver4.6 - Rev0.xlsm]Categories'!#REF!</xm:f>
            <x14:dxf>
              <font>
                <b/>
                <i val="0"/>
              </font>
            </x14:dxf>
          </x14:cfRule>
          <xm:sqref>L212</xm:sqref>
        </x14:conditionalFormatting>
        <x14:conditionalFormatting xmlns:xm="http://schemas.microsoft.com/office/excel/2006/main">
          <x14:cfRule type="containsText" priority="687" operator="containsText" id="{FEAC5DC4-87E9-407C-B240-8E8B0E3A7755}">
            <xm:f>NOT(ISERROR(SEARCH("-",G210)))</xm:f>
            <xm:f>"-"</xm:f>
            <x14:dxf>
              <fill>
                <patternFill>
                  <bgColor rgb="FFF2F2F2"/>
                </patternFill>
              </fill>
            </x14:dxf>
          </x14:cfRule>
          <xm:sqref>G210</xm:sqref>
        </x14:conditionalFormatting>
        <x14:conditionalFormatting xmlns:xm="http://schemas.microsoft.com/office/excel/2006/main">
          <x14:cfRule type="expression" priority="685" id="{BBBE72DC-D933-4B4E-A395-2DA720C8BB5E}">
            <xm:f>I210='[IV2_Seq9 - Notes ver4.6 - Rev0.xlsm]Categories'!#REF!</xm:f>
            <x14:dxf>
              <font>
                <b/>
                <i val="0"/>
              </font>
            </x14:dxf>
          </x14:cfRule>
          <xm:sqref>L210</xm:sqref>
        </x14:conditionalFormatting>
        <x14:conditionalFormatting xmlns:xm="http://schemas.microsoft.com/office/excel/2006/main">
          <x14:cfRule type="expression" priority="684" id="{CFF34518-D8A8-4A2E-AC2C-1D6F7EE8D50A}">
            <xm:f>I211='[IV2_Seq9 - Notes ver4.6 - Rev0.xlsm]Categories'!#REF!</xm:f>
            <x14:dxf>
              <font>
                <b/>
                <i val="0"/>
              </font>
            </x14:dxf>
          </x14:cfRule>
          <xm:sqref>L211</xm:sqref>
        </x14:conditionalFormatting>
        <x14:conditionalFormatting xmlns:xm="http://schemas.microsoft.com/office/excel/2006/main">
          <x14:cfRule type="expression" priority="683" id="{AE9790D6-3558-4CC9-9FEF-0C800128CDFA}">
            <xm:f>I213='[IV2_Seq9 - Notes ver4.6 - Rev0.xlsm]Categories'!#REF!</xm:f>
            <x14:dxf>
              <font>
                <b/>
                <i val="0"/>
              </font>
            </x14:dxf>
          </x14:cfRule>
          <xm:sqref>L213</xm:sqref>
        </x14:conditionalFormatting>
        <x14:conditionalFormatting xmlns:xm="http://schemas.microsoft.com/office/excel/2006/main">
          <x14:cfRule type="expression" priority="682" id="{3D509DE7-830C-4552-8819-E319B431E756}">
            <xm:f>I215='[IV2_Seq9 - Notes ver4.6 - Rev0.xlsm]Categories'!#REF!</xm:f>
            <x14:dxf>
              <font>
                <b/>
                <i val="0"/>
              </font>
            </x14:dxf>
          </x14:cfRule>
          <xm:sqref>L215</xm:sqref>
        </x14:conditionalFormatting>
        <x14:conditionalFormatting xmlns:xm="http://schemas.microsoft.com/office/excel/2006/main">
          <x14:cfRule type="expression" priority="681" id="{9ACFBEBD-BC3C-4CAC-93B7-8A2268195206}">
            <xm:f>I316='[IV2_Seq9 - Notes ver4.6 - Rev0.xlsm]Categories'!#REF!</xm:f>
            <x14:dxf>
              <font>
                <b/>
                <i val="0"/>
              </font>
            </x14:dxf>
          </x14:cfRule>
          <xm:sqref>L316</xm:sqref>
        </x14:conditionalFormatting>
        <x14:conditionalFormatting xmlns:xm="http://schemas.microsoft.com/office/excel/2006/main">
          <x14:cfRule type="expression" priority="680" id="{DF20C3B2-3FBF-4AAE-B4FA-4C375378BB29}">
            <xm:f>I314='[IV2_Seq9 - Notes ver4.6 - Rev0.xlsm]Categories'!#REF!</xm:f>
            <x14:dxf>
              <font>
                <b/>
                <i val="0"/>
              </font>
            </x14:dxf>
          </x14:cfRule>
          <xm:sqref>L314</xm:sqref>
        </x14:conditionalFormatting>
        <x14:conditionalFormatting xmlns:xm="http://schemas.microsoft.com/office/excel/2006/main">
          <x14:cfRule type="expression" priority="679" id="{1216B0E2-3362-406B-A8B9-D128A1C9AEFE}">
            <xm:f>I140='[IV2_Seq9 - Notes ver4.6 - Rev0.xlsm]Categories'!#REF!</xm:f>
            <x14:dxf>
              <font>
                <b/>
                <i val="0"/>
              </font>
            </x14:dxf>
          </x14:cfRule>
          <xm:sqref>L312 L140</xm:sqref>
        </x14:conditionalFormatting>
        <x14:conditionalFormatting xmlns:xm="http://schemas.microsoft.com/office/excel/2006/main">
          <x14:cfRule type="expression" priority="678" id="{A439FE87-612C-4842-8288-7A930B92130D}">
            <xm:f>I313='[IV2_Seq9 - Notes ver4.6 - Rev0.xlsm]Categories'!#REF!</xm:f>
            <x14:dxf>
              <font>
                <b/>
                <i val="0"/>
              </font>
            </x14:dxf>
          </x14:cfRule>
          <xm:sqref>L313</xm:sqref>
        </x14:conditionalFormatting>
        <x14:conditionalFormatting xmlns:xm="http://schemas.microsoft.com/office/excel/2006/main">
          <x14:cfRule type="expression" priority="677" id="{E6DF4C33-CE73-439A-8FA8-174F617C5E9C}">
            <xm:f>I315='[IV2_Seq9 - Notes ver4.6 - Rev0.xlsm]Categories'!#REF!</xm:f>
            <x14:dxf>
              <font>
                <b/>
                <i val="0"/>
              </font>
            </x14:dxf>
          </x14:cfRule>
          <xm:sqref>L315</xm:sqref>
        </x14:conditionalFormatting>
        <x14:conditionalFormatting xmlns:xm="http://schemas.microsoft.com/office/excel/2006/main">
          <x14:cfRule type="expression" priority="676" id="{8A4CE587-0AF3-46DA-AE8C-57EAAAA0A7A0}">
            <xm:f>I321='[IV2_Seq9 - Notes ver4.6 - Rev0.xlsm]Categories'!#REF!</xm:f>
            <x14:dxf>
              <font>
                <b/>
                <i val="0"/>
              </font>
            </x14:dxf>
          </x14:cfRule>
          <xm:sqref>L321</xm:sqref>
        </x14:conditionalFormatting>
        <x14:conditionalFormatting xmlns:xm="http://schemas.microsoft.com/office/excel/2006/main">
          <x14:cfRule type="expression" priority="675" id="{8EA98830-E4E1-4FBE-95D6-5DFE981BF17F}">
            <xm:f>I110='[IV2_Seq9 - Notes ver4.6 - Rev0.xlsm]Categories'!#REF!</xm:f>
            <x14:dxf>
              <font>
                <b/>
                <i val="0"/>
              </font>
            </x14:dxf>
          </x14:cfRule>
          <xm:sqref>O312:O316 O167:O189 O110:O122 O140</xm:sqref>
        </x14:conditionalFormatting>
        <x14:conditionalFormatting xmlns:xm="http://schemas.microsoft.com/office/excel/2006/main">
          <x14:cfRule type="expression" priority="674" id="{2BB0C04C-6A6F-43A5-8544-8F6B9EC27029}">
            <xm:f>I311='[IV2_Seq9 - Notes ver4.6 - Rev0.xlsm]Categories'!#REF!</xm:f>
            <x14:dxf>
              <font>
                <b/>
                <i val="0"/>
              </font>
            </x14:dxf>
          </x14:cfRule>
          <xm:sqref>L311</xm:sqref>
        </x14:conditionalFormatting>
        <x14:conditionalFormatting xmlns:xm="http://schemas.microsoft.com/office/excel/2006/main">
          <x14:cfRule type="expression" priority="673" id="{A557ADBF-A934-4D80-8021-A25F02F06C42}">
            <xm:f>I311='[IV2_Seq9 - Notes ver4.6 - Rev0.xlsm]Categories'!#REF!</xm:f>
            <x14:dxf>
              <font>
                <b/>
                <i val="0"/>
              </font>
            </x14:dxf>
          </x14:cfRule>
          <xm:sqref>O311</xm:sqref>
        </x14:conditionalFormatting>
        <x14:conditionalFormatting xmlns:xm="http://schemas.microsoft.com/office/excel/2006/main">
          <x14:cfRule type="expression" priority="672" id="{9C18A922-E7CE-494D-9932-D18D169606C9}">
            <xm:f>I318='[IV2_Seq9 - Notes ver4.6 - Rev0.xlsm]Categories'!#REF!</xm:f>
            <x14:dxf>
              <font>
                <b/>
                <i val="0"/>
              </font>
            </x14:dxf>
          </x14:cfRule>
          <xm:sqref>L318</xm:sqref>
        </x14:conditionalFormatting>
        <x14:conditionalFormatting xmlns:xm="http://schemas.microsoft.com/office/excel/2006/main">
          <x14:cfRule type="expression" priority="671" id="{186A9CB6-6037-4C6A-8D1E-4701C6923C8D}">
            <xm:f>I317='[IV2_Seq9 - Notes ver4.6 - Rev0.xlsm]Categories'!#REF!</xm:f>
            <x14:dxf>
              <font>
                <b/>
                <i val="0"/>
              </font>
            </x14:dxf>
          </x14:cfRule>
          <xm:sqref>L317</xm:sqref>
        </x14:conditionalFormatting>
        <x14:conditionalFormatting xmlns:xm="http://schemas.microsoft.com/office/excel/2006/main">
          <x14:cfRule type="expression" priority="670" id="{1EF80529-F639-417D-AF8D-EFB09B344D94}">
            <xm:f>I317='[IV2_Seq9 - Notes ver4.6 - Rev0.xlsm]Categories'!#REF!</xm:f>
            <x14:dxf>
              <font>
                <b/>
                <i val="0"/>
              </font>
            </x14:dxf>
          </x14:cfRule>
          <xm:sqref>O317:O318</xm:sqref>
        </x14:conditionalFormatting>
        <x14:conditionalFormatting xmlns:xm="http://schemas.microsoft.com/office/excel/2006/main">
          <x14:cfRule type="expression" priority="669" id="{024BDB9F-6F0C-4ECC-8C50-2824EDDE5DFF}">
            <xm:f>I320='[IV2_Seq9 - Notes ver4.6 - Rev0.xlsm]Categories'!#REF!</xm:f>
            <x14:dxf>
              <font>
                <b/>
                <i val="0"/>
              </font>
            </x14:dxf>
          </x14:cfRule>
          <xm:sqref>L320</xm:sqref>
        </x14:conditionalFormatting>
        <x14:conditionalFormatting xmlns:xm="http://schemas.microsoft.com/office/excel/2006/main">
          <x14:cfRule type="expression" priority="668" id="{6048874E-53D0-47BC-B846-D4B343E708C2}">
            <xm:f>I319='[IV2_Seq9 - Notes ver4.6 - Rev0.xlsm]Categories'!#REF!</xm:f>
            <x14:dxf>
              <font>
                <b/>
                <i val="0"/>
              </font>
            </x14:dxf>
          </x14:cfRule>
          <xm:sqref>L319</xm:sqref>
        </x14:conditionalFormatting>
        <x14:conditionalFormatting xmlns:xm="http://schemas.microsoft.com/office/excel/2006/main">
          <x14:cfRule type="expression" priority="667" id="{E642B61B-EC26-4039-9E33-479840A2D38A}">
            <xm:f>I319='[IV2_Seq9 - Notes ver4.6 - Rev0.xlsm]Categories'!#REF!</xm:f>
            <x14:dxf>
              <font>
                <b/>
                <i val="0"/>
              </font>
            </x14:dxf>
          </x14:cfRule>
          <xm:sqref>O319:O320</xm:sqref>
        </x14:conditionalFormatting>
        <x14:conditionalFormatting xmlns:xm="http://schemas.microsoft.com/office/excel/2006/main">
          <x14:cfRule type="containsText" priority="660" operator="containsText" id="{F3F9DC33-F7E8-4E3A-9D1B-487975B621DF}">
            <xm:f>NOT(ISERROR(SEARCH("-",G98)))</xm:f>
            <xm:f>"-"</xm:f>
            <x14:dxf>
              <fill>
                <patternFill>
                  <bgColor rgb="FFF2F2F2"/>
                </patternFill>
              </fill>
            </x14:dxf>
          </x14:cfRule>
          <xm:sqref>G98</xm:sqref>
        </x14:conditionalFormatting>
        <x14:conditionalFormatting xmlns:xm="http://schemas.microsoft.com/office/excel/2006/main">
          <x14:cfRule type="containsText" priority="650" operator="containsText" id="{78350085-238E-4042-8789-BC4F462FE5FE}">
            <xm:f>NOT(ISERROR(SEARCH("-",G111)))</xm:f>
            <xm:f>"-"</xm:f>
            <x14:dxf>
              <fill>
                <patternFill>
                  <bgColor rgb="FFF2F2F2"/>
                </patternFill>
              </fill>
            </x14:dxf>
          </x14:cfRule>
          <xm:sqref>G111</xm:sqref>
        </x14:conditionalFormatting>
        <x14:conditionalFormatting xmlns:xm="http://schemas.microsoft.com/office/excel/2006/main">
          <x14:cfRule type="containsText" priority="664" operator="containsText" id="{B8EDD838-6741-44DE-9585-A9EE43FFB9C8}">
            <xm:f>NOT(ISERROR(SEARCH("-",G97)))</xm:f>
            <xm:f>"-"</xm:f>
            <x14:dxf>
              <fill>
                <patternFill>
                  <bgColor rgb="FFF2F2F2"/>
                </patternFill>
              </fill>
            </x14:dxf>
          </x14:cfRule>
          <xm:sqref>G97</xm:sqref>
        </x14:conditionalFormatting>
        <x14:conditionalFormatting xmlns:xm="http://schemas.microsoft.com/office/excel/2006/main">
          <x14:cfRule type="expression" priority="658" id="{320F764A-55DA-4670-AFD1-7244967E2CA4}">
            <xm:f>I97='[IV2_Seq9 - Notes ver4.6 - Rev0.xlsm]Categories'!#REF!</xm:f>
            <x14:dxf>
              <font>
                <b/>
                <i val="0"/>
              </font>
            </x14:dxf>
          </x14:cfRule>
          <xm:sqref>L97:L99</xm:sqref>
        </x14:conditionalFormatting>
        <x14:conditionalFormatting xmlns:xm="http://schemas.microsoft.com/office/excel/2006/main">
          <x14:cfRule type="expression" priority="657" id="{9BFD0A64-EEAF-48A8-AD08-7E450C7AD0D8}">
            <xm:f>I100='[IV2_Seq9 - Notes ver4.6 - Rev0.xlsm]Categories'!#REF!</xm:f>
            <x14:dxf>
              <font>
                <b/>
                <i val="0"/>
              </font>
            </x14:dxf>
          </x14:cfRule>
          <xm:sqref>L100:L102 L107:L108 L110</xm:sqref>
        </x14:conditionalFormatting>
        <x14:conditionalFormatting xmlns:xm="http://schemas.microsoft.com/office/excel/2006/main">
          <x14:cfRule type="containsText" priority="654" operator="containsText" id="{29C7402B-2FCE-41B2-AC87-57FA0078FCB3}">
            <xm:f>NOT(ISERROR(SEARCH("-",G110)))</xm:f>
            <xm:f>"-"</xm:f>
            <x14:dxf>
              <fill>
                <patternFill>
                  <bgColor rgb="FFF2F2F2"/>
                </patternFill>
              </fill>
            </x14:dxf>
          </x14:cfRule>
          <xm:sqref>G110</xm:sqref>
        </x14:conditionalFormatting>
        <x14:conditionalFormatting xmlns:xm="http://schemas.microsoft.com/office/excel/2006/main">
          <x14:cfRule type="expression" priority="648" id="{97AE1672-FD2B-40E1-9690-EA3A89292F54}">
            <xm:f>I112='[IV2_Seq9 - Notes ver4.6 - Rev0.xlsm]Categories'!#REF!</xm:f>
            <x14:dxf>
              <font>
                <b/>
                <i val="0"/>
              </font>
            </x14:dxf>
          </x14:cfRule>
          <xm:sqref>L112</xm:sqref>
        </x14:conditionalFormatting>
        <x14:conditionalFormatting xmlns:xm="http://schemas.microsoft.com/office/excel/2006/main">
          <x14:cfRule type="expression" priority="647" id="{CD97BF39-9157-48F8-9DA0-9BA7F1D5621F}">
            <xm:f>I111='[IV2_Seq9 - Notes ver4.6 - Rev0.xlsm]Categories'!#REF!</xm:f>
            <x14:dxf>
              <font>
                <b/>
                <i val="0"/>
              </font>
            </x14:dxf>
          </x14:cfRule>
          <xm:sqref>L111</xm:sqref>
        </x14:conditionalFormatting>
        <x14:conditionalFormatting xmlns:xm="http://schemas.microsoft.com/office/excel/2006/main">
          <x14:cfRule type="expression" priority="646" id="{B025BDB2-16F8-4499-A238-C3704FEC712D}">
            <xm:f>I113='[IV2_Seq9 - Notes ver4.6 - Rev0.xlsm]Categories'!#REF!</xm:f>
            <x14:dxf>
              <font>
                <b/>
                <i val="0"/>
              </font>
            </x14:dxf>
          </x14:cfRule>
          <xm:sqref>L113</xm:sqref>
        </x14:conditionalFormatting>
        <x14:conditionalFormatting xmlns:xm="http://schemas.microsoft.com/office/excel/2006/main">
          <x14:cfRule type="expression" priority="645" id="{CC5BFBDF-3B86-41D8-8EA5-2F96D4321295}">
            <xm:f>I122='[IV2_Seq9 - Notes ver4.6 - Rev0.xlsm]Categories'!#REF!</xm:f>
            <x14:dxf>
              <font>
                <b/>
                <i val="0"/>
              </font>
            </x14:dxf>
          </x14:cfRule>
          <xm:sqref>L122</xm:sqref>
        </x14:conditionalFormatting>
        <x14:conditionalFormatting xmlns:xm="http://schemas.microsoft.com/office/excel/2006/main">
          <x14:cfRule type="containsText" priority="642" operator="containsText" id="{25667DEF-B0EE-434D-AD5D-8B64BA7D2776}">
            <xm:f>NOT(ISERROR(SEARCH("-",G122)))</xm:f>
            <xm:f>"-"</xm:f>
            <x14:dxf>
              <fill>
                <patternFill>
                  <bgColor rgb="FFF2F2F2"/>
                </patternFill>
              </fill>
            </x14:dxf>
          </x14:cfRule>
          <xm:sqref>G122</xm:sqref>
        </x14:conditionalFormatting>
        <x14:conditionalFormatting xmlns:xm="http://schemas.microsoft.com/office/excel/2006/main">
          <x14:cfRule type="containsText" priority="638" operator="containsText" id="{C9C27E37-0296-4F61-BF07-B7BC08930E08}">
            <xm:f>NOT(ISERROR(SEARCH("-",G167)))</xm:f>
            <xm:f>"-"</xm:f>
            <x14:dxf>
              <fill>
                <patternFill>
                  <bgColor rgb="FFF2F2F2"/>
                </patternFill>
              </fill>
            </x14:dxf>
          </x14:cfRule>
          <xm:sqref>G167</xm:sqref>
        </x14:conditionalFormatting>
        <x14:conditionalFormatting xmlns:xm="http://schemas.microsoft.com/office/excel/2006/main">
          <x14:cfRule type="expression" priority="636" id="{BF1425E0-BAEA-4902-9664-511A32B513E1}">
            <xm:f>I168='[IV2_Seq9 - Notes ver4.6 - Rev0.xlsm]Categories'!#REF!</xm:f>
            <x14:dxf>
              <font>
                <b/>
                <i val="0"/>
              </font>
            </x14:dxf>
          </x14:cfRule>
          <xm:sqref>L168</xm:sqref>
        </x14:conditionalFormatting>
        <x14:conditionalFormatting xmlns:xm="http://schemas.microsoft.com/office/excel/2006/main">
          <x14:cfRule type="expression" priority="635" id="{6698413F-6D7C-4108-99C2-F3E06F3A5343}">
            <xm:f>I167='[IV2_Seq9 - Notes ver4.6 - Rev0.xlsm]Categories'!#REF!</xm:f>
            <x14:dxf>
              <font>
                <b/>
                <i val="0"/>
              </font>
            </x14:dxf>
          </x14:cfRule>
          <xm:sqref>L167</xm:sqref>
        </x14:conditionalFormatting>
        <x14:conditionalFormatting xmlns:xm="http://schemas.microsoft.com/office/excel/2006/main">
          <x14:cfRule type="expression" priority="634" id="{9009A10D-726F-40A2-8C77-9C7AA639E643}">
            <xm:f>I169='[IV2_Seq9 - Notes ver4.6 - Rev0.xlsm]Categories'!#REF!</xm:f>
            <x14:dxf>
              <font>
                <b/>
                <i val="0"/>
              </font>
            </x14:dxf>
          </x14:cfRule>
          <xm:sqref>L169 L174:L177</xm:sqref>
        </x14:conditionalFormatting>
        <x14:conditionalFormatting xmlns:xm="http://schemas.microsoft.com/office/excel/2006/main">
          <x14:cfRule type="expression" priority="633" id="{32CC8B8F-279B-433F-8990-51435213A096}">
            <xm:f>I178='[IV2_Seq9 - Notes ver4.6 - Rev0.xlsm]Categories'!#REF!</xm:f>
            <x14:dxf>
              <font>
                <b/>
                <i val="0"/>
              </font>
            </x14:dxf>
          </x14:cfRule>
          <xm:sqref>L178</xm:sqref>
        </x14:conditionalFormatting>
        <x14:conditionalFormatting xmlns:xm="http://schemas.microsoft.com/office/excel/2006/main">
          <x14:cfRule type="containsText" priority="630" operator="containsText" id="{1F2608E7-7CFC-47D4-ABE9-B48D5F6C884B}">
            <xm:f>NOT(ISERROR(SEARCH("-",G178)))</xm:f>
            <xm:f>"-"</xm:f>
            <x14:dxf>
              <fill>
                <patternFill>
                  <bgColor rgb="FFF2F2F2"/>
                </patternFill>
              </fill>
            </x14:dxf>
          </x14:cfRule>
          <xm:sqref>G178</xm:sqref>
        </x14:conditionalFormatting>
        <x14:conditionalFormatting xmlns:xm="http://schemas.microsoft.com/office/excel/2006/main">
          <x14:cfRule type="containsText" priority="626" operator="containsText" id="{79A05153-123C-4DDA-96EA-35296AF37C5E}">
            <xm:f>NOT(ISERROR(SEARCH("-",G179)))</xm:f>
            <xm:f>"-"</xm:f>
            <x14:dxf>
              <fill>
                <patternFill>
                  <bgColor rgb="FFF2F2F2"/>
                </patternFill>
              </fill>
            </x14:dxf>
          </x14:cfRule>
          <xm:sqref>G179</xm:sqref>
        </x14:conditionalFormatting>
        <x14:conditionalFormatting xmlns:xm="http://schemas.microsoft.com/office/excel/2006/main">
          <x14:cfRule type="expression" priority="624" id="{ABC750F5-3902-48F0-8146-D9FC93481E5A}">
            <xm:f>I180='[IV2_Seq9 - Notes ver4.6 - Rev0.xlsm]Categories'!#REF!</xm:f>
            <x14:dxf>
              <font>
                <b/>
                <i val="0"/>
              </font>
            </x14:dxf>
          </x14:cfRule>
          <xm:sqref>L180</xm:sqref>
        </x14:conditionalFormatting>
        <x14:conditionalFormatting xmlns:xm="http://schemas.microsoft.com/office/excel/2006/main">
          <x14:cfRule type="expression" priority="623" id="{42FC00F6-D2F2-4F3B-9BFD-07E5C5589A6D}">
            <xm:f>I179='[IV2_Seq9 - Notes ver4.6 - Rev0.xlsm]Categories'!#REF!</xm:f>
            <x14:dxf>
              <font>
                <b/>
                <i val="0"/>
              </font>
            </x14:dxf>
          </x14:cfRule>
          <xm:sqref>L179</xm:sqref>
        </x14:conditionalFormatting>
        <x14:conditionalFormatting xmlns:xm="http://schemas.microsoft.com/office/excel/2006/main">
          <x14:cfRule type="expression" priority="622" id="{21C9F0E3-AF38-4A96-99CD-A7BAF2EAA24D}">
            <xm:f>I181='[IV2_Seq9 - Notes ver4.6 - Rev0.xlsm]Categories'!#REF!</xm:f>
            <x14:dxf>
              <font>
                <b/>
                <i val="0"/>
              </font>
            </x14:dxf>
          </x14:cfRule>
          <xm:sqref>L181 L186:L189</xm:sqref>
        </x14:conditionalFormatting>
        <x14:conditionalFormatting xmlns:xm="http://schemas.microsoft.com/office/excel/2006/main">
          <x14:cfRule type="expression" priority="621" id="{B59945CE-D2F6-4759-8D80-DE85D4A7BF1F}">
            <xm:f>I97='[IV2_Seq9 - Notes ver4.6 - Rev0.xlsm]Categories'!#REF!</xm:f>
            <x14:dxf>
              <font>
                <b/>
                <i val="0"/>
              </font>
            </x14:dxf>
          </x14:cfRule>
          <xm:sqref>O97</xm:sqref>
        </x14:conditionalFormatting>
        <x14:conditionalFormatting xmlns:xm="http://schemas.microsoft.com/office/excel/2006/main">
          <x14:cfRule type="expression" priority="620" id="{567B7611-71C7-4941-AEB0-CFC909A8895B}">
            <xm:f>I98='[IV2_Seq9 - Notes ver4.6 - Rev0.xlsm]Categories'!#REF!</xm:f>
            <x14:dxf>
              <font>
                <b/>
                <i val="0"/>
              </font>
            </x14:dxf>
          </x14:cfRule>
          <xm:sqref>O98</xm:sqref>
        </x14:conditionalFormatting>
        <x14:conditionalFormatting xmlns:xm="http://schemas.microsoft.com/office/excel/2006/main">
          <x14:cfRule type="expression" priority="619" id="{07A3D0BF-3F6B-41F3-AAAE-2D153F3E0F94}">
            <xm:f>I99='[IV2_Seq9 - Notes ver4.6 - Rev0.xlsm]Categories'!#REF!</xm:f>
            <x14:dxf>
              <font>
                <b/>
                <i val="0"/>
              </font>
            </x14:dxf>
          </x14:cfRule>
          <xm:sqref>O99:O102</xm:sqref>
        </x14:conditionalFormatting>
        <x14:conditionalFormatting xmlns:xm="http://schemas.microsoft.com/office/excel/2006/main">
          <x14:cfRule type="expression" priority="618" id="{68DF243C-9639-4310-A747-A9E82364E2DB}">
            <xm:f>I105='[IV2_Seq9 - Notes ver4.6 - Rev0.xlsm]Categories'!#REF!</xm:f>
            <x14:dxf>
              <font>
                <b/>
                <i val="0"/>
              </font>
            </x14:dxf>
          </x14:cfRule>
          <xm:sqref>L105:L106</xm:sqref>
        </x14:conditionalFormatting>
        <x14:conditionalFormatting xmlns:xm="http://schemas.microsoft.com/office/excel/2006/main">
          <x14:cfRule type="expression" priority="617" id="{FAB2AADC-24DA-47A8-8797-0235FA5432AE}">
            <xm:f>I105='[IV2_Seq9 - Notes ver4.6 - Rev0.xlsm]Categories'!#REF!</xm:f>
            <x14:dxf>
              <font>
                <b/>
                <i val="0"/>
              </font>
            </x14:dxf>
          </x14:cfRule>
          <xm:sqref>O105:O106</xm:sqref>
        </x14:conditionalFormatting>
        <x14:conditionalFormatting xmlns:xm="http://schemas.microsoft.com/office/excel/2006/main">
          <x14:cfRule type="expression" priority="616" id="{EB3CA195-DA00-49B2-8610-F594DEACCCAA}">
            <xm:f>I103='[IV2_Seq9 - Notes ver4.6 - Rev0.xlsm]Categories'!#REF!</xm:f>
            <x14:dxf>
              <font>
                <b/>
                <i val="0"/>
              </font>
            </x14:dxf>
          </x14:cfRule>
          <xm:sqref>L103:L104</xm:sqref>
        </x14:conditionalFormatting>
        <x14:conditionalFormatting xmlns:xm="http://schemas.microsoft.com/office/excel/2006/main">
          <x14:cfRule type="expression" priority="615" id="{FAC5BD1D-705F-4668-848D-9D7E993989C8}">
            <xm:f>I103='[IV2_Seq9 - Notes ver4.6 - Rev0.xlsm]Categories'!#REF!</xm:f>
            <x14:dxf>
              <font>
                <b/>
                <i val="0"/>
              </font>
            </x14:dxf>
          </x14:cfRule>
          <xm:sqref>O103:O104</xm:sqref>
        </x14:conditionalFormatting>
        <x14:conditionalFormatting xmlns:xm="http://schemas.microsoft.com/office/excel/2006/main">
          <x14:cfRule type="expression" priority="614" id="{3B5E4DEC-0594-4908-87DD-6836EFEB1AAD}">
            <xm:f>I116='[IV2_Seq9 - Notes ver4.6 - Rev0.xlsm]Categories'!#REF!</xm:f>
            <x14:dxf>
              <font>
                <b/>
                <i val="0"/>
              </font>
            </x14:dxf>
          </x14:cfRule>
          <xm:sqref>L116:L117</xm:sqref>
        </x14:conditionalFormatting>
        <x14:conditionalFormatting xmlns:xm="http://schemas.microsoft.com/office/excel/2006/main">
          <x14:cfRule type="expression" priority="613" id="{DEB81394-C604-46D9-8AEF-25B80E3DFBC7}">
            <xm:f>I114='[IV2_Seq9 - Notes ver4.6 - Rev0.xlsm]Categories'!#REF!</xm:f>
            <x14:dxf>
              <font>
                <b/>
                <i val="0"/>
              </font>
            </x14:dxf>
          </x14:cfRule>
          <xm:sqref>L114:L115</xm:sqref>
        </x14:conditionalFormatting>
        <x14:conditionalFormatting xmlns:xm="http://schemas.microsoft.com/office/excel/2006/main">
          <x14:cfRule type="expression" priority="612" id="{86F593A8-9184-43C6-B919-C7C360715B33}">
            <xm:f>I172='[IV2_Seq9 - Notes ver4.6 - Rev0.xlsm]Categories'!#REF!</xm:f>
            <x14:dxf>
              <font>
                <b/>
                <i val="0"/>
              </font>
            </x14:dxf>
          </x14:cfRule>
          <xm:sqref>L172:L173</xm:sqref>
        </x14:conditionalFormatting>
        <x14:conditionalFormatting xmlns:xm="http://schemas.microsoft.com/office/excel/2006/main">
          <x14:cfRule type="expression" priority="611" id="{EDB38AD5-B117-492F-9E16-47B1BCD861D1}">
            <xm:f>I170='[IV2_Seq9 - Notes ver4.6 - Rev0.xlsm]Categories'!#REF!</xm:f>
            <x14:dxf>
              <font>
                <b/>
                <i val="0"/>
              </font>
            </x14:dxf>
          </x14:cfRule>
          <xm:sqref>L170:L171</xm:sqref>
        </x14:conditionalFormatting>
        <x14:conditionalFormatting xmlns:xm="http://schemas.microsoft.com/office/excel/2006/main">
          <x14:cfRule type="expression" priority="610" id="{3A8F1926-D5F5-4A0A-B47E-C3F51F6CFE81}">
            <xm:f>I184='[IV2_Seq9 - Notes ver4.6 - Rev0.xlsm]Categories'!#REF!</xm:f>
            <x14:dxf>
              <font>
                <b/>
                <i val="0"/>
              </font>
            </x14:dxf>
          </x14:cfRule>
          <xm:sqref>L184:L185</xm:sqref>
        </x14:conditionalFormatting>
        <x14:conditionalFormatting xmlns:xm="http://schemas.microsoft.com/office/excel/2006/main">
          <x14:cfRule type="expression" priority="609" id="{9A742E3D-6C05-4EB4-8E96-38009AB97B98}">
            <xm:f>I182='[IV2_Seq9 - Notes ver4.6 - Rev0.xlsm]Categories'!#REF!</xm:f>
            <x14:dxf>
              <font>
                <b/>
                <i val="0"/>
              </font>
            </x14:dxf>
          </x14:cfRule>
          <xm:sqref>L182:L183</xm:sqref>
        </x14:conditionalFormatting>
        <x14:conditionalFormatting xmlns:xm="http://schemas.microsoft.com/office/excel/2006/main">
          <x14:cfRule type="containsText" priority="606" operator="containsText" id="{07C7A7E9-B66C-4B68-A629-89B05A262474}">
            <xm:f>NOT(ISERROR(SEARCH("-",G63)))</xm:f>
            <xm:f>"-"</xm:f>
            <x14:dxf>
              <fill>
                <patternFill>
                  <bgColor rgb="FFF2F2F2"/>
                </patternFill>
              </fill>
            </x14:dxf>
          </x14:cfRule>
          <xm:sqref>G63</xm:sqref>
        </x14:conditionalFormatting>
        <x14:conditionalFormatting xmlns:xm="http://schemas.microsoft.com/office/excel/2006/main">
          <x14:cfRule type="expression" priority="604" id="{31E3E57E-7454-4A1C-93DF-32409DF52CFB}">
            <xm:f>I63='[IV2_Seq9 - Notes ver4.6 - Rev0.xlsm]Categories'!#REF!</xm:f>
            <x14:dxf>
              <font>
                <b/>
                <i val="0"/>
              </font>
            </x14:dxf>
          </x14:cfRule>
          <xm:sqref>L63</xm:sqref>
        </x14:conditionalFormatting>
        <x14:conditionalFormatting xmlns:xm="http://schemas.microsoft.com/office/excel/2006/main">
          <x14:cfRule type="containsText" priority="601" operator="containsText" id="{7C8DF379-750B-4868-864A-EDBFED96BEB8}">
            <xm:f>NOT(ISERROR(SEARCH("-",G96)))</xm:f>
            <xm:f>"-"</xm:f>
            <x14:dxf>
              <fill>
                <patternFill>
                  <bgColor rgb="FFF2F2F2"/>
                </patternFill>
              </fill>
            </x14:dxf>
          </x14:cfRule>
          <xm:sqref>G96</xm:sqref>
        </x14:conditionalFormatting>
        <x14:conditionalFormatting xmlns:xm="http://schemas.microsoft.com/office/excel/2006/main">
          <x14:cfRule type="expression" priority="599" id="{2A36C349-85DB-494B-A37B-75F65C119B8B}">
            <xm:f>I96='[IV2_Seq9 - Notes ver4.6 - Rev0.xlsm]Categories'!#REF!</xm:f>
            <x14:dxf>
              <font>
                <b/>
                <i val="0"/>
              </font>
            </x14:dxf>
          </x14:cfRule>
          <xm:sqref>L96</xm:sqref>
        </x14:conditionalFormatting>
        <x14:conditionalFormatting xmlns:xm="http://schemas.microsoft.com/office/excel/2006/main">
          <x14:cfRule type="expression" priority="598" id="{597CCDBE-0858-4DE9-B317-E2A2E09DD110}">
            <xm:f>I96='[IV2_Seq9 - Notes ver4.6 - Rev0.xlsm]Categories'!#REF!</xm:f>
            <x14:dxf>
              <font>
                <b/>
                <i val="0"/>
              </font>
            </x14:dxf>
          </x14:cfRule>
          <xm:sqref>O96 O272 O286:O292 O297:O303</xm:sqref>
        </x14:conditionalFormatting>
        <x14:conditionalFormatting xmlns:xm="http://schemas.microsoft.com/office/excel/2006/main">
          <x14:cfRule type="containsText" priority="595" operator="containsText" id="{9957A282-5E99-4D85-87D5-3F49438EAAFC}">
            <xm:f>NOT(ISERROR(SEARCH("-",G65)))</xm:f>
            <xm:f>"-"</xm:f>
            <x14:dxf>
              <fill>
                <patternFill>
                  <bgColor rgb="FFF2F2F2"/>
                </patternFill>
              </fill>
            </x14:dxf>
          </x14:cfRule>
          <xm:sqref>G65:G70</xm:sqref>
        </x14:conditionalFormatting>
        <x14:conditionalFormatting xmlns:xm="http://schemas.microsoft.com/office/excel/2006/main">
          <x14:cfRule type="expression" priority="593" id="{A572D1B0-FDBD-42F2-B85C-E67B39647DB9}">
            <xm:f>I47='[IV2_Seq9 - Notes ver4.6 - Rev0.xlsm]Categories'!#REF!</xm:f>
            <x14:dxf>
              <font>
                <b/>
                <i val="0"/>
              </font>
            </x14:dxf>
          </x14:cfRule>
          <xm:sqref>O63 O47:O60</xm:sqref>
        </x14:conditionalFormatting>
        <x14:conditionalFormatting xmlns:xm="http://schemas.microsoft.com/office/excel/2006/main">
          <x14:cfRule type="containsText" priority="590" operator="containsText" id="{9425E673-7DA4-4F86-BB25-5DC1ADB41B42}">
            <xm:f>NOT(ISERROR(SEARCH("-",G73)))</xm:f>
            <xm:f>"-"</xm:f>
            <x14:dxf>
              <fill>
                <patternFill>
                  <bgColor rgb="FFF2F2F2"/>
                </patternFill>
              </fill>
            </x14:dxf>
          </x14:cfRule>
          <xm:sqref>G73:G78</xm:sqref>
        </x14:conditionalFormatting>
        <x14:conditionalFormatting xmlns:xm="http://schemas.microsoft.com/office/excel/2006/main">
          <x14:cfRule type="containsText" priority="586" operator="containsText" id="{F14CB397-0442-400A-938C-10AF03C4CD8B}">
            <xm:f>NOT(ISERROR(SEARCH("-",G81)))</xm:f>
            <xm:f>"-"</xm:f>
            <x14:dxf>
              <fill>
                <patternFill>
                  <bgColor rgb="FFF2F2F2"/>
                </patternFill>
              </fill>
            </x14:dxf>
          </x14:cfRule>
          <xm:sqref>G81:G86</xm:sqref>
        </x14:conditionalFormatting>
        <x14:conditionalFormatting xmlns:xm="http://schemas.microsoft.com/office/excel/2006/main">
          <x14:cfRule type="containsText" priority="582" operator="containsText" id="{4503D26B-4A88-44CD-BEC4-12147489D0A8}">
            <xm:f>NOT(ISERROR(SEARCH("-",G89)))</xm:f>
            <xm:f>"-"</xm:f>
            <x14:dxf>
              <fill>
                <patternFill>
                  <bgColor rgb="FFF2F2F2"/>
                </patternFill>
              </fill>
            </x14:dxf>
          </x14:cfRule>
          <xm:sqref>G96 G89:G94</xm:sqref>
        </x14:conditionalFormatting>
        <x14:conditionalFormatting xmlns:xm="http://schemas.microsoft.com/office/excel/2006/main">
          <x14:cfRule type="containsText" priority="578" operator="containsText" id="{CF34FF79-00B8-4CF4-9B58-410F606954FD}">
            <xm:f>NOT(ISERROR(SEARCH("-",G311)))</xm:f>
            <xm:f>"-"</xm:f>
            <x14:dxf>
              <fill>
                <patternFill>
                  <bgColor rgb="FFF2F2F2"/>
                </patternFill>
              </fill>
            </x14:dxf>
          </x14:cfRule>
          <xm:sqref>G311</xm:sqref>
        </x14:conditionalFormatting>
        <x14:conditionalFormatting xmlns:xm="http://schemas.microsoft.com/office/excel/2006/main">
          <x14:cfRule type="expression" priority="576" id="{9202E953-BF2E-4203-B585-56F77E4E4E78}">
            <xm:f>I61='[IV2_Seq9 - Notes ver4.6 - Rev0.xlsm]Categories'!#REF!</xm:f>
            <x14:dxf>
              <font>
                <b/>
                <i val="0"/>
              </font>
            </x14:dxf>
          </x14:cfRule>
          <xm:sqref>L61</xm:sqref>
        </x14:conditionalFormatting>
        <x14:conditionalFormatting xmlns:xm="http://schemas.microsoft.com/office/excel/2006/main">
          <x14:cfRule type="containsText" priority="574" operator="containsText" id="{520A81AD-6BBF-457F-BF00-1D2D1558CE55}">
            <xm:f>NOT(ISERROR(SEARCH("-",Q4)))</xm:f>
            <xm:f>"-"</xm:f>
            <x14:dxf>
              <fill>
                <patternFill>
                  <bgColor rgb="FFFFFFFF"/>
                </patternFill>
              </fill>
            </x14:dxf>
          </x14:cfRule>
          <x14:cfRule type="notContainsText" priority="575" operator="notContains" id="{4245B01B-16A3-4DE9-B883-B4C79A36A221}">
            <xm:f>ISERROR(SEARCH("-",Q4))</xm:f>
            <xm:f>"-"</xm:f>
            <x14:dxf>
              <fill>
                <patternFill>
                  <bgColor rgb="FFF2F2F2"/>
                </patternFill>
              </fill>
            </x14:dxf>
          </x14:cfRule>
          <xm:sqref>Q4:Q11 Q311:Q323 Q96:Q108 Q61:Q94 Q110:Q122 Q167:Q252 Q282:Q302</xm:sqref>
        </x14:conditionalFormatting>
        <x14:conditionalFormatting xmlns:xm="http://schemas.microsoft.com/office/excel/2006/main">
          <x14:cfRule type="expression" priority="573" id="{AF44F460-4704-4A5A-87DC-B607A2CFDC7A}">
            <xm:f>I61='[IV2_Seq9 - Notes ver4.6 - Rev0.xlsm]Categories'!#REF!</xm:f>
            <x14:dxf>
              <font>
                <b/>
                <i val="0"/>
              </font>
            </x14:dxf>
          </x14:cfRule>
          <xm:sqref>O61</xm:sqref>
        </x14:conditionalFormatting>
        <x14:conditionalFormatting xmlns:xm="http://schemas.microsoft.com/office/excel/2006/main">
          <x14:cfRule type="containsText" priority="570" operator="containsText" id="{DFE60E1A-8E03-460E-B01A-903109626F99}">
            <xm:f>NOT(ISERROR(SEARCH("-",G6)))</xm:f>
            <xm:f>"-"</xm:f>
            <x14:dxf>
              <fill>
                <patternFill>
                  <bgColor rgb="FFF2F2F2"/>
                </patternFill>
              </fill>
            </x14:dxf>
          </x14:cfRule>
          <xm:sqref>G6:G11</xm:sqref>
        </x14:conditionalFormatting>
        <x14:conditionalFormatting xmlns:xm="http://schemas.microsoft.com/office/excel/2006/main">
          <x14:cfRule type="containsText" priority="566" operator="containsText" id="{F645FA3D-DC2D-468E-9E48-C10EADB6B09D}">
            <xm:f>NOT(ISERROR(SEARCH("-",G65)))</xm:f>
            <xm:f>"-"</xm:f>
            <x14:dxf>
              <fill>
                <patternFill>
                  <bgColor rgb="FFF2F2F2"/>
                </patternFill>
              </fill>
            </x14:dxf>
          </x14:cfRule>
          <xm:sqref>G65:G70</xm:sqref>
        </x14:conditionalFormatting>
        <x14:conditionalFormatting xmlns:xm="http://schemas.microsoft.com/office/excel/2006/main">
          <x14:cfRule type="containsText" priority="562" operator="containsText" id="{AFE8C333-310A-4EF7-AFFF-7F0AFC045AF4}">
            <xm:f>NOT(ISERROR(SEARCH("-",G81)))</xm:f>
            <xm:f>"-"</xm:f>
            <x14:dxf>
              <fill>
                <patternFill>
                  <bgColor rgb="FFF2F2F2"/>
                </patternFill>
              </fill>
            </x14:dxf>
          </x14:cfRule>
          <xm:sqref>G81:G86</xm:sqref>
        </x14:conditionalFormatting>
        <x14:conditionalFormatting xmlns:xm="http://schemas.microsoft.com/office/excel/2006/main">
          <x14:cfRule type="containsText" priority="558" operator="containsText" id="{C5FEB89B-E6FD-451C-B1E5-E0122DF2FF30}">
            <xm:f>NOT(ISERROR(SEARCH("-",G89)))</xm:f>
            <xm:f>"-"</xm:f>
            <x14:dxf>
              <fill>
                <patternFill>
                  <bgColor rgb="FFF2F2F2"/>
                </patternFill>
              </fill>
            </x14:dxf>
          </x14:cfRule>
          <xm:sqref>G96 G89:G94</xm:sqref>
        </x14:conditionalFormatting>
        <x14:conditionalFormatting xmlns:xm="http://schemas.microsoft.com/office/excel/2006/main">
          <x14:cfRule type="containsText" priority="554" operator="containsText" id="{D1968557-D7EB-43AC-998C-4090B3E05642}">
            <xm:f>NOT(ISERROR(SEARCH("-",G312)))</xm:f>
            <xm:f>"-"</xm:f>
            <x14:dxf>
              <fill>
                <patternFill>
                  <bgColor rgb="FFF2F2F2"/>
                </patternFill>
              </fill>
            </x14:dxf>
          </x14:cfRule>
          <xm:sqref>G312:G322</xm:sqref>
        </x14:conditionalFormatting>
        <x14:conditionalFormatting xmlns:xm="http://schemas.microsoft.com/office/excel/2006/main">
          <x14:cfRule type="containsText" priority="550" operator="containsText" id="{14B4A83E-699C-4D79-BB0C-183BF107491A}">
            <xm:f>NOT(ISERROR(SEARCH("-",G312)))</xm:f>
            <xm:f>"-"</xm:f>
            <x14:dxf>
              <fill>
                <patternFill>
                  <bgColor rgb="FFF2F2F2"/>
                </patternFill>
              </fill>
            </x14:dxf>
          </x14:cfRule>
          <xm:sqref>G312:G322</xm:sqref>
        </x14:conditionalFormatting>
        <x14:conditionalFormatting xmlns:xm="http://schemas.microsoft.com/office/excel/2006/main">
          <x14:cfRule type="expression" priority="548" id="{99F874EB-695B-4EF6-8A36-598B4644A3F3}">
            <xm:f>I253='[IV2_Seq9 - Notes ver4.6 - Rev0.xlsm]Categories'!#REF!</xm:f>
            <x14:dxf>
              <font>
                <b/>
                <i val="0"/>
              </font>
            </x14:dxf>
          </x14:cfRule>
          <xm:sqref>O253:O259</xm:sqref>
        </x14:conditionalFormatting>
        <x14:conditionalFormatting xmlns:xm="http://schemas.microsoft.com/office/excel/2006/main">
          <x14:cfRule type="expression" priority="547" id="{27D985E3-3944-4811-9486-43186EFDDAE2}">
            <xm:f>I259='[IV2_Seq9 - Notes ver4.6 - Rev0.xlsm]Categories'!#REF!</xm:f>
            <x14:dxf>
              <font>
                <b/>
                <i val="0"/>
              </font>
            </x14:dxf>
          </x14:cfRule>
          <xm:sqref>L259</xm:sqref>
        </x14:conditionalFormatting>
        <x14:conditionalFormatting xmlns:xm="http://schemas.microsoft.com/office/excel/2006/main">
          <x14:cfRule type="expression" priority="546" id="{9AD54B36-0359-49B0-B587-5EF6C86E1E53}">
            <xm:f>I257='[IV2_Seq9 - Notes ver4.6 - Rev0.xlsm]Categories'!#REF!</xm:f>
            <x14:dxf>
              <font>
                <b/>
                <i val="0"/>
              </font>
            </x14:dxf>
          </x14:cfRule>
          <xm:sqref>L257</xm:sqref>
        </x14:conditionalFormatting>
        <x14:conditionalFormatting xmlns:xm="http://schemas.microsoft.com/office/excel/2006/main">
          <x14:cfRule type="expression" priority="545" id="{223D8E05-9D27-408B-96E5-B6236E28C15D}">
            <xm:f>I255='[IV2_Seq9 - Notes ver4.6 - Rev0.xlsm]Categories'!#REF!</xm:f>
            <x14:dxf>
              <font>
                <b/>
                <i val="0"/>
              </font>
            </x14:dxf>
          </x14:cfRule>
          <xm:sqref>L255</xm:sqref>
        </x14:conditionalFormatting>
        <x14:conditionalFormatting xmlns:xm="http://schemas.microsoft.com/office/excel/2006/main">
          <x14:cfRule type="containsText" priority="542" operator="containsText" id="{64DC2543-ADC5-47E6-B40B-D010BE69C351}">
            <xm:f>NOT(ISERROR(SEARCH("-",G253)))</xm:f>
            <xm:f>"-"</xm:f>
            <x14:dxf>
              <fill>
                <patternFill>
                  <bgColor rgb="FFF2F2F2"/>
                </patternFill>
              </fill>
            </x14:dxf>
          </x14:cfRule>
          <xm:sqref>G253</xm:sqref>
        </x14:conditionalFormatting>
        <x14:conditionalFormatting xmlns:xm="http://schemas.microsoft.com/office/excel/2006/main">
          <x14:cfRule type="expression" priority="540" id="{AE12804B-4C27-497B-A3FF-48747856ADA3}">
            <xm:f>I253='[IV2_Seq9 - Notes ver4.6 - Rev0.xlsm]Categories'!#REF!</xm:f>
            <x14:dxf>
              <font>
                <b/>
                <i val="0"/>
              </font>
            </x14:dxf>
          </x14:cfRule>
          <xm:sqref>L253</xm:sqref>
        </x14:conditionalFormatting>
        <x14:conditionalFormatting xmlns:xm="http://schemas.microsoft.com/office/excel/2006/main">
          <x14:cfRule type="expression" priority="539" id="{620F34B4-F243-491A-9DD2-B36A3C37C19C}">
            <xm:f>I254='[IV2_Seq9 - Notes ver4.6 - Rev0.xlsm]Categories'!#REF!</xm:f>
            <x14:dxf>
              <font>
                <b/>
                <i val="0"/>
              </font>
            </x14:dxf>
          </x14:cfRule>
          <xm:sqref>L254</xm:sqref>
        </x14:conditionalFormatting>
        <x14:conditionalFormatting xmlns:xm="http://schemas.microsoft.com/office/excel/2006/main">
          <x14:cfRule type="expression" priority="538" id="{3A628251-66F0-493B-AE3E-F9498A5F3C09}">
            <xm:f>I256='[IV2_Seq9 - Notes ver4.6 - Rev0.xlsm]Categories'!#REF!</xm:f>
            <x14:dxf>
              <font>
                <b/>
                <i val="0"/>
              </font>
            </x14:dxf>
          </x14:cfRule>
          <xm:sqref>L256</xm:sqref>
        </x14:conditionalFormatting>
        <x14:conditionalFormatting xmlns:xm="http://schemas.microsoft.com/office/excel/2006/main">
          <x14:cfRule type="expression" priority="537" id="{448EE15C-2555-4443-B979-9B60CB534780}">
            <xm:f>I258='[IV2_Seq9 - Notes ver4.6 - Rev0.xlsm]Categories'!#REF!</xm:f>
            <x14:dxf>
              <font>
                <b/>
                <i val="0"/>
              </font>
            </x14:dxf>
          </x14:cfRule>
          <xm:sqref>L258</xm:sqref>
        </x14:conditionalFormatting>
        <x14:conditionalFormatting xmlns:xm="http://schemas.microsoft.com/office/excel/2006/main">
          <x14:cfRule type="containsText" priority="535" operator="containsText" id="{3EE7F3C7-276A-45A1-A4E7-C3E52F8EEE8A}">
            <xm:f>NOT(ISERROR(SEARCH("-",Q253)))</xm:f>
            <xm:f>"-"</xm:f>
            <x14:dxf>
              <fill>
                <patternFill>
                  <bgColor rgb="FFFFFFFF"/>
                </patternFill>
              </fill>
            </x14:dxf>
          </x14:cfRule>
          <x14:cfRule type="notContainsText" priority="536" operator="notContains" id="{9B0FA993-1F35-4F21-89C6-DCABDEEEDAD7}">
            <xm:f>ISERROR(SEARCH("-",Q253))</xm:f>
            <xm:f>"-"</xm:f>
            <x14:dxf>
              <fill>
                <patternFill>
                  <bgColor rgb="FFF2F2F2"/>
                </patternFill>
              </fill>
            </x14:dxf>
          </x14:cfRule>
          <xm:sqref>Q253:Q259</xm:sqref>
        </x14:conditionalFormatting>
        <x14:conditionalFormatting xmlns:xm="http://schemas.microsoft.com/office/excel/2006/main">
          <x14:cfRule type="containsText" priority="534" operator="containsText" id="{F6E40948-140F-430F-8E70-E228F60304B0}">
            <xm:f>NOT(ISERROR(SEARCH("-",G270)))</xm:f>
            <xm:f>"-"</xm:f>
            <x14:dxf>
              <fill>
                <patternFill>
                  <bgColor rgb="FFF2F2F2"/>
                </patternFill>
              </fill>
            </x14:dxf>
          </x14:cfRule>
          <xm:sqref>G270:G271 G281</xm:sqref>
        </x14:conditionalFormatting>
        <x14:conditionalFormatting xmlns:xm="http://schemas.microsoft.com/office/excel/2006/main">
          <x14:cfRule type="expression" priority="530" id="{8FB1A229-A935-496A-BD68-1A162C3B7BAF}">
            <xm:f>I262='[IV2_Seq9 - Notes ver4.6 - Rev0.xlsm]Categories'!#REF!</xm:f>
            <x14:dxf>
              <font>
                <b/>
                <i val="0"/>
              </font>
            </x14:dxf>
          </x14:cfRule>
          <xm:sqref>L262:L271 L274:L281</xm:sqref>
        </x14:conditionalFormatting>
        <x14:conditionalFormatting xmlns:xm="http://schemas.microsoft.com/office/excel/2006/main">
          <x14:cfRule type="expression" priority="529" id="{EAC034D1-4C7D-41EA-BE9B-A351A6194ADB}">
            <xm:f>I262='[IV2_Seq9 - Notes ver4.6 - Rev0.xlsm]Categories'!#REF!</xm:f>
            <x14:dxf>
              <font>
                <b/>
                <i val="0"/>
              </font>
            </x14:dxf>
          </x14:cfRule>
          <xm:sqref>O262:O271 O274:O281</xm:sqref>
        </x14:conditionalFormatting>
        <x14:conditionalFormatting xmlns:xm="http://schemas.microsoft.com/office/excel/2006/main">
          <x14:cfRule type="containsText" priority="527" operator="containsText" id="{15D19990-A0F6-4E98-8E6A-B09AA8FB3275}">
            <xm:f>NOT(ISERROR(SEARCH("-",Q303)))</xm:f>
            <xm:f>"-"</xm:f>
            <x14:dxf>
              <fill>
                <patternFill>
                  <bgColor rgb="FFFFFFFF"/>
                </patternFill>
              </fill>
            </x14:dxf>
          </x14:cfRule>
          <x14:cfRule type="notContainsText" priority="528" operator="notContains" id="{2F58D827-2750-469B-912C-B012BD9E42DF}">
            <xm:f>ISERROR(SEARCH("-",Q303))</xm:f>
            <xm:f>"-"</xm:f>
            <x14:dxf>
              <fill>
                <patternFill>
                  <bgColor rgb="FFF2F2F2"/>
                </patternFill>
              </fill>
            </x14:dxf>
          </x14:cfRule>
          <xm:sqref>Q303</xm:sqref>
        </x14:conditionalFormatting>
        <x14:conditionalFormatting xmlns:xm="http://schemas.microsoft.com/office/excel/2006/main">
          <x14:cfRule type="expression" priority="526" id="{93A02550-35D2-4C7B-B661-DAE789B652EC}">
            <xm:f>I304='[IV2_Seq9 - Notes ver4.6 - Rev0.xlsm]Categories'!#REF!</xm:f>
            <x14:dxf>
              <font>
                <b/>
                <i val="0"/>
              </font>
            </x14:dxf>
          </x14:cfRule>
          <xm:sqref>O304:O310</xm:sqref>
        </x14:conditionalFormatting>
        <x14:conditionalFormatting xmlns:xm="http://schemas.microsoft.com/office/excel/2006/main">
          <x14:cfRule type="expression" priority="525" id="{CF7D50B2-C603-4F9D-A087-D0B6C11D7550}">
            <xm:f>I310='[IV2_Seq9 - Notes ver4.6 - Rev0.xlsm]Categories'!#REF!</xm:f>
            <x14:dxf>
              <font>
                <b/>
                <i val="0"/>
              </font>
            </x14:dxf>
          </x14:cfRule>
          <xm:sqref>L310</xm:sqref>
        </x14:conditionalFormatting>
        <x14:conditionalFormatting xmlns:xm="http://schemas.microsoft.com/office/excel/2006/main">
          <x14:cfRule type="expression" priority="524" id="{64BE687C-0647-4C48-ACDD-178DD16FCBF1}">
            <xm:f>I308='[IV2_Seq9 - Notes ver4.6 - Rev0.xlsm]Categories'!#REF!</xm:f>
            <x14:dxf>
              <font>
                <b/>
                <i val="0"/>
              </font>
            </x14:dxf>
          </x14:cfRule>
          <xm:sqref>L308</xm:sqref>
        </x14:conditionalFormatting>
        <x14:conditionalFormatting xmlns:xm="http://schemas.microsoft.com/office/excel/2006/main">
          <x14:cfRule type="expression" priority="523" id="{49FB9DE5-9238-4A1D-B2D1-BC39C9334A3E}">
            <xm:f>I306='[IV2_Seq9 - Notes ver4.6 - Rev0.xlsm]Categories'!#REF!</xm:f>
            <x14:dxf>
              <font>
                <b/>
                <i val="0"/>
              </font>
            </x14:dxf>
          </x14:cfRule>
          <xm:sqref>L306</xm:sqref>
        </x14:conditionalFormatting>
        <x14:conditionalFormatting xmlns:xm="http://schemas.microsoft.com/office/excel/2006/main">
          <x14:cfRule type="containsText" priority="520" operator="containsText" id="{D2AD223B-9B2A-4420-B493-460F26ACD6FA}">
            <xm:f>NOT(ISERROR(SEARCH("-",G304)))</xm:f>
            <xm:f>"-"</xm:f>
            <x14:dxf>
              <fill>
                <patternFill>
                  <bgColor rgb="FFF2F2F2"/>
                </patternFill>
              </fill>
            </x14:dxf>
          </x14:cfRule>
          <xm:sqref>G304</xm:sqref>
        </x14:conditionalFormatting>
        <x14:conditionalFormatting xmlns:xm="http://schemas.microsoft.com/office/excel/2006/main">
          <x14:cfRule type="expression" priority="518" id="{6CF9AAEC-8123-4BF4-A885-AE6A9D674B65}">
            <xm:f>I304='[IV2_Seq9 - Notes ver4.6 - Rev0.xlsm]Categories'!#REF!</xm:f>
            <x14:dxf>
              <font>
                <b/>
                <i val="0"/>
              </font>
            </x14:dxf>
          </x14:cfRule>
          <xm:sqref>L304</xm:sqref>
        </x14:conditionalFormatting>
        <x14:conditionalFormatting xmlns:xm="http://schemas.microsoft.com/office/excel/2006/main">
          <x14:cfRule type="expression" priority="517" id="{D970DE63-68BF-4AF0-A5DE-9023CC2D985A}">
            <xm:f>I305='[IV2_Seq9 - Notes ver4.6 - Rev0.xlsm]Categories'!#REF!</xm:f>
            <x14:dxf>
              <font>
                <b/>
                <i val="0"/>
              </font>
            </x14:dxf>
          </x14:cfRule>
          <xm:sqref>L305</xm:sqref>
        </x14:conditionalFormatting>
        <x14:conditionalFormatting xmlns:xm="http://schemas.microsoft.com/office/excel/2006/main">
          <x14:cfRule type="expression" priority="516" id="{39A54616-C83A-4C4B-9EFE-96FD279C926F}">
            <xm:f>I307='[IV2_Seq9 - Notes ver4.6 - Rev0.xlsm]Categories'!#REF!</xm:f>
            <x14:dxf>
              <font>
                <b/>
                <i val="0"/>
              </font>
            </x14:dxf>
          </x14:cfRule>
          <xm:sqref>L307</xm:sqref>
        </x14:conditionalFormatting>
        <x14:conditionalFormatting xmlns:xm="http://schemas.microsoft.com/office/excel/2006/main">
          <x14:cfRule type="expression" priority="515" id="{0CAFE86D-F13C-4898-882D-2270588CBB30}">
            <xm:f>I309='[IV2_Seq9 - Notes ver4.6 - Rev0.xlsm]Categories'!#REF!</xm:f>
            <x14:dxf>
              <font>
                <b/>
                <i val="0"/>
              </font>
            </x14:dxf>
          </x14:cfRule>
          <xm:sqref>L309</xm:sqref>
        </x14:conditionalFormatting>
        <x14:conditionalFormatting xmlns:xm="http://schemas.microsoft.com/office/excel/2006/main">
          <x14:cfRule type="containsText" priority="513" operator="containsText" id="{5E9CA681-6FF1-4355-BD1E-7AB9A0CE0B6E}">
            <xm:f>NOT(ISERROR(SEARCH("-",Q304)))</xm:f>
            <xm:f>"-"</xm:f>
            <x14:dxf>
              <fill>
                <patternFill>
                  <bgColor rgb="FFFFFFFF"/>
                </patternFill>
              </fill>
            </x14:dxf>
          </x14:cfRule>
          <x14:cfRule type="notContainsText" priority="514" operator="notContains" id="{8C0374BB-0A52-4680-8403-96746144C8F0}">
            <xm:f>ISERROR(SEARCH("-",Q304))</xm:f>
            <xm:f>"-"</xm:f>
            <x14:dxf>
              <fill>
                <patternFill>
                  <bgColor rgb="FFF2F2F2"/>
                </patternFill>
              </fill>
            </x14:dxf>
          </x14:cfRule>
          <xm:sqref>Q304:Q310</xm:sqref>
        </x14:conditionalFormatting>
        <x14:conditionalFormatting xmlns:xm="http://schemas.microsoft.com/office/excel/2006/main">
          <x14:cfRule type="containsText" priority="510" operator="containsText" id="{A8E39E24-5000-468A-85D1-246801CD752C}">
            <xm:f>NOT(ISERROR(SEARCH("-",G312)))</xm:f>
            <xm:f>"-"</xm:f>
            <x14:dxf>
              <fill>
                <patternFill>
                  <bgColor rgb="FFF2F2F2"/>
                </patternFill>
              </fill>
            </x14:dxf>
          </x14:cfRule>
          <xm:sqref>G312:G322</xm:sqref>
        </x14:conditionalFormatting>
        <x14:conditionalFormatting xmlns:xm="http://schemas.microsoft.com/office/excel/2006/main">
          <x14:cfRule type="containsText" priority="508" operator="containsText" id="{8E2214A0-BA51-4958-924C-EF28E89C21A9}">
            <xm:f>NOT(ISERROR(SEARCH("-",G12)))</xm:f>
            <xm:f>"-"</xm:f>
            <x14:dxf>
              <fill>
                <patternFill>
                  <bgColor rgb="FFF2F2F2"/>
                </patternFill>
              </fill>
            </x14:dxf>
          </x14:cfRule>
          <xm:sqref>G45 G12:G43</xm:sqref>
        </x14:conditionalFormatting>
        <x14:conditionalFormatting xmlns:xm="http://schemas.microsoft.com/office/excel/2006/main">
          <x14:cfRule type="containsText" priority="502" operator="containsText" id="{3524065D-ED92-4C6C-907C-A4649ECBDEBB}">
            <xm:f>NOT(ISERROR(SEARCH("-",G13)))</xm:f>
            <xm:f>"-"</xm:f>
            <x14:dxf>
              <fill>
                <patternFill>
                  <bgColor rgb="FFF2F2F2"/>
                </patternFill>
              </fill>
            </x14:dxf>
          </x14:cfRule>
          <xm:sqref>G13</xm:sqref>
        </x14:conditionalFormatting>
        <x14:conditionalFormatting xmlns:xm="http://schemas.microsoft.com/office/excel/2006/main">
          <x14:cfRule type="expression" priority="500" id="{FB040D96-DB26-48AE-8429-A6F196CDCB85}">
            <xm:f>I15='[IV2_Seq9 - Notes ver4.6 - Rev0.xlsm]Categories'!#REF!</xm:f>
            <x14:dxf>
              <font>
                <b/>
                <i val="0"/>
              </font>
            </x14:dxf>
          </x14:cfRule>
          <xm:sqref>L15:L20</xm:sqref>
        </x14:conditionalFormatting>
        <x14:conditionalFormatting xmlns:xm="http://schemas.microsoft.com/office/excel/2006/main">
          <x14:cfRule type="containsText" priority="497" operator="containsText" id="{DF3501A1-7A6F-4C9B-B2B4-2E6140451383}">
            <xm:f>NOT(ISERROR(SEARCH("-",G20)))</xm:f>
            <xm:f>"-"</xm:f>
            <x14:dxf>
              <fill>
                <patternFill>
                  <bgColor rgb="FFF2F2F2"/>
                </patternFill>
              </fill>
            </x14:dxf>
          </x14:cfRule>
          <xm:sqref>G20</xm:sqref>
        </x14:conditionalFormatting>
        <x14:conditionalFormatting xmlns:xm="http://schemas.microsoft.com/office/excel/2006/main">
          <x14:cfRule type="containsText" priority="493" operator="containsText" id="{575A2E34-5098-4B35-B961-1C4D7B3EB859}">
            <xm:f>NOT(ISERROR(SEARCH("-",G21)))</xm:f>
            <xm:f>"-"</xm:f>
            <x14:dxf>
              <fill>
                <patternFill>
                  <bgColor rgb="FFF2F2F2"/>
                </patternFill>
              </fill>
            </x14:dxf>
          </x14:cfRule>
          <xm:sqref>G21:G27</xm:sqref>
        </x14:conditionalFormatting>
        <x14:conditionalFormatting xmlns:xm="http://schemas.microsoft.com/office/excel/2006/main">
          <x14:cfRule type="expression" priority="491" id="{CCC95594-3E78-40C1-A759-0EB3BC1DE184}">
            <xm:f>I22='[IV2_Seq9 - Notes ver4.6 - Rev0.xlsm]Categories'!#REF!</xm:f>
            <x14:dxf>
              <font>
                <b/>
                <i val="0"/>
              </font>
            </x14:dxf>
          </x14:cfRule>
          <xm:sqref>L22</xm:sqref>
        </x14:conditionalFormatting>
        <x14:conditionalFormatting xmlns:xm="http://schemas.microsoft.com/office/excel/2006/main">
          <x14:cfRule type="expression" priority="490" id="{C8EBB5FE-9703-4292-B9EF-09EC24558CC0}">
            <xm:f>I21='[IV2_Seq9 - Notes ver4.6 - Rev0.xlsm]Categories'!#REF!</xm:f>
            <x14:dxf>
              <font>
                <b/>
                <i val="0"/>
              </font>
            </x14:dxf>
          </x14:cfRule>
          <xm:sqref>L21</xm:sqref>
        </x14:conditionalFormatting>
        <x14:conditionalFormatting xmlns:xm="http://schemas.microsoft.com/office/excel/2006/main">
          <x14:cfRule type="expression" priority="489" id="{CF9B5BB0-BEDA-42CD-B735-C3AEFD65962B}">
            <xm:f>I23='[IV2_Seq9 - Notes ver4.6 - Rev0.xlsm]Categories'!#REF!</xm:f>
            <x14:dxf>
              <font>
                <b/>
                <i val="0"/>
              </font>
            </x14:dxf>
          </x14:cfRule>
          <xm:sqref>L23:L27</xm:sqref>
        </x14:conditionalFormatting>
        <x14:conditionalFormatting xmlns:xm="http://schemas.microsoft.com/office/excel/2006/main">
          <x14:cfRule type="expression" priority="488" id="{DF808558-F252-4188-A9DB-2508520EAE61}">
            <xm:f>I28='[IV2_Seq9 - Notes ver4.6 - Rev0.xlsm]Categories'!#REF!</xm:f>
            <x14:dxf>
              <font>
                <b/>
                <i val="0"/>
              </font>
            </x14:dxf>
          </x14:cfRule>
          <xm:sqref>L28</xm:sqref>
        </x14:conditionalFormatting>
        <x14:conditionalFormatting xmlns:xm="http://schemas.microsoft.com/office/excel/2006/main">
          <x14:cfRule type="containsText" priority="485" operator="containsText" id="{94AA8F11-2E4F-4BA4-857D-5F411D0B1D1F}">
            <xm:f>NOT(ISERROR(SEARCH("-",G28)))</xm:f>
            <xm:f>"-"</xm:f>
            <x14:dxf>
              <fill>
                <patternFill>
                  <bgColor rgb="FFF2F2F2"/>
                </patternFill>
              </fill>
            </x14:dxf>
          </x14:cfRule>
          <xm:sqref>G28</xm:sqref>
        </x14:conditionalFormatting>
        <x14:conditionalFormatting xmlns:xm="http://schemas.microsoft.com/office/excel/2006/main">
          <x14:cfRule type="containsText" priority="481" operator="containsText" id="{6EB19346-8F3F-4701-9543-33C4546FF8CC}">
            <xm:f>NOT(ISERROR(SEARCH("-",G29)))</xm:f>
            <xm:f>"-"</xm:f>
            <x14:dxf>
              <fill>
                <patternFill>
                  <bgColor rgb="FFF2F2F2"/>
                </patternFill>
              </fill>
            </x14:dxf>
          </x14:cfRule>
          <xm:sqref>G29:G35</xm:sqref>
        </x14:conditionalFormatting>
        <x14:conditionalFormatting xmlns:xm="http://schemas.microsoft.com/office/excel/2006/main">
          <x14:cfRule type="expression" priority="479" id="{FD7BE6AC-5C1C-4697-ACC3-99DD28B028D4}">
            <xm:f>I30='[IV2_Seq9 - Notes ver4.6 - Rev0.xlsm]Categories'!#REF!</xm:f>
            <x14:dxf>
              <font>
                <b/>
                <i val="0"/>
              </font>
            </x14:dxf>
          </x14:cfRule>
          <xm:sqref>L30</xm:sqref>
        </x14:conditionalFormatting>
        <x14:conditionalFormatting xmlns:xm="http://schemas.microsoft.com/office/excel/2006/main">
          <x14:cfRule type="expression" priority="478" id="{33C2B240-9515-4FBA-B0C3-9A566188B49A}">
            <xm:f>I29='[IV2_Seq9 - Notes ver4.6 - Rev0.xlsm]Categories'!#REF!</xm:f>
            <x14:dxf>
              <font>
                <b/>
                <i val="0"/>
              </font>
            </x14:dxf>
          </x14:cfRule>
          <xm:sqref>L29</xm:sqref>
        </x14:conditionalFormatting>
        <x14:conditionalFormatting xmlns:xm="http://schemas.microsoft.com/office/excel/2006/main">
          <x14:cfRule type="expression" priority="477" id="{7E9856BB-E532-44BD-893A-2E566645D0C0}">
            <xm:f>I31='[IV2_Seq9 - Notes ver4.6 - Rev0.xlsm]Categories'!#REF!</xm:f>
            <x14:dxf>
              <font>
                <b/>
                <i val="0"/>
              </font>
            </x14:dxf>
          </x14:cfRule>
          <xm:sqref>L31:L35</xm:sqref>
        </x14:conditionalFormatting>
        <x14:conditionalFormatting xmlns:xm="http://schemas.microsoft.com/office/excel/2006/main">
          <x14:cfRule type="expression" priority="476" id="{50E74054-978D-4501-9BF5-EC6A07333FF6}">
            <xm:f>I36='[IV2_Seq9 - Notes ver4.6 - Rev0.xlsm]Categories'!#REF!</xm:f>
            <x14:dxf>
              <font>
                <b/>
                <i val="0"/>
              </font>
            </x14:dxf>
          </x14:cfRule>
          <xm:sqref>L36</xm:sqref>
        </x14:conditionalFormatting>
        <x14:conditionalFormatting xmlns:xm="http://schemas.microsoft.com/office/excel/2006/main">
          <x14:cfRule type="containsText" priority="473" operator="containsText" id="{F3EFF6D0-3015-4563-AC2B-9DC3285F10C0}">
            <xm:f>NOT(ISERROR(SEARCH("-",G36)))</xm:f>
            <xm:f>"-"</xm:f>
            <x14:dxf>
              <fill>
                <patternFill>
                  <bgColor rgb="FFF2F2F2"/>
                </patternFill>
              </fill>
            </x14:dxf>
          </x14:cfRule>
          <xm:sqref>G36</xm:sqref>
        </x14:conditionalFormatting>
        <x14:conditionalFormatting xmlns:xm="http://schemas.microsoft.com/office/excel/2006/main">
          <x14:cfRule type="containsText" priority="469" operator="containsText" id="{32ECFFF9-DB2F-4413-9DE6-91F34AC519CD}">
            <xm:f>NOT(ISERROR(SEARCH("-",G37)))</xm:f>
            <xm:f>"-"</xm:f>
            <x14:dxf>
              <fill>
                <patternFill>
                  <bgColor rgb="FFF2F2F2"/>
                </patternFill>
              </fill>
            </x14:dxf>
          </x14:cfRule>
          <xm:sqref>G37</xm:sqref>
        </x14:conditionalFormatting>
        <x14:conditionalFormatting xmlns:xm="http://schemas.microsoft.com/office/excel/2006/main">
          <x14:cfRule type="expression" priority="467" id="{64F472A1-6DE0-48A0-B3EB-6BF09AF91497}">
            <xm:f>I38='[IV2_Seq9 - Notes ver4.6 - Rev0.xlsm]Categories'!#REF!</xm:f>
            <x14:dxf>
              <font>
                <b/>
                <i val="0"/>
              </font>
            </x14:dxf>
          </x14:cfRule>
          <xm:sqref>L38</xm:sqref>
        </x14:conditionalFormatting>
        <x14:conditionalFormatting xmlns:xm="http://schemas.microsoft.com/office/excel/2006/main">
          <x14:cfRule type="expression" priority="466" id="{CE16BEAA-3AC7-45EB-A692-1C6B51A01633}">
            <xm:f>I37='[IV2_Seq9 - Notes ver4.6 - Rev0.xlsm]Categories'!#REF!</xm:f>
            <x14:dxf>
              <font>
                <b/>
                <i val="0"/>
              </font>
            </x14:dxf>
          </x14:cfRule>
          <xm:sqref>L37</xm:sqref>
        </x14:conditionalFormatting>
        <x14:conditionalFormatting xmlns:xm="http://schemas.microsoft.com/office/excel/2006/main">
          <x14:cfRule type="containsText" priority="463" operator="containsText" id="{915CFBD3-C50E-4736-93A0-9B243ADF2CC5}">
            <xm:f>NOT(ISERROR(SEARCH("-",G12)))</xm:f>
            <xm:f>"-"</xm:f>
            <x14:dxf>
              <fill>
                <patternFill>
                  <bgColor rgb="FFF2F2F2"/>
                </patternFill>
              </fill>
            </x14:dxf>
          </x14:cfRule>
          <xm:sqref>G12</xm:sqref>
        </x14:conditionalFormatting>
        <x14:conditionalFormatting xmlns:xm="http://schemas.microsoft.com/office/excel/2006/main">
          <x14:cfRule type="expression" priority="461" id="{B102C55E-8FFB-432A-8C05-EE349A7FF6FE}">
            <xm:f>I12='[IV2_Seq9 - Notes ver4.6 - Rev0.xlsm]Categories'!#REF!</xm:f>
            <x14:dxf>
              <font>
                <b/>
                <i val="0"/>
              </font>
            </x14:dxf>
          </x14:cfRule>
          <xm:sqref>L12</xm:sqref>
        </x14:conditionalFormatting>
        <x14:conditionalFormatting xmlns:xm="http://schemas.microsoft.com/office/excel/2006/main">
          <x14:cfRule type="containsText" priority="458" operator="containsText" id="{CB86FC62-6357-4438-984D-1997AAEEAD03}">
            <xm:f>NOT(ISERROR(SEARCH("-",G45)))</xm:f>
            <xm:f>"-"</xm:f>
            <x14:dxf>
              <fill>
                <patternFill>
                  <bgColor rgb="FFF2F2F2"/>
                </patternFill>
              </fill>
            </x14:dxf>
          </x14:cfRule>
          <xm:sqref>G45</xm:sqref>
        </x14:conditionalFormatting>
        <x14:conditionalFormatting xmlns:xm="http://schemas.microsoft.com/office/excel/2006/main">
          <x14:cfRule type="expression" priority="456" id="{E9226093-4C25-447A-AC5F-D831A957FB01}">
            <xm:f>I45='[IV2_Seq9 - Notes ver4.6 - Rev0.xlsm]Categories'!#REF!</xm:f>
            <x14:dxf>
              <font>
                <b/>
                <i val="0"/>
              </font>
            </x14:dxf>
          </x14:cfRule>
          <xm:sqref>L45</xm:sqref>
        </x14:conditionalFormatting>
        <x14:conditionalFormatting xmlns:xm="http://schemas.microsoft.com/office/excel/2006/main">
          <x14:cfRule type="expression" priority="455" id="{F6F84952-D461-409F-8D3A-1E3462DE047D}">
            <xm:f>I45='[IV2_Seq9 - Notes ver4.6 - Rev0.xlsm]Categories'!#REF!</xm:f>
            <x14:dxf>
              <font>
                <b/>
                <i val="0"/>
              </font>
            </x14:dxf>
          </x14:cfRule>
          <xm:sqref>O45</xm:sqref>
        </x14:conditionalFormatting>
        <x14:conditionalFormatting xmlns:xm="http://schemas.microsoft.com/office/excel/2006/main">
          <x14:cfRule type="containsText" priority="452" operator="containsText" id="{15DBD801-BBFE-42D8-B6D0-22B80BEB600D}">
            <xm:f>NOT(ISERROR(SEARCH("-",G14)))</xm:f>
            <xm:f>"-"</xm:f>
            <x14:dxf>
              <fill>
                <patternFill>
                  <bgColor rgb="FFF2F2F2"/>
                </patternFill>
              </fill>
            </x14:dxf>
          </x14:cfRule>
          <xm:sqref>G14:G19</xm:sqref>
        </x14:conditionalFormatting>
        <x14:conditionalFormatting xmlns:xm="http://schemas.microsoft.com/office/excel/2006/main">
          <x14:cfRule type="expression" priority="368" id="{975F406C-A794-4A64-B5CC-53B528A4DF9A}">
            <xm:f>I4='[IV2_Seq9 - Notes ver4.8 - Rev0.xlsm]Categories'!#REF!</xm:f>
            <x14:dxf>
              <font>
                <b/>
                <i val="0"/>
              </font>
            </x14:dxf>
          </x14:cfRule>
          <x14:cfRule type="expression" priority="450" id="{007AD167-7004-4F48-A942-190CB4250A48}">
            <xm:f>I4='[IV2_Seq9 - Notes ver4.6 - Rev0.xlsm]Categories'!#REF!</xm:f>
            <x14:dxf>
              <font>
                <b/>
                <i val="0"/>
              </font>
            </x14:dxf>
          </x14:cfRule>
          <xm:sqref>O96:O108 O4:O94 O110:O122 O132:O140 O167:O259 O274:O281 O262:O272 O286:O292 O297:O323</xm:sqref>
        </x14:conditionalFormatting>
        <x14:conditionalFormatting xmlns:xm="http://schemas.microsoft.com/office/excel/2006/main">
          <x14:cfRule type="containsText" priority="447" operator="containsText" id="{554FB2BD-DA42-40DF-9D3B-8DCFD0739274}">
            <xm:f>NOT(ISERROR(SEARCH("-",G22)))</xm:f>
            <xm:f>"-"</xm:f>
            <x14:dxf>
              <fill>
                <patternFill>
                  <bgColor rgb="FFF2F2F2"/>
                </patternFill>
              </fill>
            </x14:dxf>
          </x14:cfRule>
          <xm:sqref>G22:G27</xm:sqref>
        </x14:conditionalFormatting>
        <x14:conditionalFormatting xmlns:xm="http://schemas.microsoft.com/office/excel/2006/main">
          <x14:cfRule type="containsText" priority="443" operator="containsText" id="{F7B5EA93-B7D5-4950-A810-6324184078FD}">
            <xm:f>NOT(ISERROR(SEARCH("-",G30)))</xm:f>
            <xm:f>"-"</xm:f>
            <x14:dxf>
              <fill>
                <patternFill>
                  <bgColor rgb="FFF2F2F2"/>
                </patternFill>
              </fill>
            </x14:dxf>
          </x14:cfRule>
          <xm:sqref>G30:G35</xm:sqref>
        </x14:conditionalFormatting>
        <x14:conditionalFormatting xmlns:xm="http://schemas.microsoft.com/office/excel/2006/main">
          <x14:cfRule type="containsText" priority="439" operator="containsText" id="{87C9A831-8CC2-4303-B756-8B300C010ED7}">
            <xm:f>NOT(ISERROR(SEARCH("-",G38)))</xm:f>
            <xm:f>"-"</xm:f>
            <x14:dxf>
              <fill>
                <patternFill>
                  <bgColor rgb="FFF2F2F2"/>
                </patternFill>
              </fill>
            </x14:dxf>
          </x14:cfRule>
          <xm:sqref>G38:G43 G45</xm:sqref>
        </x14:conditionalFormatting>
        <x14:conditionalFormatting xmlns:xm="http://schemas.microsoft.com/office/excel/2006/main">
          <x14:cfRule type="containsText" priority="436" operator="containsText" id="{41F6B370-819C-49F6-A03F-61758F000FA1}">
            <xm:f>NOT(ISERROR(SEARCH("-",Q12)))</xm:f>
            <xm:f>"-"</xm:f>
            <x14:dxf>
              <fill>
                <patternFill>
                  <bgColor rgb="FFFFFFFF"/>
                </patternFill>
              </fill>
            </x14:dxf>
          </x14:cfRule>
          <x14:cfRule type="notContainsText" priority="437" operator="notContains" id="{8CB1EEF2-80AA-48D4-BDC1-4EDC13AE333B}">
            <xm:f>ISERROR(SEARCH("-",Q12))</xm:f>
            <xm:f>"-"</xm:f>
            <x14:dxf>
              <fill>
                <patternFill>
                  <bgColor rgb="FFF2F2F2"/>
                </patternFill>
              </fill>
            </x14:dxf>
          </x14:cfRule>
          <xm:sqref>Q12:Q43 Q45</xm:sqref>
        </x14:conditionalFormatting>
        <x14:conditionalFormatting xmlns:xm="http://schemas.microsoft.com/office/excel/2006/main">
          <x14:cfRule type="containsText" priority="433" operator="containsText" id="{16613F52-03E5-4E86-A2E7-CC96019C9271}">
            <xm:f>NOT(ISERROR(SEARCH("-",G14)))</xm:f>
            <xm:f>"-"</xm:f>
            <x14:dxf>
              <fill>
                <patternFill>
                  <bgColor rgb="FFF2F2F2"/>
                </patternFill>
              </fill>
            </x14:dxf>
          </x14:cfRule>
          <xm:sqref>G14:G19</xm:sqref>
        </x14:conditionalFormatting>
        <x14:conditionalFormatting xmlns:xm="http://schemas.microsoft.com/office/excel/2006/main">
          <x14:cfRule type="containsText" priority="429" operator="containsText" id="{16A132CB-4AC6-4EFE-B9B0-E13A338F5522}">
            <xm:f>NOT(ISERROR(SEARCH("-",G30)))</xm:f>
            <xm:f>"-"</xm:f>
            <x14:dxf>
              <fill>
                <patternFill>
                  <bgColor rgb="FFF2F2F2"/>
                </patternFill>
              </fill>
            </x14:dxf>
          </x14:cfRule>
          <xm:sqref>G30:G35</xm:sqref>
        </x14:conditionalFormatting>
        <x14:conditionalFormatting xmlns:xm="http://schemas.microsoft.com/office/excel/2006/main">
          <x14:cfRule type="containsText" priority="425" operator="containsText" id="{FEC8E73B-8362-40A0-9D7A-C72DD1521C3B}">
            <xm:f>NOT(ISERROR(SEARCH("-",G38)))</xm:f>
            <xm:f>"-"</xm:f>
            <x14:dxf>
              <fill>
                <patternFill>
                  <bgColor rgb="FFF2F2F2"/>
                </patternFill>
              </fill>
            </x14:dxf>
          </x14:cfRule>
          <xm:sqref>G38:G43 G45</xm:sqref>
        </x14:conditionalFormatting>
        <x14:conditionalFormatting xmlns:xm="http://schemas.microsoft.com/office/excel/2006/main">
          <x14:cfRule type="expression" priority="423" id="{DF334573-8B2C-4603-A6E3-0426E98BC7CE}">
            <xm:f>I13='[IV2_Seq9 - Notes ver4.6 - Rev0.xlsm]Categories'!#REF!</xm:f>
            <x14:dxf>
              <font>
                <b/>
                <i val="0"/>
              </font>
            </x14:dxf>
          </x14:cfRule>
          <xm:sqref>O13:O43</xm:sqref>
        </x14:conditionalFormatting>
        <x14:conditionalFormatting xmlns:xm="http://schemas.microsoft.com/office/excel/2006/main">
          <x14:cfRule type="expression" priority="422" id="{FC9909CB-4C4B-4B7C-98E1-6E115A546E4F}">
            <xm:f>I44='[IV2_Seq9 - Notes ver4.6 - Rev0.xlsm]Categories'!#REF!</xm:f>
            <x14:dxf>
              <font>
                <b/>
                <i val="0"/>
              </font>
            </x14:dxf>
          </x14:cfRule>
          <xm:sqref>L44</xm:sqref>
        </x14:conditionalFormatting>
        <x14:conditionalFormatting xmlns:xm="http://schemas.microsoft.com/office/excel/2006/main">
          <x14:cfRule type="expression" priority="421" id="{20EAC237-CE71-47A9-9226-891A4508181C}">
            <xm:f>I44='[IV2_Seq9 - Notes ver4.6 - Rev0.xlsm]Categories'!#REF!</xm:f>
            <x14:dxf>
              <font>
                <b/>
                <i val="0"/>
              </font>
            </x14:dxf>
          </x14:cfRule>
          <xm:sqref>O44</xm:sqref>
        </x14:conditionalFormatting>
        <x14:conditionalFormatting xmlns:xm="http://schemas.microsoft.com/office/excel/2006/main">
          <x14:cfRule type="containsText" priority="420" operator="containsText" id="{8642CC31-F126-4711-AB1D-BF2D6BE91CE2}">
            <xm:f>NOT(ISERROR(SEARCH("-",G44)))</xm:f>
            <xm:f>"-"</xm:f>
            <x14:dxf>
              <fill>
                <patternFill>
                  <bgColor rgb="FFF2F2F2"/>
                </patternFill>
              </fill>
            </x14:dxf>
          </x14:cfRule>
          <xm:sqref>G44</xm:sqref>
        </x14:conditionalFormatting>
        <x14:conditionalFormatting xmlns:xm="http://schemas.microsoft.com/office/excel/2006/main">
          <x14:cfRule type="containsText" priority="414" operator="containsText" id="{21D938E8-4287-4FA5-9CBB-B32EDCDB9266}">
            <xm:f>NOT(ISERROR(SEARCH("-",G44)))</xm:f>
            <xm:f>"-"</xm:f>
            <x14:dxf>
              <fill>
                <patternFill>
                  <bgColor rgb="FFF2F2F2"/>
                </patternFill>
              </fill>
            </x14:dxf>
          </x14:cfRule>
          <xm:sqref>G44</xm:sqref>
        </x14:conditionalFormatting>
        <x14:conditionalFormatting xmlns:xm="http://schemas.microsoft.com/office/excel/2006/main">
          <x14:cfRule type="containsText" priority="411" operator="containsText" id="{37FF3D06-789C-4ADA-AE31-F251478DF5DF}">
            <xm:f>NOT(ISERROR(SEARCH("-",Q44)))</xm:f>
            <xm:f>"-"</xm:f>
            <x14:dxf>
              <fill>
                <patternFill>
                  <bgColor rgb="FFFFFFFF"/>
                </patternFill>
              </fill>
            </x14:dxf>
          </x14:cfRule>
          <x14:cfRule type="notContainsText" priority="412" operator="notContains" id="{E011AC96-28EE-4DE5-BA30-95B7A9924FEA}">
            <xm:f>ISERROR(SEARCH("-",Q44))</xm:f>
            <xm:f>"-"</xm:f>
            <x14:dxf>
              <fill>
                <patternFill>
                  <bgColor rgb="FFF2F2F2"/>
                </patternFill>
              </fill>
            </x14:dxf>
          </x14:cfRule>
          <xm:sqref>Q44</xm:sqref>
        </x14:conditionalFormatting>
        <x14:conditionalFormatting xmlns:xm="http://schemas.microsoft.com/office/excel/2006/main">
          <x14:cfRule type="containsText" priority="410" operator="containsText" id="{6808D367-94FC-46CE-AC32-FFCD06149BA2}">
            <xm:f>NOT(ISERROR(SEARCH("-",G46)))</xm:f>
            <xm:f>"-"</xm:f>
            <x14:dxf>
              <fill>
                <patternFill>
                  <bgColor rgb="FFF2F2F2"/>
                </patternFill>
              </fill>
            </x14:dxf>
          </x14:cfRule>
          <xm:sqref>G46:G60</xm:sqref>
        </x14:conditionalFormatting>
        <x14:conditionalFormatting xmlns:xm="http://schemas.microsoft.com/office/excel/2006/main">
          <x14:cfRule type="containsText" priority="404" operator="containsText" id="{DB89C8CC-54E2-4AC2-A116-3CDA2AC44495}">
            <xm:f>NOT(ISERROR(SEARCH("-",G47)))</xm:f>
            <xm:f>"-"</xm:f>
            <x14:dxf>
              <fill>
                <patternFill>
                  <bgColor rgb="FFF2F2F2"/>
                </patternFill>
              </fill>
            </x14:dxf>
          </x14:cfRule>
          <xm:sqref>G47</xm:sqref>
        </x14:conditionalFormatting>
        <x14:conditionalFormatting xmlns:xm="http://schemas.microsoft.com/office/excel/2006/main">
          <x14:cfRule type="expression" priority="402" id="{067BD23B-6419-4A51-9CEB-31BE3845540A}">
            <xm:f>I47='[IV2_Seq9 - Notes ver4.6 - Rev0.xlsm]Categories'!#REF!</xm:f>
            <x14:dxf>
              <font>
                <b/>
                <i val="0"/>
              </font>
            </x14:dxf>
          </x14:cfRule>
          <xm:sqref>L47:L48</xm:sqref>
        </x14:conditionalFormatting>
        <x14:conditionalFormatting xmlns:xm="http://schemas.microsoft.com/office/excel/2006/main">
          <x14:cfRule type="expression" priority="401" id="{F42B046F-7912-468F-8987-F1E5EB074D0F}">
            <xm:f>I49='[IV2_Seq9 - Notes ver4.6 - Rev0.xlsm]Categories'!#REF!</xm:f>
            <x14:dxf>
              <font>
                <b/>
                <i val="0"/>
              </font>
            </x14:dxf>
          </x14:cfRule>
          <xm:sqref>L49:L54</xm:sqref>
        </x14:conditionalFormatting>
        <x14:conditionalFormatting xmlns:xm="http://schemas.microsoft.com/office/excel/2006/main">
          <x14:cfRule type="containsText" priority="398" operator="containsText" id="{C6A71B9A-4F92-4286-9875-CA344743DA03}">
            <xm:f>NOT(ISERROR(SEARCH("-",G54)))</xm:f>
            <xm:f>"-"</xm:f>
            <x14:dxf>
              <fill>
                <patternFill>
                  <bgColor rgb="FFF2F2F2"/>
                </patternFill>
              </fill>
            </x14:dxf>
          </x14:cfRule>
          <xm:sqref>G54</xm:sqref>
        </x14:conditionalFormatting>
        <x14:conditionalFormatting xmlns:xm="http://schemas.microsoft.com/office/excel/2006/main">
          <x14:cfRule type="containsText" priority="394" operator="containsText" id="{81248740-4442-4746-98D9-FE067C9DFC71}">
            <xm:f>NOT(ISERROR(SEARCH("-",G55)))</xm:f>
            <xm:f>"-"</xm:f>
            <x14:dxf>
              <fill>
                <patternFill>
                  <bgColor rgb="FFF2F2F2"/>
                </patternFill>
              </fill>
            </x14:dxf>
          </x14:cfRule>
          <xm:sqref>G55:G60</xm:sqref>
        </x14:conditionalFormatting>
        <x14:conditionalFormatting xmlns:xm="http://schemas.microsoft.com/office/excel/2006/main">
          <x14:cfRule type="expression" priority="392" id="{D057BB83-159A-4FB4-ACE8-FBC37DFE1C76}">
            <xm:f>I56='[IV2_Seq9 - Notes ver4.6 - Rev0.xlsm]Categories'!#REF!</xm:f>
            <x14:dxf>
              <font>
                <b/>
                <i val="0"/>
              </font>
            </x14:dxf>
          </x14:cfRule>
          <xm:sqref>L56</xm:sqref>
        </x14:conditionalFormatting>
        <x14:conditionalFormatting xmlns:xm="http://schemas.microsoft.com/office/excel/2006/main">
          <x14:cfRule type="expression" priority="391" id="{C99340D3-3681-40FC-8D1B-92D3BECA493E}">
            <xm:f>I55='[IV2_Seq9 - Notes ver4.6 - Rev0.xlsm]Categories'!#REF!</xm:f>
            <x14:dxf>
              <font>
                <b/>
                <i val="0"/>
              </font>
            </x14:dxf>
          </x14:cfRule>
          <xm:sqref>L55</xm:sqref>
        </x14:conditionalFormatting>
        <x14:conditionalFormatting xmlns:xm="http://schemas.microsoft.com/office/excel/2006/main">
          <x14:cfRule type="containsText" priority="388" operator="containsText" id="{1F1D91B5-762B-4CC1-958E-F4F7B8F0C2DF}">
            <xm:f>NOT(ISERROR(SEARCH("-",G46)))</xm:f>
            <xm:f>"-"</xm:f>
            <x14:dxf>
              <fill>
                <patternFill>
                  <bgColor rgb="FFF2F2F2"/>
                </patternFill>
              </fill>
            </x14:dxf>
          </x14:cfRule>
          <xm:sqref>G46</xm:sqref>
        </x14:conditionalFormatting>
        <x14:conditionalFormatting xmlns:xm="http://schemas.microsoft.com/office/excel/2006/main">
          <x14:cfRule type="expression" priority="386" id="{8529F63A-69CC-46AA-9671-4F924EB138E0}">
            <xm:f>I46='[IV2_Seq9 - Notes ver4.6 - Rev0.xlsm]Categories'!#REF!</xm:f>
            <x14:dxf>
              <font>
                <b/>
                <i val="0"/>
              </font>
            </x14:dxf>
          </x14:cfRule>
          <xm:sqref>L46</xm:sqref>
        </x14:conditionalFormatting>
        <x14:conditionalFormatting xmlns:xm="http://schemas.microsoft.com/office/excel/2006/main">
          <x14:cfRule type="containsText" priority="383" operator="containsText" id="{C8971CF1-F1B9-43BE-9DF8-8987DFD459AD}">
            <xm:f>NOT(ISERROR(SEARCH("-",G48)))</xm:f>
            <xm:f>"-"</xm:f>
            <x14:dxf>
              <fill>
                <patternFill>
                  <bgColor rgb="FFF2F2F2"/>
                </patternFill>
              </fill>
            </x14:dxf>
          </x14:cfRule>
          <xm:sqref>G48:G53</xm:sqref>
        </x14:conditionalFormatting>
        <x14:conditionalFormatting xmlns:xm="http://schemas.microsoft.com/office/excel/2006/main">
          <x14:cfRule type="expression" priority="381" id="{50DF7597-7AF2-4866-9912-D6C1AFC0A11A}">
            <xm:f>I46='[IV2_Seq9 - Notes ver4.6 - Rev0.xlsm]Categories'!#REF!</xm:f>
            <x14:dxf>
              <font>
                <b/>
                <i val="0"/>
              </font>
            </x14:dxf>
          </x14:cfRule>
          <xm:sqref>O46</xm:sqref>
        </x14:conditionalFormatting>
        <x14:conditionalFormatting xmlns:xm="http://schemas.microsoft.com/office/excel/2006/main">
          <x14:cfRule type="containsText" priority="378" operator="containsText" id="{2D338D82-CF9F-4ED4-8616-70C3EBD231EF}">
            <xm:f>NOT(ISERROR(SEARCH("-",G56)))</xm:f>
            <xm:f>"-"</xm:f>
            <x14:dxf>
              <fill>
                <patternFill>
                  <bgColor rgb="FFF2F2F2"/>
                </patternFill>
              </fill>
            </x14:dxf>
          </x14:cfRule>
          <xm:sqref>G56:G60</xm:sqref>
        </x14:conditionalFormatting>
        <x14:conditionalFormatting xmlns:xm="http://schemas.microsoft.com/office/excel/2006/main">
          <x14:cfRule type="containsText" priority="375" operator="containsText" id="{0486C502-01EF-46D8-9E7D-9BDB96D8E55D}">
            <xm:f>NOT(ISERROR(SEARCH("-",Q46)))</xm:f>
            <xm:f>"-"</xm:f>
            <x14:dxf>
              <fill>
                <patternFill>
                  <bgColor rgb="FFFFFFFF"/>
                </patternFill>
              </fill>
            </x14:dxf>
          </x14:cfRule>
          <x14:cfRule type="notContainsText" priority="376" operator="notContains" id="{0B963420-3913-4E59-9DF4-1B3F408277A8}">
            <xm:f>ISERROR(SEARCH("-",Q46))</xm:f>
            <xm:f>"-"</xm:f>
            <x14:dxf>
              <fill>
                <patternFill>
                  <bgColor rgb="FFF2F2F2"/>
                </patternFill>
              </fill>
            </x14:dxf>
          </x14:cfRule>
          <xm:sqref>Q46:Q60</xm:sqref>
        </x14:conditionalFormatting>
        <x14:conditionalFormatting xmlns:xm="http://schemas.microsoft.com/office/excel/2006/main">
          <x14:cfRule type="containsText" priority="372" operator="containsText" id="{A341CD60-10CC-4167-95F1-C4086B72A8E2}">
            <xm:f>NOT(ISERROR(SEARCH("-",G48)))</xm:f>
            <xm:f>"-"</xm:f>
            <x14:dxf>
              <fill>
                <patternFill>
                  <bgColor rgb="FFF2F2F2"/>
                </patternFill>
              </fill>
            </x14:dxf>
          </x14:cfRule>
          <xm:sqref>G48:G53</xm:sqref>
        </x14:conditionalFormatting>
        <x14:conditionalFormatting xmlns:xm="http://schemas.microsoft.com/office/excel/2006/main">
          <x14:cfRule type="expression" priority="370" id="{A487835F-82BD-420A-8751-C6595147217A}">
            <xm:f>I4='[IV2_Seq9 - Notes ver4.8 - Rev0.xlsm]Categories'!#REF!</xm:f>
            <x14:dxf>
              <font>
                <b/>
                <i val="0"/>
              </font>
            </x14:dxf>
          </x14:cfRule>
          <xm:sqref>K96:K108 K4:K94 K110:K122 K132:K140 K167:K259 K262:K271 K280:K323</xm:sqref>
        </x14:conditionalFormatting>
        <x14:conditionalFormatting xmlns:xm="http://schemas.microsoft.com/office/excel/2006/main">
          <x14:cfRule type="expression" priority="369" id="{AE76DAE8-6344-4944-85BF-1B28300D05E9}">
            <xm:f>I4='[IV2_Seq9 - Notes ver4.8 - Rev0.xlsm]Categories'!#REF!</xm:f>
            <x14:dxf>
              <font>
                <b/>
                <i val="0"/>
              </font>
            </x14:dxf>
          </x14:cfRule>
          <xm:sqref>L96:L108 L4:L94 L110:L122 L132:L140 L167:L259 L274:L281 L262:L272 L286:L292 L297:L323</xm:sqref>
        </x14:conditionalFormatting>
        <x14:conditionalFormatting xmlns:xm="http://schemas.microsoft.com/office/excel/2006/main">
          <x14:cfRule type="containsText" priority="367" operator="containsText" id="{59ADFD1F-DC03-45FB-B929-AB649E7FFCDE}">
            <xm:f>NOT(ISERROR(SEARCH("-",G95)))</xm:f>
            <xm:f>"-"</xm:f>
            <x14:dxf>
              <fill>
                <patternFill>
                  <bgColor rgb="FFF2F2F2"/>
                </patternFill>
              </fill>
            </x14:dxf>
          </x14:cfRule>
          <xm:sqref>G95</xm:sqref>
        </x14:conditionalFormatting>
        <x14:conditionalFormatting xmlns:xm="http://schemas.microsoft.com/office/excel/2006/main">
          <x14:cfRule type="expression" priority="363" id="{B73D3F5C-0EAD-44F9-86CA-F26B656BE81C}">
            <xm:f>I95='[IV2_Seq9 - Notes ver4.6 - Rev0.xlsm]Categories'!#REF!</xm:f>
            <x14:dxf>
              <font>
                <b/>
                <i val="0"/>
              </font>
            </x14:dxf>
          </x14:cfRule>
          <xm:sqref>L95</xm:sqref>
        </x14:conditionalFormatting>
        <x14:conditionalFormatting xmlns:xm="http://schemas.microsoft.com/office/excel/2006/main">
          <x14:cfRule type="notContainsText" priority="362" operator="notContains" id="{AEAC0112-9B06-4BB3-BD46-40B57A972254}">
            <xm:f>ISERROR(SEARCH("-",M95))</xm:f>
            <xm:f>"-"</xm:f>
            <x14:dxf>
              <fill>
                <patternFill>
                  <bgColor rgb="FFF2F2F2"/>
                </patternFill>
              </fill>
            </x14:dxf>
          </x14:cfRule>
          <xm:sqref>M95:N95</xm:sqref>
        </x14:conditionalFormatting>
        <x14:conditionalFormatting xmlns:xm="http://schemas.microsoft.com/office/excel/2006/main">
          <x14:cfRule type="expression" priority="361" id="{FEB40676-96D2-4AF0-AC50-19C694B59741}">
            <xm:f>I95='[IV2_Seq9 - Notes ver4.6 - Rev0.xlsm]Categories'!#REF!</xm:f>
            <x14:dxf>
              <font>
                <b/>
                <i val="0"/>
              </font>
            </x14:dxf>
          </x14:cfRule>
          <xm:sqref>L95</xm:sqref>
        </x14:conditionalFormatting>
        <x14:conditionalFormatting xmlns:xm="http://schemas.microsoft.com/office/excel/2006/main">
          <x14:cfRule type="containsText" priority="359" operator="containsText" id="{D9D03E0A-5056-4662-A7C6-8321A11E06A7}">
            <xm:f>NOT(ISERROR(SEARCH("-",Q95)))</xm:f>
            <xm:f>"-"</xm:f>
            <x14:dxf>
              <fill>
                <patternFill>
                  <bgColor rgb="FFFFFFFF"/>
                </patternFill>
              </fill>
            </x14:dxf>
          </x14:cfRule>
          <x14:cfRule type="notContainsText" priority="360" operator="notContains" id="{E29A5023-BF73-4B37-BC66-6D4BCE73123F}">
            <xm:f>ISERROR(SEARCH("-",Q95))</xm:f>
            <xm:f>"-"</xm:f>
            <x14:dxf>
              <fill>
                <patternFill>
                  <bgColor rgb="FFF2F2F2"/>
                </patternFill>
              </fill>
            </x14:dxf>
          </x14:cfRule>
          <xm:sqref>Q95</xm:sqref>
        </x14:conditionalFormatting>
        <x14:conditionalFormatting xmlns:xm="http://schemas.microsoft.com/office/excel/2006/main">
          <x14:cfRule type="expression" priority="358" id="{F02AA518-5F22-4FFB-A467-635783D3BB01}">
            <xm:f>I95='[IV2_Seq9 - Notes ver4.8 - Rev0.xlsm]Categories'!#REF!</xm:f>
            <x14:dxf>
              <font>
                <b/>
                <i val="0"/>
              </font>
            </x14:dxf>
          </x14:cfRule>
          <xm:sqref>K95</xm:sqref>
        </x14:conditionalFormatting>
        <x14:conditionalFormatting xmlns:xm="http://schemas.microsoft.com/office/excel/2006/main">
          <x14:cfRule type="expression" priority="357" id="{47417D93-62E2-4500-B0C7-771E4682318E}">
            <xm:f>I95='[IV2_Seq9 - Notes ver4.8 - Rev0.xlsm]Categories'!#REF!</xm:f>
            <x14:dxf>
              <font>
                <b/>
                <i val="0"/>
              </font>
            </x14:dxf>
          </x14:cfRule>
          <xm:sqref>L95</xm:sqref>
        </x14:conditionalFormatting>
        <x14:conditionalFormatting xmlns:xm="http://schemas.microsoft.com/office/excel/2006/main">
          <x14:cfRule type="expression" priority="356" id="{27FD9DE1-4E26-43B0-B49D-DDD90681B79B}">
            <xm:f>I95='[IV2_Seq9 - Notes ver4.6 - Rev0.xlsm]Categories'!#REF!</xm:f>
            <x14:dxf>
              <font>
                <b/>
                <i val="0"/>
              </font>
            </x14:dxf>
          </x14:cfRule>
          <xm:sqref>O95</xm:sqref>
        </x14:conditionalFormatting>
        <x14:conditionalFormatting xmlns:xm="http://schemas.microsoft.com/office/excel/2006/main">
          <x14:cfRule type="expression" priority="354" id="{8F6A3913-A56E-4FF4-BD90-8FC09A800FEF}">
            <xm:f>I95='[IV2_Seq9 - Notes ver4.8 - Rev0.xlsm]Categories'!#REF!</xm:f>
            <x14:dxf>
              <font>
                <b/>
                <i val="0"/>
              </font>
            </x14:dxf>
          </x14:cfRule>
          <x14:cfRule type="expression" priority="355" id="{A066D154-18CA-432A-BC14-7FCE9183FFE5}">
            <xm:f>I95='[IV2_Seq9 - Notes ver4.6 - Rev0.xlsm]Categories'!#REF!</xm:f>
            <x14:dxf>
              <font>
                <b/>
                <i val="0"/>
              </font>
            </x14:dxf>
          </x14:cfRule>
          <xm:sqref>O95</xm:sqref>
        </x14:conditionalFormatting>
        <x14:conditionalFormatting xmlns:xm="http://schemas.microsoft.com/office/excel/2006/main">
          <x14:cfRule type="containsText" priority="352" operator="containsText" id="{7743A2D7-CC02-4C0D-BC18-511428604B66}">
            <xm:f>NOT(ISERROR(SEARCH("-",Q260)))</xm:f>
            <xm:f>"-"</xm:f>
            <x14:dxf>
              <fill>
                <patternFill>
                  <bgColor rgb="FFFFFFFF"/>
                </patternFill>
              </fill>
            </x14:dxf>
          </x14:cfRule>
          <x14:cfRule type="notContainsText" priority="353" operator="notContains" id="{F0ECE409-BD8D-4DA2-A844-43DB51EC3439}">
            <xm:f>ISERROR(SEARCH("-",Q260))</xm:f>
            <xm:f>"-"</xm:f>
            <x14:dxf>
              <fill>
                <patternFill>
                  <bgColor rgb="FFF2F2F2"/>
                </patternFill>
              </fill>
            </x14:dxf>
          </x14:cfRule>
          <xm:sqref>Q260:Q281</xm:sqref>
        </x14:conditionalFormatting>
        <x14:conditionalFormatting xmlns:xm="http://schemas.microsoft.com/office/excel/2006/main">
          <x14:cfRule type="containsText" priority="349" operator="containsText" id="{D78B1B55-5211-451F-9D6D-814C1B6135A6}">
            <xm:f>NOT(ISERROR(SEARCH("-",G14)))</xm:f>
            <xm:f>"-"</xm:f>
            <x14:dxf>
              <fill>
                <patternFill>
                  <bgColor rgb="FFF2F2F2"/>
                </patternFill>
              </fill>
            </x14:dxf>
          </x14:cfRule>
          <xm:sqref>G14:G19</xm:sqref>
        </x14:conditionalFormatting>
        <x14:conditionalFormatting xmlns:xm="http://schemas.microsoft.com/office/excel/2006/main">
          <x14:cfRule type="containsText" priority="345" operator="containsText" id="{2434FE95-2F73-492D-B9F0-86962C7BACAD}">
            <xm:f>NOT(ISERROR(SEARCH("-",G191)))</xm:f>
            <xm:f>"-"</xm:f>
            <x14:dxf>
              <fill>
                <patternFill>
                  <bgColor rgb="FFF2F2F2"/>
                </patternFill>
              </fill>
            </x14:dxf>
          </x14:cfRule>
          <xm:sqref>G191</xm:sqref>
        </x14:conditionalFormatting>
        <x14:conditionalFormatting xmlns:xm="http://schemas.microsoft.com/office/excel/2006/main">
          <x14:cfRule type="expression" priority="754" id="{42C52923-0E1A-41E3-9DBA-5C996081966F}">
            <xm:f>I192='[IV2_Seq9 - Notes ver4.6 - Rev0.xlsm]Categories'!#REF!</xm:f>
            <x14:dxf>
              <font>
                <b/>
                <i val="0"/>
              </font>
            </x14:dxf>
          </x14:cfRule>
          <xm:sqref>L192</xm:sqref>
        </x14:conditionalFormatting>
        <x14:conditionalFormatting xmlns:xm="http://schemas.microsoft.com/office/excel/2006/main">
          <x14:cfRule type="containsText" priority="339" operator="containsText" id="{7F689383-C103-4109-BE65-9255DCF25091}">
            <xm:f>NOT(ISERROR(SEARCH("-",G192)))</xm:f>
            <xm:f>"-"</xm:f>
            <x14:dxf>
              <fill>
                <patternFill>
                  <bgColor rgb="FFF2F2F2"/>
                </patternFill>
              </fill>
            </x14:dxf>
          </x14:cfRule>
          <xm:sqref>G192</xm:sqref>
        </x14:conditionalFormatting>
        <x14:conditionalFormatting xmlns:xm="http://schemas.microsoft.com/office/excel/2006/main">
          <x14:cfRule type="containsText" priority="338" operator="containsText" id="{54C51715-C515-4189-AA33-96C3EA710083}">
            <xm:f>NOT(ISERROR(SEARCH("-",G193)))</xm:f>
            <xm:f>"-"</xm:f>
            <x14:dxf>
              <fill>
                <patternFill>
                  <bgColor rgb="FFF2F2F2"/>
                </patternFill>
              </fill>
            </x14:dxf>
          </x14:cfRule>
          <xm:sqref>G193</xm:sqref>
        </x14:conditionalFormatting>
        <x14:conditionalFormatting xmlns:xm="http://schemas.microsoft.com/office/excel/2006/main">
          <x14:cfRule type="expression" priority="755" id="{67A34DA5-8896-4D76-8740-FCCA02AD8652}">
            <xm:f>I194='[IV2_Seq9 - Notes ver4.6 - Rev0.xlsm]Categories'!#REF!</xm:f>
            <x14:dxf>
              <font>
                <b/>
                <i val="0"/>
              </font>
            </x14:dxf>
          </x14:cfRule>
          <xm:sqref>L194</xm:sqref>
        </x14:conditionalFormatting>
        <x14:conditionalFormatting xmlns:xm="http://schemas.microsoft.com/office/excel/2006/main">
          <x14:cfRule type="expression" priority="336" id="{ED7DF0A6-47C8-42B7-9B89-8ECB76CC34FB}">
            <xm:f>I193='[IV2_Seq9 - Notes ver4.6 - Rev0.xlsm]Categories'!#REF!</xm:f>
            <x14:dxf>
              <font>
                <b/>
                <i val="0"/>
              </font>
            </x14:dxf>
          </x14:cfRule>
          <xm:sqref>L193</xm:sqref>
        </x14:conditionalFormatting>
        <x14:conditionalFormatting xmlns:xm="http://schemas.microsoft.com/office/excel/2006/main">
          <x14:cfRule type="expression" priority="335" id="{FCA4D60E-7D32-4F05-869F-64C50FFEFE02}">
            <xm:f>I195='[IV2_Seq9 - Notes ver4.6 - Rev0.xlsm]Categories'!#REF!</xm:f>
            <x14:dxf>
              <font>
                <b/>
                <i val="0"/>
              </font>
            </x14:dxf>
          </x14:cfRule>
          <xm:sqref>L195:L199</xm:sqref>
        </x14:conditionalFormatting>
        <x14:conditionalFormatting xmlns:xm="http://schemas.microsoft.com/office/excel/2006/main">
          <x14:cfRule type="expression" priority="756" id="{9B20AC37-5BF2-4BDB-9741-D048CFB7E0E6}">
            <xm:f>I200='[IV2_Seq9 - Notes ver4.6 - Rev0.xlsm]Categories'!#REF!</xm:f>
            <x14:dxf>
              <font>
                <b/>
                <i val="0"/>
              </font>
            </x14:dxf>
          </x14:cfRule>
          <xm:sqref>L200</xm:sqref>
        </x14:conditionalFormatting>
        <x14:conditionalFormatting xmlns:xm="http://schemas.microsoft.com/office/excel/2006/main">
          <x14:cfRule type="containsText" priority="333" operator="containsText" id="{4410465D-8497-4595-9956-5F9A1DA45F1F}">
            <xm:f>NOT(ISERROR(SEARCH("-",G200)))</xm:f>
            <xm:f>"-"</xm:f>
            <x14:dxf>
              <fill>
                <patternFill>
                  <bgColor rgb="FFF2F2F2"/>
                </patternFill>
              </fill>
            </x14:dxf>
          </x14:cfRule>
          <xm:sqref>G200</xm:sqref>
        </x14:conditionalFormatting>
        <x14:conditionalFormatting xmlns:xm="http://schemas.microsoft.com/office/excel/2006/main">
          <x14:cfRule type="containsText" priority="331" operator="containsText" id="{E566BCB7-D9A4-48F9-B9F4-C384EFE97B5B}">
            <xm:f>NOT(ISERROR(SEARCH("-",G201)))</xm:f>
            <xm:f>"-"</xm:f>
            <x14:dxf>
              <fill>
                <patternFill>
                  <bgColor rgb="FFF2F2F2"/>
                </patternFill>
              </fill>
            </x14:dxf>
          </x14:cfRule>
          <xm:sqref>G201</xm:sqref>
        </x14:conditionalFormatting>
        <x14:conditionalFormatting xmlns:xm="http://schemas.microsoft.com/office/excel/2006/main">
          <x14:cfRule type="expression" priority="757" id="{9D795241-A675-4AE9-967D-7A83C49CAE3E}">
            <xm:f>I202='[IV2_Seq9 - Notes ver4.6 - Rev0.xlsm]Categories'!#REF!</xm:f>
            <x14:dxf>
              <font>
                <b/>
                <i val="0"/>
              </font>
            </x14:dxf>
          </x14:cfRule>
          <xm:sqref>L202</xm:sqref>
        </x14:conditionalFormatting>
        <x14:conditionalFormatting xmlns:xm="http://schemas.microsoft.com/office/excel/2006/main">
          <x14:cfRule type="expression" priority="329" id="{3FD43CA8-A97F-433C-861B-53A9175E0CAD}">
            <xm:f>I201='[IV2_Seq9 - Notes ver4.6 - Rev0.xlsm]Categories'!#REF!</xm:f>
            <x14:dxf>
              <font>
                <b/>
                <i val="0"/>
              </font>
            </x14:dxf>
          </x14:cfRule>
          <xm:sqref>L201</xm:sqref>
        </x14:conditionalFormatting>
        <x14:conditionalFormatting xmlns:xm="http://schemas.microsoft.com/office/excel/2006/main">
          <x14:cfRule type="expression" priority="328" id="{AF471FDC-4349-46AB-9823-04D103DC8C76}">
            <xm:f>I203='[IV2_Seq9 - Notes ver4.6 - Rev0.xlsm]Categories'!#REF!</xm:f>
            <x14:dxf>
              <font>
                <b/>
                <i val="0"/>
              </font>
            </x14:dxf>
          </x14:cfRule>
          <xm:sqref>L203:L207</xm:sqref>
        </x14:conditionalFormatting>
        <x14:conditionalFormatting xmlns:xm="http://schemas.microsoft.com/office/excel/2006/main">
          <x14:cfRule type="expression" priority="327" id="{76F112C3-FA7E-4F67-8C91-FF895BAFB38F}">
            <xm:f>I191='[IV2_Seq9 - Notes ver4.6 - Rev0.xlsm]Categories'!#REF!</xm:f>
            <x14:dxf>
              <font>
                <b/>
                <i val="0"/>
              </font>
            </x14:dxf>
          </x14:cfRule>
          <xm:sqref>O209 O191</xm:sqref>
        </x14:conditionalFormatting>
        <x14:conditionalFormatting xmlns:xm="http://schemas.microsoft.com/office/excel/2006/main">
          <x14:cfRule type="containsText" priority="326" operator="containsText" id="{21EA83EC-1CCE-4FC1-BCFB-F20066D070A7}">
            <xm:f>NOT(ISERROR(SEARCH("-",G194)))</xm:f>
            <xm:f>"-"</xm:f>
            <x14:dxf>
              <fill>
                <patternFill>
                  <bgColor rgb="FFF2F2F2"/>
                </patternFill>
              </fill>
            </x14:dxf>
          </x14:cfRule>
          <xm:sqref>G194:G199</xm:sqref>
        </x14:conditionalFormatting>
        <x14:conditionalFormatting xmlns:xm="http://schemas.microsoft.com/office/excel/2006/main">
          <x14:cfRule type="containsText" priority="325" operator="containsText" id="{C9EB8337-90C4-49D9-9306-57959F374B4E}">
            <xm:f>NOT(ISERROR(SEARCH("-",G202)))</xm:f>
            <xm:f>"-"</xm:f>
            <x14:dxf>
              <fill>
                <patternFill>
                  <bgColor rgb="FFF2F2F2"/>
                </patternFill>
              </fill>
            </x14:dxf>
          </x14:cfRule>
          <xm:sqref>G202:G207</xm:sqref>
        </x14:conditionalFormatting>
        <x14:conditionalFormatting xmlns:xm="http://schemas.microsoft.com/office/excel/2006/main">
          <x14:cfRule type="expression" priority="324" id="{A716E4EF-5EA9-4C95-BC2A-6020DD9A33DA}">
            <xm:f>I208='[IV2_Seq9 - Notes ver4.6 - Rev0.xlsm]Categories'!#REF!</xm:f>
            <x14:dxf>
              <font>
                <b/>
                <i val="0"/>
              </font>
            </x14:dxf>
          </x14:cfRule>
          <xm:sqref>L208</xm:sqref>
        </x14:conditionalFormatting>
        <x14:conditionalFormatting xmlns:xm="http://schemas.microsoft.com/office/excel/2006/main">
          <x14:cfRule type="expression" priority="319" id="{37028E50-115F-4203-910C-0EB0615D6D16}">
            <xm:f>I208='[IV2_Seq9 - Notes ver4.6 - Rev0.xlsm]Categories'!#REF!</xm:f>
            <x14:dxf>
              <font>
                <b/>
                <i val="0"/>
              </font>
            </x14:dxf>
          </x14:cfRule>
          <xm:sqref>O208</xm:sqref>
        </x14:conditionalFormatting>
        <x14:conditionalFormatting xmlns:xm="http://schemas.microsoft.com/office/excel/2006/main">
          <x14:cfRule type="expression" priority="323" id="{2389F8CA-ADF1-4C4D-B777-24377688C210}">
            <xm:f>I192='[IV2_Seq9 - Notes ver4.6 - Rev0.xlsm]Categories'!#REF!</xm:f>
            <x14:dxf>
              <font>
                <b/>
                <i val="0"/>
              </font>
            </x14:dxf>
          </x14:cfRule>
          <xm:sqref>O192</xm:sqref>
        </x14:conditionalFormatting>
        <x14:conditionalFormatting xmlns:xm="http://schemas.microsoft.com/office/excel/2006/main">
          <x14:cfRule type="expression" priority="322" id="{0B9F041E-20F8-48EC-A79E-285B10498635}">
            <xm:f>I193='[IV2_Seq9 - Notes ver4.6 - Rev0.xlsm]Categories'!#REF!</xm:f>
            <x14:dxf>
              <font>
                <b/>
                <i val="0"/>
              </font>
            </x14:dxf>
          </x14:cfRule>
          <xm:sqref>O193:O199</xm:sqref>
        </x14:conditionalFormatting>
        <x14:conditionalFormatting xmlns:xm="http://schemas.microsoft.com/office/excel/2006/main">
          <x14:cfRule type="expression" priority="321" id="{C416A2C5-17C4-45EC-9309-4FB75FB5A3AB}">
            <xm:f>I200='[IV2_Seq9 - Notes ver4.6 - Rev0.xlsm]Categories'!#REF!</xm:f>
            <x14:dxf>
              <font>
                <b/>
                <i val="0"/>
              </font>
            </x14:dxf>
          </x14:cfRule>
          <xm:sqref>O200</xm:sqref>
        </x14:conditionalFormatting>
        <x14:conditionalFormatting xmlns:xm="http://schemas.microsoft.com/office/excel/2006/main">
          <x14:cfRule type="expression" priority="320" id="{AAD808E7-4AF1-4886-99A3-86C1A333B10D}">
            <xm:f>I201='[IV2_Seq9 - Notes ver4.6 - Rev0.xlsm]Categories'!#REF!</xm:f>
            <x14:dxf>
              <font>
                <b/>
                <i val="0"/>
              </font>
            </x14:dxf>
          </x14:cfRule>
          <xm:sqref>O201:O207</xm:sqref>
        </x14:conditionalFormatting>
        <x14:conditionalFormatting xmlns:xm="http://schemas.microsoft.com/office/excel/2006/main">
          <x14:cfRule type="containsText" priority="318" operator="containsText" id="{FD936D00-6D43-4EEA-A845-C3B1024BCFAF}">
            <xm:f>NOT(ISERROR(SEARCH("-",G194)))</xm:f>
            <xm:f>"-"</xm:f>
            <x14:dxf>
              <fill>
                <patternFill>
                  <bgColor rgb="FFF2F2F2"/>
                </patternFill>
              </fill>
            </x14:dxf>
          </x14:cfRule>
          <xm:sqref>G194:G199</xm:sqref>
        </x14:conditionalFormatting>
        <x14:conditionalFormatting xmlns:xm="http://schemas.microsoft.com/office/excel/2006/main">
          <x14:cfRule type="containsText" priority="317" operator="containsText" id="{870E3698-7CD1-41AF-8866-9DADFDBB9703}">
            <xm:f>NOT(ISERROR(SEARCH("-",G202)))</xm:f>
            <xm:f>"-"</xm:f>
            <x14:dxf>
              <fill>
                <patternFill>
                  <bgColor rgb="FFF2F2F2"/>
                </patternFill>
              </fill>
            </x14:dxf>
          </x14:cfRule>
          <xm:sqref>G202:G207</xm:sqref>
        </x14:conditionalFormatting>
        <x14:conditionalFormatting xmlns:xm="http://schemas.microsoft.com/office/excel/2006/main">
          <x14:cfRule type="containsText" priority="314" operator="containsText" id="{712BC9BC-4E03-417C-BE2E-9B5BEFFBF8DE}">
            <xm:f>NOT(ISERROR(SEARCH("-",G38)))</xm:f>
            <xm:f>"-"</xm:f>
            <x14:dxf>
              <fill>
                <patternFill>
                  <bgColor rgb="FFF2F2F2"/>
                </patternFill>
              </fill>
            </x14:dxf>
          </x14:cfRule>
          <xm:sqref>G38:G43</xm:sqref>
        </x14:conditionalFormatting>
        <x14:conditionalFormatting xmlns:xm="http://schemas.microsoft.com/office/excel/2006/main">
          <x14:cfRule type="containsText" priority="310" operator="containsText" id="{9B8C3E1F-8108-49E3-9B71-26FCF7A2F89A}">
            <xm:f>NOT(ISERROR(SEARCH("-",G48)))</xm:f>
            <xm:f>"-"</xm:f>
            <x14:dxf>
              <fill>
                <patternFill>
                  <bgColor rgb="FFF2F2F2"/>
                </patternFill>
              </fill>
            </x14:dxf>
          </x14:cfRule>
          <xm:sqref>G48:G53</xm:sqref>
        </x14:conditionalFormatting>
        <x14:conditionalFormatting xmlns:xm="http://schemas.microsoft.com/office/excel/2006/main">
          <x14:cfRule type="expression" priority="308" id="{2FB9FAEA-F6C7-4559-B2F6-E1F32639D1D6}">
            <xm:f>I109='[IV2_Seq9 - Notes ver4.6 - Rev0.xlsm]Categories'!#REF!</xm:f>
            <x14:dxf>
              <font>
                <b/>
                <i val="0"/>
              </font>
            </x14:dxf>
          </x14:cfRule>
          <xm:sqref>L109</xm:sqref>
        </x14:conditionalFormatting>
        <x14:conditionalFormatting xmlns:xm="http://schemas.microsoft.com/office/excel/2006/main">
          <x14:cfRule type="notContainsText" priority="307" operator="notContains" id="{042219B7-55CD-471B-ADA1-917A57994713}">
            <xm:f>ISERROR(SEARCH("-",M109))</xm:f>
            <xm:f>"-"</xm:f>
            <x14:dxf>
              <fill>
                <patternFill>
                  <bgColor rgb="FFF2F2F2"/>
                </patternFill>
              </fill>
            </x14:dxf>
          </x14:cfRule>
          <xm:sqref>M109:N109</xm:sqref>
        </x14:conditionalFormatting>
        <x14:conditionalFormatting xmlns:xm="http://schemas.microsoft.com/office/excel/2006/main">
          <x14:cfRule type="expression" priority="306" id="{879FE367-9C54-476B-8D67-02FCF3089F94}">
            <xm:f>I109='[IV2_Seq9 - Notes ver4.6 - Rev0.xlsm]Categories'!#REF!</xm:f>
            <x14:dxf>
              <font>
                <b/>
                <i val="0"/>
              </font>
            </x14:dxf>
          </x14:cfRule>
          <xm:sqref>L109</xm:sqref>
        </x14:conditionalFormatting>
        <x14:conditionalFormatting xmlns:xm="http://schemas.microsoft.com/office/excel/2006/main">
          <x14:cfRule type="containsText" priority="303" operator="containsText" id="{989AB88E-ED07-4089-B7CC-6C4403795B4E}">
            <xm:f>NOT(ISERROR(SEARCH("-",G109)))</xm:f>
            <xm:f>"-"</xm:f>
            <x14:dxf>
              <fill>
                <patternFill>
                  <bgColor rgb="FFF2F2F2"/>
                </patternFill>
              </fill>
            </x14:dxf>
          </x14:cfRule>
          <xm:sqref>G109</xm:sqref>
        </x14:conditionalFormatting>
        <x14:conditionalFormatting xmlns:xm="http://schemas.microsoft.com/office/excel/2006/main">
          <x14:cfRule type="expression" priority="301" id="{F85BD078-D827-4634-B7CD-5FCF82F229F4}">
            <xm:f>I109='[IV2_Seq9 - Notes ver4.6 - Rev0.xlsm]Categories'!#REF!</xm:f>
            <x14:dxf>
              <font>
                <b/>
                <i val="0"/>
              </font>
            </x14:dxf>
          </x14:cfRule>
          <xm:sqref>O109</xm:sqref>
        </x14:conditionalFormatting>
        <x14:conditionalFormatting xmlns:xm="http://schemas.microsoft.com/office/excel/2006/main">
          <x14:cfRule type="containsText" priority="299" operator="containsText" id="{421E2949-8962-403C-A722-5D03F2D6E2A7}">
            <xm:f>NOT(ISERROR(SEARCH("-",Q109)))</xm:f>
            <xm:f>"-"</xm:f>
            <x14:dxf>
              <fill>
                <patternFill>
                  <bgColor rgb="FFFFFFFF"/>
                </patternFill>
              </fill>
            </x14:dxf>
          </x14:cfRule>
          <x14:cfRule type="notContainsText" priority="300" operator="notContains" id="{92C0B30B-6D12-4DF6-B924-B2E1BD308B11}">
            <xm:f>ISERROR(SEARCH("-",Q109))</xm:f>
            <xm:f>"-"</xm:f>
            <x14:dxf>
              <fill>
                <patternFill>
                  <bgColor rgb="FFF2F2F2"/>
                </patternFill>
              </fill>
            </x14:dxf>
          </x14:cfRule>
          <xm:sqref>Q109</xm:sqref>
        </x14:conditionalFormatting>
        <x14:conditionalFormatting xmlns:xm="http://schemas.microsoft.com/office/excel/2006/main">
          <x14:cfRule type="expression" priority="295" id="{9481767E-A9B3-42EA-A180-E6CCF9979A19}">
            <xm:f>I109='[IV2_Seq9 - Notes ver4.8 - Rev0.xlsm]Categories'!#REF!</xm:f>
            <x14:dxf>
              <font>
                <b/>
                <i val="0"/>
              </font>
            </x14:dxf>
          </x14:cfRule>
          <x14:cfRule type="expression" priority="298" id="{5B1FDD4F-B88F-4462-888F-613E8402C443}">
            <xm:f>I109='[IV2_Seq9 - Notes ver4.6 - Rev0.xlsm]Categories'!#REF!</xm:f>
            <x14:dxf>
              <font>
                <b/>
                <i val="0"/>
              </font>
            </x14:dxf>
          </x14:cfRule>
          <xm:sqref>O109</xm:sqref>
        </x14:conditionalFormatting>
        <x14:conditionalFormatting xmlns:xm="http://schemas.microsoft.com/office/excel/2006/main">
          <x14:cfRule type="expression" priority="297" id="{F9F120A8-3CDF-43C4-873D-AF187FC8D33D}">
            <xm:f>I109='[IV2_Seq9 - Notes ver4.8 - Rev0.xlsm]Categories'!#REF!</xm:f>
            <x14:dxf>
              <font>
                <b/>
                <i val="0"/>
              </font>
            </x14:dxf>
          </x14:cfRule>
          <xm:sqref>K109</xm:sqref>
        </x14:conditionalFormatting>
        <x14:conditionalFormatting xmlns:xm="http://schemas.microsoft.com/office/excel/2006/main">
          <x14:cfRule type="expression" priority="296" id="{0B3F58AB-8E5C-47E8-9B39-BC134E284ABC}">
            <xm:f>I109='[IV2_Seq9 - Notes ver4.8 - Rev0.xlsm]Categories'!#REF!</xm:f>
            <x14:dxf>
              <font>
                <b/>
                <i val="0"/>
              </font>
            </x14:dxf>
          </x14:cfRule>
          <xm:sqref>L109</xm:sqref>
        </x14:conditionalFormatting>
        <x14:conditionalFormatting xmlns:xm="http://schemas.microsoft.com/office/excel/2006/main">
          <x14:cfRule type="containsText" priority="292" operator="containsText" id="{BE57D230-3424-4DE9-9907-D4B1F7889395}">
            <xm:f>NOT(ISERROR(SEARCH("-",G81)))</xm:f>
            <xm:f>"-"</xm:f>
            <x14:dxf>
              <fill>
                <patternFill>
                  <bgColor rgb="FFF2F2F2"/>
                </patternFill>
              </fill>
            </x14:dxf>
          </x14:cfRule>
          <xm:sqref>G81:G86</xm:sqref>
        </x14:conditionalFormatting>
        <x14:conditionalFormatting xmlns:xm="http://schemas.microsoft.com/office/excel/2006/main">
          <x14:cfRule type="containsText" priority="288" operator="containsText" id="{794A464F-CA85-4C70-BFDF-E9966EEE1226}">
            <xm:f>NOT(ISERROR(SEARCH("-",G99)))</xm:f>
            <xm:f>"-"</xm:f>
            <x14:dxf>
              <fill>
                <patternFill>
                  <bgColor rgb="FFF2F2F2"/>
                </patternFill>
              </fill>
            </x14:dxf>
          </x14:cfRule>
          <xm:sqref>G99:G108</xm:sqref>
        </x14:conditionalFormatting>
        <x14:conditionalFormatting xmlns:xm="http://schemas.microsoft.com/office/excel/2006/main">
          <x14:cfRule type="containsText" priority="284" operator="containsText" id="{34005D31-03FE-4EEE-AB09-75DAC80F0150}">
            <xm:f>NOT(ISERROR(SEARCH("-",G112)))</xm:f>
            <xm:f>"-"</xm:f>
            <x14:dxf>
              <fill>
                <patternFill>
                  <bgColor rgb="FFF2F2F2"/>
                </patternFill>
              </fill>
            </x14:dxf>
          </x14:cfRule>
          <xm:sqref>G112:G122</xm:sqref>
        </x14:conditionalFormatting>
        <x14:conditionalFormatting xmlns:xm="http://schemas.microsoft.com/office/excel/2006/main">
          <x14:cfRule type="containsText" priority="281" operator="containsText" id="{DE3D8482-697C-49F4-B711-9739BED03DC0}">
            <xm:f>NOT(ISERROR(SEARCH("-",G194)))</xm:f>
            <xm:f>"-"</xm:f>
            <x14:dxf>
              <fill>
                <patternFill>
                  <bgColor rgb="FFF2F2F2"/>
                </patternFill>
              </fill>
            </x14:dxf>
          </x14:cfRule>
          <xm:sqref>G194:G199</xm:sqref>
        </x14:conditionalFormatting>
        <x14:conditionalFormatting xmlns:xm="http://schemas.microsoft.com/office/excel/2006/main">
          <x14:cfRule type="containsText" priority="279" operator="containsText" id="{9109D8A8-52CF-4B51-8315-B7A54D487529}">
            <xm:f>NOT(ISERROR(SEARCH("-",G202)))</xm:f>
            <xm:f>"-"</xm:f>
            <x14:dxf>
              <fill>
                <patternFill>
                  <bgColor rgb="FFF2F2F2"/>
                </patternFill>
              </fill>
            </x14:dxf>
          </x14:cfRule>
          <xm:sqref>G202:G207</xm:sqref>
        </x14:conditionalFormatting>
        <x14:conditionalFormatting xmlns:xm="http://schemas.microsoft.com/office/excel/2006/main">
          <x14:cfRule type="expression" priority="278" id="{585E2C67-99C7-4A35-8245-A9AD2319A19F}">
            <xm:f>I123='[IV2_Seq9 - Notes ver4.6 - Rev0.xlsm]Categories'!#REF!</xm:f>
            <x14:dxf>
              <font>
                <b/>
                <i val="0"/>
              </font>
            </x14:dxf>
          </x14:cfRule>
          <xm:sqref>L123</xm:sqref>
        </x14:conditionalFormatting>
        <x14:conditionalFormatting xmlns:xm="http://schemas.microsoft.com/office/excel/2006/main">
          <x14:cfRule type="notContainsText" priority="277" operator="notContains" id="{3F1DFF65-87BD-409F-8FB6-D9E67295D3FB}">
            <xm:f>ISERROR(SEARCH("-",M123))</xm:f>
            <xm:f>"-"</xm:f>
            <x14:dxf>
              <fill>
                <patternFill>
                  <bgColor rgb="FFF2F2F2"/>
                </patternFill>
              </fill>
            </x14:dxf>
          </x14:cfRule>
          <xm:sqref>M123:N123</xm:sqref>
        </x14:conditionalFormatting>
        <x14:conditionalFormatting xmlns:xm="http://schemas.microsoft.com/office/excel/2006/main">
          <x14:cfRule type="expression" priority="276" id="{7BF564B2-C453-47DC-8990-CA65DC5D4101}">
            <xm:f>I123='[IV2_Seq9 - Notes ver4.6 - Rev0.xlsm]Categories'!#REF!</xm:f>
            <x14:dxf>
              <font>
                <b/>
                <i val="0"/>
              </font>
            </x14:dxf>
          </x14:cfRule>
          <xm:sqref>L123</xm:sqref>
        </x14:conditionalFormatting>
        <x14:conditionalFormatting xmlns:xm="http://schemas.microsoft.com/office/excel/2006/main">
          <x14:cfRule type="containsText" priority="273" operator="containsText" id="{2BA13253-AC27-483A-B866-04FB8B134B32}">
            <xm:f>NOT(ISERROR(SEARCH("-",G123)))</xm:f>
            <xm:f>"-"</xm:f>
            <x14:dxf>
              <fill>
                <patternFill>
                  <bgColor rgb="FFF2F2F2"/>
                </patternFill>
              </fill>
            </x14:dxf>
          </x14:cfRule>
          <xm:sqref>G123</xm:sqref>
        </x14:conditionalFormatting>
        <x14:conditionalFormatting xmlns:xm="http://schemas.microsoft.com/office/excel/2006/main">
          <x14:cfRule type="expression" priority="271" id="{0B7EF314-9ED4-453A-8664-8100B3687FB8}">
            <xm:f>I123='[IV2_Seq9 - Notes ver4.6 - Rev0.xlsm]Categories'!#REF!</xm:f>
            <x14:dxf>
              <font>
                <b/>
                <i val="0"/>
              </font>
            </x14:dxf>
          </x14:cfRule>
          <xm:sqref>O123</xm:sqref>
        </x14:conditionalFormatting>
        <x14:conditionalFormatting xmlns:xm="http://schemas.microsoft.com/office/excel/2006/main">
          <x14:cfRule type="containsText" priority="269" operator="containsText" id="{7C3BD816-48D4-4F52-8E1B-7A574B93C7CD}">
            <xm:f>NOT(ISERROR(SEARCH("-",Q123)))</xm:f>
            <xm:f>"-"</xm:f>
            <x14:dxf>
              <fill>
                <patternFill>
                  <bgColor rgb="FFFFFFFF"/>
                </patternFill>
              </fill>
            </x14:dxf>
          </x14:cfRule>
          <x14:cfRule type="notContainsText" priority="270" operator="notContains" id="{453ACC08-DEF4-4E4D-8A24-06827E63E84A}">
            <xm:f>ISERROR(SEARCH("-",Q123))</xm:f>
            <xm:f>"-"</xm:f>
            <x14:dxf>
              <fill>
                <patternFill>
                  <bgColor rgb="FFF2F2F2"/>
                </patternFill>
              </fill>
            </x14:dxf>
          </x14:cfRule>
          <xm:sqref>Q123</xm:sqref>
        </x14:conditionalFormatting>
        <x14:conditionalFormatting xmlns:xm="http://schemas.microsoft.com/office/excel/2006/main">
          <x14:cfRule type="expression" priority="265" id="{383D418B-A1B9-4A84-8FDA-F6917D3C96B9}">
            <xm:f>I123='[IV2_Seq9 - Notes ver4.8 - Rev0.xlsm]Categories'!#REF!</xm:f>
            <x14:dxf>
              <font>
                <b/>
                <i val="0"/>
              </font>
            </x14:dxf>
          </x14:cfRule>
          <x14:cfRule type="expression" priority="268" id="{1123E255-0F0B-4C33-AE21-EFD92EAD5F5A}">
            <xm:f>I123='[IV2_Seq9 - Notes ver4.6 - Rev0.xlsm]Categories'!#REF!</xm:f>
            <x14:dxf>
              <font>
                <b/>
                <i val="0"/>
              </font>
            </x14:dxf>
          </x14:cfRule>
          <xm:sqref>O123</xm:sqref>
        </x14:conditionalFormatting>
        <x14:conditionalFormatting xmlns:xm="http://schemas.microsoft.com/office/excel/2006/main">
          <x14:cfRule type="expression" priority="267" id="{B54098D1-9B19-492F-A9ED-F396402D6514}">
            <xm:f>I123='[IV2_Seq9 - Notes ver4.8 - Rev0.xlsm]Categories'!#REF!</xm:f>
            <x14:dxf>
              <font>
                <b/>
                <i val="0"/>
              </font>
            </x14:dxf>
          </x14:cfRule>
          <xm:sqref>K123</xm:sqref>
        </x14:conditionalFormatting>
        <x14:conditionalFormatting xmlns:xm="http://schemas.microsoft.com/office/excel/2006/main">
          <x14:cfRule type="expression" priority="266" id="{5E165F44-107B-475E-A89F-985866C78F40}">
            <xm:f>I123='[IV2_Seq9 - Notes ver4.8 - Rev0.xlsm]Categories'!#REF!</xm:f>
            <x14:dxf>
              <font>
                <b/>
                <i val="0"/>
              </font>
            </x14:dxf>
          </x14:cfRule>
          <xm:sqref>L123</xm:sqref>
        </x14:conditionalFormatting>
        <x14:conditionalFormatting xmlns:xm="http://schemas.microsoft.com/office/excel/2006/main">
          <x14:cfRule type="expression" priority="264" id="{43DE55E1-8183-4856-B6BD-E54CEFEF9182}">
            <xm:f>I124='[IV2_Seq9 - Notes ver4.6 - Rev0.xlsm]Categories'!#REF!</xm:f>
            <x14:dxf>
              <font>
                <b/>
                <i val="0"/>
              </font>
            </x14:dxf>
          </x14:cfRule>
          <xm:sqref>L124:L130</xm:sqref>
        </x14:conditionalFormatting>
        <x14:conditionalFormatting xmlns:xm="http://schemas.microsoft.com/office/excel/2006/main">
          <x14:cfRule type="expression" priority="263" id="{07A7D31B-2092-47A7-B2A6-9BCD6B60E459}">
            <xm:f>I128='[IV2_Seq9 - Notes ver4.6 - Rev0.xlsm]Categories'!#REF!</xm:f>
            <x14:dxf>
              <font>
                <b/>
                <i val="0"/>
              </font>
            </x14:dxf>
          </x14:cfRule>
          <xm:sqref>L128</xm:sqref>
        </x14:conditionalFormatting>
        <x14:conditionalFormatting xmlns:xm="http://schemas.microsoft.com/office/excel/2006/main">
          <x14:cfRule type="expression" priority="262" id="{AF5AAB13-62ED-4D97-902F-678860A889F0}">
            <xm:f>I126='[IV2_Seq9 - Notes ver4.6 - Rev0.xlsm]Categories'!#REF!</xm:f>
            <x14:dxf>
              <font>
                <b/>
                <i val="0"/>
              </font>
            </x14:dxf>
          </x14:cfRule>
          <xm:sqref>L126</xm:sqref>
        </x14:conditionalFormatting>
        <x14:conditionalFormatting xmlns:xm="http://schemas.microsoft.com/office/excel/2006/main">
          <x14:cfRule type="containsText" priority="259" operator="containsText" id="{1E512E97-E5FC-4830-B841-1EB67A20A7D7}">
            <xm:f>NOT(ISERROR(SEARCH("-",G124)))</xm:f>
            <xm:f>"-"</xm:f>
            <x14:dxf>
              <fill>
                <patternFill>
                  <bgColor rgb="FFF2F2F2"/>
                </patternFill>
              </fill>
            </x14:dxf>
          </x14:cfRule>
          <xm:sqref>G124</xm:sqref>
        </x14:conditionalFormatting>
        <x14:conditionalFormatting xmlns:xm="http://schemas.microsoft.com/office/excel/2006/main">
          <x14:cfRule type="expression" priority="257" id="{A83558AB-D6E1-4BBF-AEDF-C20274971A15}">
            <xm:f>I124='[IV2_Seq9 - Notes ver4.6 - Rev0.xlsm]Categories'!#REF!</xm:f>
            <x14:dxf>
              <font>
                <b/>
                <i val="0"/>
              </font>
            </x14:dxf>
          </x14:cfRule>
          <xm:sqref>L124</xm:sqref>
        </x14:conditionalFormatting>
        <x14:conditionalFormatting xmlns:xm="http://schemas.microsoft.com/office/excel/2006/main">
          <x14:cfRule type="expression" priority="256" id="{4C280D94-A0C7-446C-B8BA-0A92AD8FDF4D}">
            <xm:f>I125='[IV2_Seq9 - Notes ver4.6 - Rev0.xlsm]Categories'!#REF!</xm:f>
            <x14:dxf>
              <font>
                <b/>
                <i val="0"/>
              </font>
            </x14:dxf>
          </x14:cfRule>
          <xm:sqref>L125</xm:sqref>
        </x14:conditionalFormatting>
        <x14:conditionalFormatting xmlns:xm="http://schemas.microsoft.com/office/excel/2006/main">
          <x14:cfRule type="expression" priority="255" id="{9698FC4B-263A-4B7E-9861-99A83454C628}">
            <xm:f>I127='[IV2_Seq9 - Notes ver4.6 - Rev0.xlsm]Categories'!#REF!</xm:f>
            <x14:dxf>
              <font>
                <b/>
                <i val="0"/>
              </font>
            </x14:dxf>
          </x14:cfRule>
          <xm:sqref>L127</xm:sqref>
        </x14:conditionalFormatting>
        <x14:conditionalFormatting xmlns:xm="http://schemas.microsoft.com/office/excel/2006/main">
          <x14:cfRule type="expression" priority="254" id="{E50B73C4-C9CE-42BA-9BEA-20B60D0DCE2C}">
            <xm:f>I129='[IV2_Seq9 - Notes ver4.6 - Rev0.xlsm]Categories'!#REF!</xm:f>
            <x14:dxf>
              <font>
                <b/>
                <i val="0"/>
              </font>
            </x14:dxf>
          </x14:cfRule>
          <xm:sqref>L129</xm:sqref>
        </x14:conditionalFormatting>
        <x14:conditionalFormatting xmlns:xm="http://schemas.microsoft.com/office/excel/2006/main">
          <x14:cfRule type="expression" priority="253" id="{8F303120-F33D-47C4-8618-24097B2AFC6D}">
            <xm:f>I124='[IV2_Seq9 - Notes ver4.6 - Rev0.xlsm]Categories'!#REF!</xm:f>
            <x14:dxf>
              <font>
                <b/>
                <i val="0"/>
              </font>
            </x14:dxf>
          </x14:cfRule>
          <xm:sqref>O124:O130</xm:sqref>
        </x14:conditionalFormatting>
        <x14:conditionalFormatting xmlns:xm="http://schemas.microsoft.com/office/excel/2006/main">
          <x14:cfRule type="notContainsText" priority="252" operator="notContains" id="{FEDB66EF-0691-4215-A2AD-0E286320E4FA}">
            <xm:f>ISERROR(SEARCH("-",M124))</xm:f>
            <xm:f>"-"</xm:f>
            <x14:dxf>
              <fill>
                <patternFill>
                  <bgColor rgb="FFF2F2F2"/>
                </patternFill>
              </fill>
            </x14:dxf>
          </x14:cfRule>
          <xm:sqref>M124:N130</xm:sqref>
        </x14:conditionalFormatting>
        <x14:conditionalFormatting xmlns:xm="http://schemas.microsoft.com/office/excel/2006/main">
          <x14:cfRule type="containsText" priority="250" operator="containsText" id="{61FA989C-38E0-41FA-8E09-7EBDCC522FBA}">
            <xm:f>NOT(ISERROR(SEARCH("-",Q124)))</xm:f>
            <xm:f>"-"</xm:f>
            <x14:dxf>
              <fill>
                <patternFill>
                  <bgColor rgb="FFFFFFFF"/>
                </patternFill>
              </fill>
            </x14:dxf>
          </x14:cfRule>
          <x14:cfRule type="notContainsText" priority="251" operator="notContains" id="{80B277DD-1058-4B1C-A8CB-60350D50E161}">
            <xm:f>ISERROR(SEARCH("-",Q124))</xm:f>
            <xm:f>"-"</xm:f>
            <x14:dxf>
              <fill>
                <patternFill>
                  <bgColor rgb="FFF2F2F2"/>
                </patternFill>
              </fill>
            </x14:dxf>
          </x14:cfRule>
          <xm:sqref>Q124:Q130</xm:sqref>
        </x14:conditionalFormatting>
        <x14:conditionalFormatting xmlns:xm="http://schemas.microsoft.com/office/excel/2006/main">
          <x14:cfRule type="containsText" priority="173" operator="containsText" id="{E61A86D2-6FC1-405B-963B-99583F38F595}">
            <xm:f>NOT(ISERROR(SEARCH("-",G166)))</xm:f>
            <xm:f>"-"</xm:f>
            <x14:dxf>
              <fill>
                <patternFill>
                  <bgColor rgb="FFF2F2F2"/>
                </patternFill>
              </fill>
            </x14:dxf>
          </x14:cfRule>
          <xm:sqref>G166</xm:sqref>
        </x14:conditionalFormatting>
        <x14:conditionalFormatting xmlns:xm="http://schemas.microsoft.com/office/excel/2006/main">
          <x14:cfRule type="expression" priority="246" id="{D98E4659-00C1-48A2-A7CE-B7D1C3D175F1}">
            <xm:f>I124='[IV2_Seq9 - Notes ver4.8 - Rev0.xlsm]Categories'!#REF!</xm:f>
            <x14:dxf>
              <font>
                <b/>
                <i val="0"/>
              </font>
            </x14:dxf>
          </x14:cfRule>
          <x14:cfRule type="expression" priority="249" id="{BB38AC02-5870-497D-93D1-658507F7524D}">
            <xm:f>I124='[IV2_Seq9 - Notes ver4.6 - Rev0.xlsm]Categories'!#REF!</xm:f>
            <x14:dxf>
              <font>
                <b/>
                <i val="0"/>
              </font>
            </x14:dxf>
          </x14:cfRule>
          <xm:sqref>O124:O130</xm:sqref>
        </x14:conditionalFormatting>
        <x14:conditionalFormatting xmlns:xm="http://schemas.microsoft.com/office/excel/2006/main">
          <x14:cfRule type="expression" priority="248" id="{1F122475-D605-4FA3-B3E1-46778FE7510E}">
            <xm:f>I124='[IV2_Seq9 - Notes ver4.8 - Rev0.xlsm]Categories'!#REF!</xm:f>
            <x14:dxf>
              <font>
                <b/>
                <i val="0"/>
              </font>
            </x14:dxf>
          </x14:cfRule>
          <xm:sqref>K124:K130</xm:sqref>
        </x14:conditionalFormatting>
        <x14:conditionalFormatting xmlns:xm="http://schemas.microsoft.com/office/excel/2006/main">
          <x14:cfRule type="expression" priority="247" id="{29C2EB65-0D6A-4D59-9125-CAAF6B8B8E3F}">
            <xm:f>I124='[IV2_Seq9 - Notes ver4.8 - Rev0.xlsm]Categories'!#REF!</xm:f>
            <x14:dxf>
              <font>
                <b/>
                <i val="0"/>
              </font>
            </x14:dxf>
          </x14:cfRule>
          <xm:sqref>L124:L130</xm:sqref>
        </x14:conditionalFormatting>
        <x14:conditionalFormatting xmlns:xm="http://schemas.microsoft.com/office/excel/2006/main">
          <x14:cfRule type="expression" priority="245" id="{FAFEB6C0-703A-45B1-AB96-03FB726E5A36}">
            <xm:f>I131='[IV2_Seq9 - Notes ver4.6 - Rev0.xlsm]Categories'!#REF!</xm:f>
            <x14:dxf>
              <font>
                <b/>
                <i val="0"/>
              </font>
            </x14:dxf>
          </x14:cfRule>
          <xm:sqref>L131</xm:sqref>
        </x14:conditionalFormatting>
        <x14:conditionalFormatting xmlns:xm="http://schemas.microsoft.com/office/excel/2006/main">
          <x14:cfRule type="notContainsText" priority="244" operator="notContains" id="{E83A42F4-C6E1-48A2-855B-716A34D2A1C0}">
            <xm:f>ISERROR(SEARCH("-",M131))</xm:f>
            <xm:f>"-"</xm:f>
            <x14:dxf>
              <fill>
                <patternFill>
                  <bgColor rgb="FFF2F2F2"/>
                </patternFill>
              </fill>
            </x14:dxf>
          </x14:cfRule>
          <xm:sqref>M131:N131</xm:sqref>
        </x14:conditionalFormatting>
        <x14:conditionalFormatting xmlns:xm="http://schemas.microsoft.com/office/excel/2006/main">
          <x14:cfRule type="expression" priority="243" id="{BECD00C8-0BF9-450C-8B02-48CED4AE1ACC}">
            <xm:f>I131='[IV2_Seq9 - Notes ver4.6 - Rev0.xlsm]Categories'!#REF!</xm:f>
            <x14:dxf>
              <font>
                <b/>
                <i val="0"/>
              </font>
            </x14:dxf>
          </x14:cfRule>
          <xm:sqref>L131</xm:sqref>
        </x14:conditionalFormatting>
        <x14:conditionalFormatting xmlns:xm="http://schemas.microsoft.com/office/excel/2006/main">
          <x14:cfRule type="containsText" priority="240" operator="containsText" id="{85DB8DB6-EC39-4A17-BD49-049900CE9D74}">
            <xm:f>NOT(ISERROR(SEARCH("-",G131)))</xm:f>
            <xm:f>"-"</xm:f>
            <x14:dxf>
              <fill>
                <patternFill>
                  <bgColor rgb="FFF2F2F2"/>
                </patternFill>
              </fill>
            </x14:dxf>
          </x14:cfRule>
          <xm:sqref>G131</xm:sqref>
        </x14:conditionalFormatting>
        <x14:conditionalFormatting xmlns:xm="http://schemas.microsoft.com/office/excel/2006/main">
          <x14:cfRule type="expression" priority="238" id="{631E0DBF-2C2C-475D-A928-7E97AF1FCB6D}">
            <xm:f>I131='[IV2_Seq9 - Notes ver4.6 - Rev0.xlsm]Categories'!#REF!</xm:f>
            <x14:dxf>
              <font>
                <b/>
                <i val="0"/>
              </font>
            </x14:dxf>
          </x14:cfRule>
          <xm:sqref>O131</xm:sqref>
        </x14:conditionalFormatting>
        <x14:conditionalFormatting xmlns:xm="http://schemas.microsoft.com/office/excel/2006/main">
          <x14:cfRule type="containsText" priority="236" operator="containsText" id="{8161B0B7-BC87-4CDA-80A8-C15B7B2339DC}">
            <xm:f>NOT(ISERROR(SEARCH("-",Q131)))</xm:f>
            <xm:f>"-"</xm:f>
            <x14:dxf>
              <fill>
                <patternFill>
                  <bgColor rgb="FFFFFFFF"/>
                </patternFill>
              </fill>
            </x14:dxf>
          </x14:cfRule>
          <x14:cfRule type="notContainsText" priority="237" operator="notContains" id="{453A36B8-DD6E-4787-ADDA-9796809C0280}">
            <xm:f>ISERROR(SEARCH("-",Q131))</xm:f>
            <xm:f>"-"</xm:f>
            <x14:dxf>
              <fill>
                <patternFill>
                  <bgColor rgb="FFF2F2F2"/>
                </patternFill>
              </fill>
            </x14:dxf>
          </x14:cfRule>
          <xm:sqref>Q131</xm:sqref>
        </x14:conditionalFormatting>
        <x14:conditionalFormatting xmlns:xm="http://schemas.microsoft.com/office/excel/2006/main">
          <x14:cfRule type="expression" priority="232" id="{6D3DF002-EA1F-4C02-BEA8-577F371F4067}">
            <xm:f>I131='[IV2_Seq9 - Notes ver4.8 - Rev0.xlsm]Categories'!#REF!</xm:f>
            <x14:dxf>
              <font>
                <b/>
                <i val="0"/>
              </font>
            </x14:dxf>
          </x14:cfRule>
          <x14:cfRule type="expression" priority="235" id="{92EDCC6D-2412-45C7-968A-A9E62AABCB79}">
            <xm:f>I131='[IV2_Seq9 - Notes ver4.6 - Rev0.xlsm]Categories'!#REF!</xm:f>
            <x14:dxf>
              <font>
                <b/>
                <i val="0"/>
              </font>
            </x14:dxf>
          </x14:cfRule>
          <xm:sqref>O131</xm:sqref>
        </x14:conditionalFormatting>
        <x14:conditionalFormatting xmlns:xm="http://schemas.microsoft.com/office/excel/2006/main">
          <x14:cfRule type="expression" priority="234" id="{4E1B24A7-456E-497F-8AAD-90630BAA8F48}">
            <xm:f>I131='[IV2_Seq9 - Notes ver4.8 - Rev0.xlsm]Categories'!#REF!</xm:f>
            <x14:dxf>
              <font>
                <b/>
                <i val="0"/>
              </font>
            </x14:dxf>
          </x14:cfRule>
          <xm:sqref>K131</xm:sqref>
        </x14:conditionalFormatting>
        <x14:conditionalFormatting xmlns:xm="http://schemas.microsoft.com/office/excel/2006/main">
          <x14:cfRule type="expression" priority="233" id="{848557A8-D7F4-4367-ACCF-3EB572A5EC34}">
            <xm:f>I131='[IV2_Seq9 - Notes ver4.8 - Rev0.xlsm]Categories'!#REF!</xm:f>
            <x14:dxf>
              <font>
                <b/>
                <i val="0"/>
              </font>
            </x14:dxf>
          </x14:cfRule>
          <xm:sqref>L131</xm:sqref>
        </x14:conditionalFormatting>
        <x14:conditionalFormatting xmlns:xm="http://schemas.microsoft.com/office/excel/2006/main">
          <x14:cfRule type="expression" priority="231" id="{175871AB-379F-4B4C-85E9-F090347E9A55}">
            <xm:f>I154='[IV2_Seq9 - Notes ver4.6 - Rev0.xlsm]Categories'!#REF!</xm:f>
            <x14:dxf>
              <font>
                <b/>
                <i val="0"/>
              </font>
            </x14:dxf>
          </x14:cfRule>
          <xm:sqref>L154:L165</xm:sqref>
        </x14:conditionalFormatting>
        <x14:conditionalFormatting xmlns:xm="http://schemas.microsoft.com/office/excel/2006/main">
          <x14:cfRule type="expression" priority="230" id="{90627497-37B5-4EA0-9905-6A26234B9500}">
            <xm:f>I162='[IV2_Seq9 - Notes ver4.6 - Rev0.xlsm]Categories'!#REF!</xm:f>
            <x14:dxf>
              <font>
                <b/>
                <i val="0"/>
              </font>
            </x14:dxf>
          </x14:cfRule>
          <xm:sqref>L162:L165</xm:sqref>
        </x14:conditionalFormatting>
        <x14:conditionalFormatting xmlns:xm="http://schemas.microsoft.com/office/excel/2006/main">
          <x14:cfRule type="notContainsText" priority="229" operator="notContains" id="{FF1E90A3-5D0C-40C0-8410-8A60884C8241}">
            <xm:f>ISERROR(SEARCH("-",M132))</xm:f>
            <xm:f>"-"</xm:f>
            <x14:dxf>
              <fill>
                <patternFill>
                  <bgColor rgb="FFF2F2F2"/>
                </patternFill>
              </fill>
            </x14:dxf>
          </x14:cfRule>
          <xm:sqref>M132:N140 M154:N165</xm:sqref>
        </x14:conditionalFormatting>
        <x14:conditionalFormatting xmlns:xm="http://schemas.microsoft.com/office/excel/2006/main">
          <x14:cfRule type="expression" priority="228" id="{D668E04C-6389-4423-BD44-ACC6DA37EF3E}">
            <xm:f>I154='[IV2_Seq9 - Notes ver4.6 - Rev0.xlsm]Categories'!#REF!</xm:f>
            <x14:dxf>
              <font>
                <b/>
                <i val="0"/>
              </font>
            </x14:dxf>
          </x14:cfRule>
          <xm:sqref>O154:O165</xm:sqref>
        </x14:conditionalFormatting>
        <x14:conditionalFormatting xmlns:xm="http://schemas.microsoft.com/office/excel/2006/main">
          <x14:cfRule type="containsText" priority="221" operator="containsText" id="{B83502E8-4B3E-49C4-9EB1-D1ED1599BD8C}">
            <xm:f>NOT(ISERROR(SEARCH("-",G133)))</xm:f>
            <xm:f>"-"</xm:f>
            <x14:dxf>
              <fill>
                <patternFill>
                  <bgColor rgb="FFF2F2F2"/>
                </patternFill>
              </fill>
            </x14:dxf>
          </x14:cfRule>
          <xm:sqref>G133</xm:sqref>
        </x14:conditionalFormatting>
        <x14:conditionalFormatting xmlns:xm="http://schemas.microsoft.com/office/excel/2006/main">
          <x14:cfRule type="containsText" priority="211" operator="containsText" id="{50286A3B-D29F-4A7B-BCDE-A3DF6A83CC3D}">
            <xm:f>NOT(ISERROR(SEARCH("-",G155)))</xm:f>
            <xm:f>"-"</xm:f>
            <x14:dxf>
              <fill>
                <patternFill>
                  <bgColor rgb="FFF2F2F2"/>
                </patternFill>
              </fill>
            </x14:dxf>
          </x14:cfRule>
          <xm:sqref>G155</xm:sqref>
        </x14:conditionalFormatting>
        <x14:conditionalFormatting xmlns:xm="http://schemas.microsoft.com/office/excel/2006/main">
          <x14:cfRule type="containsText" priority="225" operator="containsText" id="{AA6B55E2-EB56-4031-9984-3DEAD4AAE25F}">
            <xm:f>NOT(ISERROR(SEARCH("-",G132)))</xm:f>
            <xm:f>"-"</xm:f>
            <x14:dxf>
              <fill>
                <patternFill>
                  <bgColor rgb="FFF2F2F2"/>
                </patternFill>
              </fill>
            </x14:dxf>
          </x14:cfRule>
          <xm:sqref>G132</xm:sqref>
        </x14:conditionalFormatting>
        <x14:conditionalFormatting xmlns:xm="http://schemas.microsoft.com/office/excel/2006/main">
          <x14:cfRule type="expression" priority="219" id="{F8A71997-92DF-49D6-AADB-FB65F659A94D}">
            <xm:f>I132='[IV2_Seq9 - Notes ver4.6 - Rev0.xlsm]Categories'!#REF!</xm:f>
            <x14:dxf>
              <font>
                <b/>
                <i val="0"/>
              </font>
            </x14:dxf>
          </x14:cfRule>
          <xm:sqref>L132:L134</xm:sqref>
        </x14:conditionalFormatting>
        <x14:conditionalFormatting xmlns:xm="http://schemas.microsoft.com/office/excel/2006/main">
          <x14:cfRule type="expression" priority="218" id="{0600E0FC-A9E3-4493-90A8-E32A94DD3DAA}">
            <xm:f>I135='[IV2_Seq9 - Notes ver4.6 - Rev0.xlsm]Categories'!#REF!</xm:f>
            <x14:dxf>
              <font>
                <b/>
                <i val="0"/>
              </font>
            </x14:dxf>
          </x14:cfRule>
          <xm:sqref>L135:L137 L154</xm:sqref>
        </x14:conditionalFormatting>
        <x14:conditionalFormatting xmlns:xm="http://schemas.microsoft.com/office/excel/2006/main">
          <x14:cfRule type="containsText" priority="215" operator="containsText" id="{BCA84779-5D83-4B82-84DE-A9ED1ED99699}">
            <xm:f>NOT(ISERROR(SEARCH("-",G154)))</xm:f>
            <xm:f>"-"</xm:f>
            <x14:dxf>
              <fill>
                <patternFill>
                  <bgColor rgb="FFF2F2F2"/>
                </patternFill>
              </fill>
            </x14:dxf>
          </x14:cfRule>
          <xm:sqref>G154</xm:sqref>
        </x14:conditionalFormatting>
        <x14:conditionalFormatting xmlns:xm="http://schemas.microsoft.com/office/excel/2006/main">
          <x14:cfRule type="expression" priority="209" id="{6F2D1C56-796D-4359-AC3E-4759E035B8AC}">
            <xm:f>I156='[IV2_Seq9 - Notes ver4.6 - Rev0.xlsm]Categories'!#REF!</xm:f>
            <x14:dxf>
              <font>
                <b/>
                <i val="0"/>
              </font>
            </x14:dxf>
          </x14:cfRule>
          <xm:sqref>L156</xm:sqref>
        </x14:conditionalFormatting>
        <x14:conditionalFormatting xmlns:xm="http://schemas.microsoft.com/office/excel/2006/main">
          <x14:cfRule type="expression" priority="208" id="{089974DB-8BB5-45AE-BE70-F1E0D7D71B1B}">
            <xm:f>I155='[IV2_Seq9 - Notes ver4.6 - Rev0.xlsm]Categories'!#REF!</xm:f>
            <x14:dxf>
              <font>
                <b/>
                <i val="0"/>
              </font>
            </x14:dxf>
          </x14:cfRule>
          <xm:sqref>L155</xm:sqref>
        </x14:conditionalFormatting>
        <x14:conditionalFormatting xmlns:xm="http://schemas.microsoft.com/office/excel/2006/main">
          <x14:cfRule type="expression" priority="207" id="{6CC9FD44-824A-430F-BE01-197C36665299}">
            <xm:f>I157='[IV2_Seq9 - Notes ver4.6 - Rev0.xlsm]Categories'!#REF!</xm:f>
            <x14:dxf>
              <font>
                <b/>
                <i val="0"/>
              </font>
            </x14:dxf>
          </x14:cfRule>
          <xm:sqref>L157</xm:sqref>
        </x14:conditionalFormatting>
        <x14:conditionalFormatting xmlns:xm="http://schemas.microsoft.com/office/excel/2006/main">
          <x14:cfRule type="expression" priority="206" id="{AF4DEFFC-7BBD-46EC-B15B-AF9ED573F83E}">
            <xm:f>I132='[IV2_Seq9 - Notes ver4.6 - Rev0.xlsm]Categories'!#REF!</xm:f>
            <x14:dxf>
              <font>
                <b/>
                <i val="0"/>
              </font>
            </x14:dxf>
          </x14:cfRule>
          <xm:sqref>O132</xm:sqref>
        </x14:conditionalFormatting>
        <x14:conditionalFormatting xmlns:xm="http://schemas.microsoft.com/office/excel/2006/main">
          <x14:cfRule type="expression" priority="205" id="{5906B4FF-2F48-42AD-982F-F69686E46D36}">
            <xm:f>I133='[IV2_Seq9 - Notes ver4.6 - Rev0.xlsm]Categories'!#REF!</xm:f>
            <x14:dxf>
              <font>
                <b/>
                <i val="0"/>
              </font>
            </x14:dxf>
          </x14:cfRule>
          <xm:sqref>O133</xm:sqref>
        </x14:conditionalFormatting>
        <x14:conditionalFormatting xmlns:xm="http://schemas.microsoft.com/office/excel/2006/main">
          <x14:cfRule type="expression" priority="204" id="{8A50F486-3088-49AE-9D58-142CF609979B}">
            <xm:f>I134='[IV2_Seq9 - Notes ver4.6 - Rev0.xlsm]Categories'!#REF!</xm:f>
            <x14:dxf>
              <font>
                <b/>
                <i val="0"/>
              </font>
            </x14:dxf>
          </x14:cfRule>
          <xm:sqref>O134:O137</xm:sqref>
        </x14:conditionalFormatting>
        <x14:conditionalFormatting xmlns:xm="http://schemas.microsoft.com/office/excel/2006/main">
          <x14:cfRule type="expression" priority="203" id="{D695960A-09E7-45FF-BC62-F9F9DDE3415F}">
            <xm:f>I138='[IV2_Seq9 - Notes ver4.6 - Rev0.xlsm]Categories'!#REF!</xm:f>
            <x14:dxf>
              <font>
                <b/>
                <i val="0"/>
              </font>
            </x14:dxf>
          </x14:cfRule>
          <xm:sqref>L138:L139</xm:sqref>
        </x14:conditionalFormatting>
        <x14:conditionalFormatting xmlns:xm="http://schemas.microsoft.com/office/excel/2006/main">
          <x14:cfRule type="expression" priority="202" id="{98AB9AF1-F5A8-4CA9-B959-11074CB2322D}">
            <xm:f>I138='[IV2_Seq9 - Notes ver4.6 - Rev0.xlsm]Categories'!#REF!</xm:f>
            <x14:dxf>
              <font>
                <b/>
                <i val="0"/>
              </font>
            </x14:dxf>
          </x14:cfRule>
          <xm:sqref>O138:O139</xm:sqref>
        </x14:conditionalFormatting>
        <x14:conditionalFormatting xmlns:xm="http://schemas.microsoft.com/office/excel/2006/main">
          <x14:cfRule type="expression" priority="201" id="{E9FB061E-C894-4CC4-8FA1-69CF5876E0EA}">
            <xm:f>I160='[IV2_Seq9 - Notes ver4.6 - Rev0.xlsm]Categories'!#REF!</xm:f>
            <x14:dxf>
              <font>
                <b/>
                <i val="0"/>
              </font>
            </x14:dxf>
          </x14:cfRule>
          <xm:sqref>L160:L161</xm:sqref>
        </x14:conditionalFormatting>
        <x14:conditionalFormatting xmlns:xm="http://schemas.microsoft.com/office/excel/2006/main">
          <x14:cfRule type="expression" priority="200" id="{E4D4134D-2413-40E5-B3D9-46DA2B310E3A}">
            <xm:f>I158='[IV2_Seq9 - Notes ver4.6 - Rev0.xlsm]Categories'!#REF!</xm:f>
            <x14:dxf>
              <font>
                <b/>
                <i val="0"/>
              </font>
            </x14:dxf>
          </x14:cfRule>
          <xm:sqref>L158:L159</xm:sqref>
        </x14:conditionalFormatting>
        <x14:conditionalFormatting xmlns:xm="http://schemas.microsoft.com/office/excel/2006/main">
          <x14:cfRule type="containsText" priority="198" operator="containsText" id="{6C5A53A8-74BE-4E1D-B816-C6C5544F8DD7}">
            <xm:f>NOT(ISERROR(SEARCH("-",Q132)))</xm:f>
            <xm:f>"-"</xm:f>
            <x14:dxf>
              <fill>
                <patternFill>
                  <bgColor rgb="FFFFFFFF"/>
                </patternFill>
              </fill>
            </x14:dxf>
          </x14:cfRule>
          <x14:cfRule type="notContainsText" priority="199" operator="notContains" id="{2ABC81DA-DC65-4269-B7AE-7372E37FF372}">
            <xm:f>ISERROR(SEARCH("-",Q132))</xm:f>
            <xm:f>"-"</xm:f>
            <x14:dxf>
              <fill>
                <patternFill>
                  <bgColor rgb="FFF2F2F2"/>
                </patternFill>
              </fill>
            </x14:dxf>
          </x14:cfRule>
          <xm:sqref>Q132:Q140 Q154:Q165</xm:sqref>
        </x14:conditionalFormatting>
        <x14:conditionalFormatting xmlns:xm="http://schemas.microsoft.com/office/excel/2006/main">
          <x14:cfRule type="expression" priority="194" id="{48373E60-501E-4AE4-A57C-750062FB6A33}">
            <xm:f>I154='[IV2_Seq9 - Notes ver4.8 - Rev0.xlsm]Categories'!#REF!</xm:f>
            <x14:dxf>
              <font>
                <b/>
                <i val="0"/>
              </font>
            </x14:dxf>
          </x14:cfRule>
          <x14:cfRule type="expression" priority="197" id="{F41AC354-2B21-46F7-891C-ED0B8A7A99C4}">
            <xm:f>I154='[IV2_Seq9 - Notes ver4.6 - Rev0.xlsm]Categories'!#REF!</xm:f>
            <x14:dxf>
              <font>
                <b/>
                <i val="0"/>
              </font>
            </x14:dxf>
          </x14:cfRule>
          <xm:sqref>O154:O165</xm:sqref>
        </x14:conditionalFormatting>
        <x14:conditionalFormatting xmlns:xm="http://schemas.microsoft.com/office/excel/2006/main">
          <x14:cfRule type="expression" priority="196" id="{0159EA33-93B6-4270-8C62-7EE74B5ACF67}">
            <xm:f>I154='[IV2_Seq9 - Notes ver4.8 - Rev0.xlsm]Categories'!#REF!</xm:f>
            <x14:dxf>
              <font>
                <b/>
                <i val="0"/>
              </font>
            </x14:dxf>
          </x14:cfRule>
          <xm:sqref>K154:K165</xm:sqref>
        </x14:conditionalFormatting>
        <x14:conditionalFormatting xmlns:xm="http://schemas.microsoft.com/office/excel/2006/main">
          <x14:cfRule type="expression" priority="195" id="{3D171E64-4ED3-4042-9CBE-E8621B04B404}">
            <xm:f>I154='[IV2_Seq9 - Notes ver4.8 - Rev0.xlsm]Categories'!#REF!</xm:f>
            <x14:dxf>
              <font>
                <b/>
                <i val="0"/>
              </font>
            </x14:dxf>
          </x14:cfRule>
          <xm:sqref>L154:L165</xm:sqref>
        </x14:conditionalFormatting>
        <x14:conditionalFormatting xmlns:xm="http://schemas.microsoft.com/office/excel/2006/main">
          <x14:cfRule type="expression" priority="193" id="{5F580762-FF60-46C7-8A5A-2183B69B8954}">
            <xm:f>I153='[IV2_Seq9 - Notes ver4.6 - Rev0.xlsm]Categories'!#REF!</xm:f>
            <x14:dxf>
              <font>
                <b/>
                <i val="0"/>
              </font>
            </x14:dxf>
          </x14:cfRule>
          <xm:sqref>L153</xm:sqref>
        </x14:conditionalFormatting>
        <x14:conditionalFormatting xmlns:xm="http://schemas.microsoft.com/office/excel/2006/main">
          <x14:cfRule type="notContainsText" priority="192" operator="notContains" id="{4031A2FA-3655-4DAF-B3EC-86B3FD87A14D}">
            <xm:f>ISERROR(SEARCH("-",M153))</xm:f>
            <xm:f>"-"</xm:f>
            <x14:dxf>
              <fill>
                <patternFill>
                  <bgColor rgb="FFF2F2F2"/>
                </patternFill>
              </fill>
            </x14:dxf>
          </x14:cfRule>
          <xm:sqref>M153:N153</xm:sqref>
        </x14:conditionalFormatting>
        <x14:conditionalFormatting xmlns:xm="http://schemas.microsoft.com/office/excel/2006/main">
          <x14:cfRule type="expression" priority="191" id="{9DA1C6DB-0B72-404B-AE1F-5FE48164DBD0}">
            <xm:f>I153='[IV2_Seq9 - Notes ver4.6 - Rev0.xlsm]Categories'!#REF!</xm:f>
            <x14:dxf>
              <font>
                <b/>
                <i val="0"/>
              </font>
            </x14:dxf>
          </x14:cfRule>
          <xm:sqref>L153</xm:sqref>
        </x14:conditionalFormatting>
        <x14:conditionalFormatting xmlns:xm="http://schemas.microsoft.com/office/excel/2006/main">
          <x14:cfRule type="containsText" priority="188" operator="containsText" id="{93BA4678-C8D5-410F-8158-BE8578BD874D}">
            <xm:f>NOT(ISERROR(SEARCH("-",G153)))</xm:f>
            <xm:f>"-"</xm:f>
            <x14:dxf>
              <fill>
                <patternFill>
                  <bgColor rgb="FFF2F2F2"/>
                </patternFill>
              </fill>
            </x14:dxf>
          </x14:cfRule>
          <xm:sqref>G153</xm:sqref>
        </x14:conditionalFormatting>
        <x14:conditionalFormatting xmlns:xm="http://schemas.microsoft.com/office/excel/2006/main">
          <x14:cfRule type="expression" priority="186" id="{7805935D-E280-47B4-961F-2571488E974C}">
            <xm:f>I153='[IV2_Seq9 - Notes ver4.6 - Rev0.xlsm]Categories'!#REF!</xm:f>
            <x14:dxf>
              <font>
                <b/>
                <i val="0"/>
              </font>
            </x14:dxf>
          </x14:cfRule>
          <xm:sqref>O153</xm:sqref>
        </x14:conditionalFormatting>
        <x14:conditionalFormatting xmlns:xm="http://schemas.microsoft.com/office/excel/2006/main">
          <x14:cfRule type="containsText" priority="184" operator="containsText" id="{A29B0717-7548-4C45-8FA6-9F2455976A2B}">
            <xm:f>NOT(ISERROR(SEARCH("-",Q153)))</xm:f>
            <xm:f>"-"</xm:f>
            <x14:dxf>
              <fill>
                <patternFill>
                  <bgColor rgb="FFFFFFFF"/>
                </patternFill>
              </fill>
            </x14:dxf>
          </x14:cfRule>
          <x14:cfRule type="notContainsText" priority="185" operator="notContains" id="{10D605CF-B56A-41DD-8AC5-01AA7184A6C3}">
            <xm:f>ISERROR(SEARCH("-",Q153))</xm:f>
            <xm:f>"-"</xm:f>
            <x14:dxf>
              <fill>
                <patternFill>
                  <bgColor rgb="FFF2F2F2"/>
                </patternFill>
              </fill>
            </x14:dxf>
          </x14:cfRule>
          <xm:sqref>Q153</xm:sqref>
        </x14:conditionalFormatting>
        <x14:conditionalFormatting xmlns:xm="http://schemas.microsoft.com/office/excel/2006/main">
          <x14:cfRule type="expression" priority="180" id="{D01E104C-D556-44B7-9CB6-F49DD1B6D353}">
            <xm:f>I153='[IV2_Seq9 - Notes ver4.8 - Rev0.xlsm]Categories'!#REF!</xm:f>
            <x14:dxf>
              <font>
                <b/>
                <i val="0"/>
              </font>
            </x14:dxf>
          </x14:cfRule>
          <x14:cfRule type="expression" priority="183" id="{329E71B7-02C3-47C1-8D41-995106225D5B}">
            <xm:f>I153='[IV2_Seq9 - Notes ver4.6 - Rev0.xlsm]Categories'!#REF!</xm:f>
            <x14:dxf>
              <font>
                <b/>
                <i val="0"/>
              </font>
            </x14:dxf>
          </x14:cfRule>
          <xm:sqref>O153</xm:sqref>
        </x14:conditionalFormatting>
        <x14:conditionalFormatting xmlns:xm="http://schemas.microsoft.com/office/excel/2006/main">
          <x14:cfRule type="expression" priority="182" id="{B5582956-95F0-4EFF-A46C-7EE9E24016B3}">
            <xm:f>I153='[IV2_Seq9 - Notes ver4.8 - Rev0.xlsm]Categories'!#REF!</xm:f>
            <x14:dxf>
              <font>
                <b/>
                <i val="0"/>
              </font>
            </x14:dxf>
          </x14:cfRule>
          <xm:sqref>K153</xm:sqref>
        </x14:conditionalFormatting>
        <x14:conditionalFormatting xmlns:xm="http://schemas.microsoft.com/office/excel/2006/main">
          <x14:cfRule type="expression" priority="181" id="{98213D51-A5A6-495A-9AF1-27C366216371}">
            <xm:f>I153='[IV2_Seq9 - Notes ver4.8 - Rev0.xlsm]Categories'!#REF!</xm:f>
            <x14:dxf>
              <font>
                <b/>
                <i val="0"/>
              </font>
            </x14:dxf>
          </x14:cfRule>
          <xm:sqref>L153</xm:sqref>
        </x14:conditionalFormatting>
        <x14:conditionalFormatting xmlns:xm="http://schemas.microsoft.com/office/excel/2006/main">
          <x14:cfRule type="containsText" priority="114" operator="containsText" id="{A976B5FB-45BD-466A-B0F4-F6919A065671}">
            <xm:f>NOT(ISERROR(SEARCH("-",G194)))</xm:f>
            <xm:f>"-"</xm:f>
            <x14:dxf>
              <fill>
                <patternFill>
                  <bgColor rgb="FFF2F2F2"/>
                </patternFill>
              </fill>
            </x14:dxf>
          </x14:cfRule>
          <xm:sqref>G194:G199</xm:sqref>
        </x14:conditionalFormatting>
        <x14:conditionalFormatting xmlns:xm="http://schemas.microsoft.com/office/excel/2006/main">
          <x14:cfRule type="expression" priority="179" id="{4315E7DA-EF79-43E2-9828-72E44BED43FC}">
            <xm:f>I166='[IV2_Seq9 - Notes ver4.6 - Rev0.xlsm]Categories'!#REF!</xm:f>
            <x14:dxf>
              <font>
                <b/>
                <i val="0"/>
              </font>
            </x14:dxf>
          </x14:cfRule>
          <xm:sqref>L166</xm:sqref>
        </x14:conditionalFormatting>
        <x14:conditionalFormatting xmlns:xm="http://schemas.microsoft.com/office/excel/2006/main">
          <x14:cfRule type="notContainsText" priority="178" operator="notContains" id="{E4266150-80B7-4430-8BE2-987B6D3BA4D5}">
            <xm:f>ISERROR(SEARCH("-",M166))</xm:f>
            <xm:f>"-"</xm:f>
            <x14:dxf>
              <fill>
                <patternFill>
                  <bgColor rgb="FFF2F2F2"/>
                </patternFill>
              </fill>
            </x14:dxf>
          </x14:cfRule>
          <xm:sqref>M166:N166</xm:sqref>
        </x14:conditionalFormatting>
        <x14:conditionalFormatting xmlns:xm="http://schemas.microsoft.com/office/excel/2006/main">
          <x14:cfRule type="expression" priority="177" id="{67F2146B-84E1-41B6-8B35-25CF26E4EAFE}">
            <xm:f>I166='[IV2_Seq9 - Notes ver4.6 - Rev0.xlsm]Categories'!#REF!</xm:f>
            <x14:dxf>
              <font>
                <b/>
                <i val="0"/>
              </font>
            </x14:dxf>
          </x14:cfRule>
          <xm:sqref>O166</xm:sqref>
        </x14:conditionalFormatting>
        <x14:conditionalFormatting xmlns:xm="http://schemas.microsoft.com/office/excel/2006/main">
          <x14:cfRule type="expression" priority="176" id="{6529E1F8-837A-404A-B78F-8EEC35666FC9}">
            <xm:f>I166='[IV2_Seq9 - Notes ver4.6 - Rev0.xlsm]Categories'!#REF!</xm:f>
            <x14:dxf>
              <font>
                <b/>
                <i val="0"/>
              </font>
            </x14:dxf>
          </x14:cfRule>
          <xm:sqref>L166</xm:sqref>
        </x14:conditionalFormatting>
        <x14:conditionalFormatting xmlns:xm="http://schemas.microsoft.com/office/excel/2006/main">
          <x14:cfRule type="containsText" priority="170" operator="containsText" id="{6CAC745E-3E9F-460D-8ADA-C39DFDA506B7}">
            <xm:f>NOT(ISERROR(SEARCH("-",Q166)))</xm:f>
            <xm:f>"-"</xm:f>
            <x14:dxf>
              <fill>
                <patternFill>
                  <bgColor rgb="FFFFFFFF"/>
                </patternFill>
              </fill>
            </x14:dxf>
          </x14:cfRule>
          <x14:cfRule type="notContainsText" priority="171" operator="notContains" id="{FDD29336-C054-411E-AF20-BBE22EA181A2}">
            <xm:f>ISERROR(SEARCH("-",Q166))</xm:f>
            <xm:f>"-"</xm:f>
            <x14:dxf>
              <fill>
                <patternFill>
                  <bgColor rgb="FFF2F2F2"/>
                </patternFill>
              </fill>
            </x14:dxf>
          </x14:cfRule>
          <xm:sqref>Q166</xm:sqref>
        </x14:conditionalFormatting>
        <x14:conditionalFormatting xmlns:xm="http://schemas.microsoft.com/office/excel/2006/main">
          <x14:cfRule type="expression" priority="166" id="{38173268-E0E5-44F6-ADEE-6126F87BA3AC}">
            <xm:f>I166='[IV2_Seq9 - Notes ver4.8 - Rev0.xlsm]Categories'!#REF!</xm:f>
            <x14:dxf>
              <font>
                <b/>
                <i val="0"/>
              </font>
            </x14:dxf>
          </x14:cfRule>
          <x14:cfRule type="expression" priority="169" id="{C992F88A-7433-487A-9DCA-5CA88BC18CFE}">
            <xm:f>I166='[IV2_Seq9 - Notes ver4.6 - Rev0.xlsm]Categories'!#REF!</xm:f>
            <x14:dxf>
              <font>
                <b/>
                <i val="0"/>
              </font>
            </x14:dxf>
          </x14:cfRule>
          <xm:sqref>O166</xm:sqref>
        </x14:conditionalFormatting>
        <x14:conditionalFormatting xmlns:xm="http://schemas.microsoft.com/office/excel/2006/main">
          <x14:cfRule type="expression" priority="168" id="{E7C513C5-8691-497F-8B5C-F064DC58850D}">
            <xm:f>I166='[IV2_Seq9 - Notes ver4.8 - Rev0.xlsm]Categories'!#REF!</xm:f>
            <x14:dxf>
              <font>
                <b/>
                <i val="0"/>
              </font>
            </x14:dxf>
          </x14:cfRule>
          <xm:sqref>K166</xm:sqref>
        </x14:conditionalFormatting>
        <x14:conditionalFormatting xmlns:xm="http://schemas.microsoft.com/office/excel/2006/main">
          <x14:cfRule type="expression" priority="167" id="{30A1A542-BAD1-4DCA-9B30-DE1C41CBB159}">
            <xm:f>I166='[IV2_Seq9 - Notes ver4.8 - Rev0.xlsm]Categories'!#REF!</xm:f>
            <x14:dxf>
              <font>
                <b/>
                <i val="0"/>
              </font>
            </x14:dxf>
          </x14:cfRule>
          <xm:sqref>L166</xm:sqref>
        </x14:conditionalFormatting>
        <x14:conditionalFormatting xmlns:xm="http://schemas.microsoft.com/office/excel/2006/main">
          <x14:cfRule type="expression" priority="165" id="{A51B2DEC-135F-425B-9301-CE53D39E8777}">
            <xm:f>I141='[IV2_Seq9 - Notes ver4.6 - Rev0.xlsm]Categories'!#REF!</xm:f>
            <x14:dxf>
              <font>
                <b/>
                <i val="0"/>
              </font>
            </x14:dxf>
          </x14:cfRule>
          <xm:sqref>L141:L152</xm:sqref>
        </x14:conditionalFormatting>
        <x14:conditionalFormatting xmlns:xm="http://schemas.microsoft.com/office/excel/2006/main">
          <x14:cfRule type="expression" priority="164" id="{8CFC110B-E04C-4FEB-865B-3D712504B100}">
            <xm:f>I151='[IV2_Seq9 - Notes ver4.6 - Rev0.xlsm]Categories'!#REF!</xm:f>
            <x14:dxf>
              <font>
                <b/>
                <i val="0"/>
              </font>
            </x14:dxf>
          </x14:cfRule>
          <xm:sqref>O151:O152</xm:sqref>
        </x14:conditionalFormatting>
        <x14:conditionalFormatting xmlns:xm="http://schemas.microsoft.com/office/excel/2006/main">
          <x14:cfRule type="notContainsText" priority="163" operator="notContains" id="{27EFCAF8-8593-4998-812E-4A463995FC7E}">
            <xm:f>ISERROR(SEARCH("-",M141))</xm:f>
            <xm:f>"-"</xm:f>
            <x14:dxf>
              <fill>
                <patternFill>
                  <bgColor rgb="FFF2F2F2"/>
                </patternFill>
              </fill>
            </x14:dxf>
          </x14:cfRule>
          <xm:sqref>M141:N152</xm:sqref>
        </x14:conditionalFormatting>
        <x14:conditionalFormatting xmlns:xm="http://schemas.microsoft.com/office/excel/2006/main">
          <x14:cfRule type="containsText" priority="156" operator="containsText" id="{C950817C-1009-4A46-A9DE-60D11EAC348E}">
            <xm:f>NOT(ISERROR(SEARCH("-",G142)))</xm:f>
            <xm:f>"-"</xm:f>
            <x14:dxf>
              <fill>
                <patternFill>
                  <bgColor rgb="FFF2F2F2"/>
                </patternFill>
              </fill>
            </x14:dxf>
          </x14:cfRule>
          <xm:sqref>G142</xm:sqref>
        </x14:conditionalFormatting>
        <x14:conditionalFormatting xmlns:xm="http://schemas.microsoft.com/office/excel/2006/main">
          <x14:cfRule type="containsText" priority="160" operator="containsText" id="{24D2FBEF-E16E-42DF-A680-797743331D9B}">
            <xm:f>NOT(ISERROR(SEARCH("-",G141)))</xm:f>
            <xm:f>"-"</xm:f>
            <x14:dxf>
              <fill>
                <patternFill>
                  <bgColor rgb="FFF2F2F2"/>
                </patternFill>
              </fill>
            </x14:dxf>
          </x14:cfRule>
          <xm:sqref>G141</xm:sqref>
        </x14:conditionalFormatting>
        <x14:conditionalFormatting xmlns:xm="http://schemas.microsoft.com/office/excel/2006/main">
          <x14:cfRule type="expression" priority="154" id="{C3AF6EEA-683E-41D2-B517-F11A88C2B1C4}">
            <xm:f>I141='[IV2_Seq9 - Notes ver4.6 - Rev0.xlsm]Categories'!#REF!</xm:f>
            <x14:dxf>
              <font>
                <b/>
                <i val="0"/>
              </font>
            </x14:dxf>
          </x14:cfRule>
          <xm:sqref>L141:L143</xm:sqref>
        </x14:conditionalFormatting>
        <x14:conditionalFormatting xmlns:xm="http://schemas.microsoft.com/office/excel/2006/main">
          <x14:cfRule type="expression" priority="153" id="{64AA6B98-E348-4D5C-91BB-0EB4D78E9694}">
            <xm:f>I144='[IV2_Seq9 - Notes ver4.6 - Rev0.xlsm]Categories'!#REF!</xm:f>
            <x14:dxf>
              <font>
                <b/>
                <i val="0"/>
              </font>
            </x14:dxf>
          </x14:cfRule>
          <xm:sqref>L144:L146 L151:L152</xm:sqref>
        </x14:conditionalFormatting>
        <x14:conditionalFormatting xmlns:xm="http://schemas.microsoft.com/office/excel/2006/main">
          <x14:cfRule type="expression" priority="152" id="{9AEF8C7B-11E8-41FF-9472-6C0BAF699F86}">
            <xm:f>I141='[IV2_Seq9 - Notes ver4.6 - Rev0.xlsm]Categories'!#REF!</xm:f>
            <x14:dxf>
              <font>
                <b/>
                <i val="0"/>
              </font>
            </x14:dxf>
          </x14:cfRule>
          <xm:sqref>O141</xm:sqref>
        </x14:conditionalFormatting>
        <x14:conditionalFormatting xmlns:xm="http://schemas.microsoft.com/office/excel/2006/main">
          <x14:cfRule type="expression" priority="151" id="{BF454A59-B30F-4EE5-8B7A-53EC40CD8A4E}">
            <xm:f>I142='[IV2_Seq9 - Notes ver4.6 - Rev0.xlsm]Categories'!#REF!</xm:f>
            <x14:dxf>
              <font>
                <b/>
                <i val="0"/>
              </font>
            </x14:dxf>
          </x14:cfRule>
          <xm:sqref>O142</xm:sqref>
        </x14:conditionalFormatting>
        <x14:conditionalFormatting xmlns:xm="http://schemas.microsoft.com/office/excel/2006/main">
          <x14:cfRule type="expression" priority="150" id="{B132202B-86D6-4112-ACB5-B24A5EFCF5F8}">
            <xm:f>I143='[IV2_Seq9 - Notes ver4.6 - Rev0.xlsm]Categories'!#REF!</xm:f>
            <x14:dxf>
              <font>
                <b/>
                <i val="0"/>
              </font>
            </x14:dxf>
          </x14:cfRule>
          <xm:sqref>O143:O146</xm:sqref>
        </x14:conditionalFormatting>
        <x14:conditionalFormatting xmlns:xm="http://schemas.microsoft.com/office/excel/2006/main">
          <x14:cfRule type="expression" priority="149" id="{1EA6AE6B-1F5A-40FD-9F5D-C6C0CAB32448}">
            <xm:f>I149='[IV2_Seq9 - Notes ver4.6 - Rev0.xlsm]Categories'!#REF!</xm:f>
            <x14:dxf>
              <font>
                <b/>
                <i val="0"/>
              </font>
            </x14:dxf>
          </x14:cfRule>
          <xm:sqref>L149:L150</xm:sqref>
        </x14:conditionalFormatting>
        <x14:conditionalFormatting xmlns:xm="http://schemas.microsoft.com/office/excel/2006/main">
          <x14:cfRule type="expression" priority="148" id="{559957ED-9DB1-4902-BE80-55F8C5463780}">
            <xm:f>I149='[IV2_Seq9 - Notes ver4.6 - Rev0.xlsm]Categories'!#REF!</xm:f>
            <x14:dxf>
              <font>
                <b/>
                <i val="0"/>
              </font>
            </x14:dxf>
          </x14:cfRule>
          <xm:sqref>O149:O150</xm:sqref>
        </x14:conditionalFormatting>
        <x14:conditionalFormatting xmlns:xm="http://schemas.microsoft.com/office/excel/2006/main">
          <x14:cfRule type="expression" priority="147" id="{A4D148EE-119B-4CBD-BD2B-1B2B4AE66DE3}">
            <xm:f>I147='[IV2_Seq9 - Notes ver4.6 - Rev0.xlsm]Categories'!#REF!</xm:f>
            <x14:dxf>
              <font>
                <b/>
                <i val="0"/>
              </font>
            </x14:dxf>
          </x14:cfRule>
          <xm:sqref>L147:L148</xm:sqref>
        </x14:conditionalFormatting>
        <x14:conditionalFormatting xmlns:xm="http://schemas.microsoft.com/office/excel/2006/main">
          <x14:cfRule type="expression" priority="146" id="{6E2B4039-1A55-45BA-B0CB-8CC1F649EC27}">
            <xm:f>I147='[IV2_Seq9 - Notes ver4.6 - Rev0.xlsm]Categories'!#REF!</xm:f>
            <x14:dxf>
              <font>
                <b/>
                <i val="0"/>
              </font>
            </x14:dxf>
          </x14:cfRule>
          <xm:sqref>O147:O148</xm:sqref>
        </x14:conditionalFormatting>
        <x14:conditionalFormatting xmlns:xm="http://schemas.microsoft.com/office/excel/2006/main">
          <x14:cfRule type="containsText" priority="144" operator="containsText" id="{AB437A7C-C999-4898-B150-D46F3284159D}">
            <xm:f>NOT(ISERROR(SEARCH("-",Q141)))</xm:f>
            <xm:f>"-"</xm:f>
            <x14:dxf>
              <fill>
                <patternFill>
                  <bgColor rgb="FFFFFFFF"/>
                </patternFill>
              </fill>
            </x14:dxf>
          </x14:cfRule>
          <x14:cfRule type="notContainsText" priority="145" operator="notContains" id="{20B4C6B8-DE85-479E-B909-0429CF38F531}">
            <xm:f>ISERROR(SEARCH("-",Q141))</xm:f>
            <xm:f>"-"</xm:f>
            <x14:dxf>
              <fill>
                <patternFill>
                  <bgColor rgb="FFF2F2F2"/>
                </patternFill>
              </fill>
            </x14:dxf>
          </x14:cfRule>
          <xm:sqref>Q141:Q152</xm:sqref>
        </x14:conditionalFormatting>
        <x14:conditionalFormatting xmlns:xm="http://schemas.microsoft.com/office/excel/2006/main">
          <x14:cfRule type="expression" priority="140" id="{2CD58CB1-6B48-4E64-806C-E1760347593E}">
            <xm:f>I141='[IV2_Seq9 - Notes ver4.8 - Rev0.xlsm]Categories'!#REF!</xm:f>
            <x14:dxf>
              <font>
                <b/>
                <i val="0"/>
              </font>
            </x14:dxf>
          </x14:cfRule>
          <x14:cfRule type="expression" priority="143" id="{43F3BB6F-E7EF-475B-B034-F15268D55855}">
            <xm:f>I141='[IV2_Seq9 - Notes ver4.6 - Rev0.xlsm]Categories'!#REF!</xm:f>
            <x14:dxf>
              <font>
                <b/>
                <i val="0"/>
              </font>
            </x14:dxf>
          </x14:cfRule>
          <xm:sqref>O141:O152</xm:sqref>
        </x14:conditionalFormatting>
        <x14:conditionalFormatting xmlns:xm="http://schemas.microsoft.com/office/excel/2006/main">
          <x14:cfRule type="expression" priority="142" id="{7802B712-5626-47CE-A299-9CFBFD65E236}">
            <xm:f>I141='[IV2_Seq9 - Notes ver4.8 - Rev0.xlsm]Categories'!#REF!</xm:f>
            <x14:dxf>
              <font>
                <b/>
                <i val="0"/>
              </font>
            </x14:dxf>
          </x14:cfRule>
          <xm:sqref>K141:K152</xm:sqref>
        </x14:conditionalFormatting>
        <x14:conditionalFormatting xmlns:xm="http://schemas.microsoft.com/office/excel/2006/main">
          <x14:cfRule type="expression" priority="141" id="{2474215B-1063-4D14-B6D1-40B652F3A069}">
            <xm:f>I141='[IV2_Seq9 - Notes ver4.8 - Rev0.xlsm]Categories'!#REF!</xm:f>
            <x14:dxf>
              <font>
                <b/>
                <i val="0"/>
              </font>
            </x14:dxf>
          </x14:cfRule>
          <xm:sqref>L141:L152</xm:sqref>
        </x14:conditionalFormatting>
        <x14:conditionalFormatting xmlns:xm="http://schemas.microsoft.com/office/excel/2006/main">
          <x14:cfRule type="containsText" priority="109" operator="containsText" id="{8A103D69-61A0-4BEA-98A9-942101BEB50F}">
            <xm:f>NOT(ISERROR(SEARCH("-",G211)))</xm:f>
            <xm:f>"-"</xm:f>
            <x14:dxf>
              <fill>
                <patternFill>
                  <bgColor rgb="FFF2F2F2"/>
                </patternFill>
              </fill>
            </x14:dxf>
          </x14:cfRule>
          <xm:sqref>G211:G216</xm:sqref>
        </x14:conditionalFormatting>
        <x14:conditionalFormatting xmlns:xm="http://schemas.microsoft.com/office/excel/2006/main">
          <x14:cfRule type="containsText" priority="137" operator="containsText" id="{8B537BBF-E434-4818-BEA7-37BCF4085850}">
            <xm:f>NOT(ISERROR(SEARCH("-",G125)))</xm:f>
            <xm:f>"-"</xm:f>
            <x14:dxf>
              <fill>
                <patternFill>
                  <bgColor rgb="FFF2F2F2"/>
                </patternFill>
              </fill>
            </x14:dxf>
          </x14:cfRule>
          <xm:sqref>G125:G130</xm:sqref>
        </x14:conditionalFormatting>
        <x14:conditionalFormatting xmlns:xm="http://schemas.microsoft.com/office/excel/2006/main">
          <x14:cfRule type="containsText" priority="133" operator="containsText" id="{AB2545EA-EA58-47F4-9DB4-7D34CB8F2BD1}">
            <xm:f>NOT(ISERROR(SEARCH("-",G134)))</xm:f>
            <xm:f>"-"</xm:f>
            <x14:dxf>
              <fill>
                <patternFill>
                  <bgColor rgb="FFF2F2F2"/>
                </patternFill>
              </fill>
            </x14:dxf>
          </x14:cfRule>
          <xm:sqref>G134:G140</xm:sqref>
        </x14:conditionalFormatting>
        <x14:conditionalFormatting xmlns:xm="http://schemas.microsoft.com/office/excel/2006/main">
          <x14:cfRule type="containsText" priority="129" operator="containsText" id="{C47A6486-6A8F-4E76-AA9E-ED6C168577E5}">
            <xm:f>NOT(ISERROR(SEARCH("-",G143)))</xm:f>
            <xm:f>"-"</xm:f>
            <x14:dxf>
              <fill>
                <patternFill>
                  <bgColor rgb="FFF2F2F2"/>
                </patternFill>
              </fill>
            </x14:dxf>
          </x14:cfRule>
          <xm:sqref>G143:G152</xm:sqref>
        </x14:conditionalFormatting>
        <x14:conditionalFormatting xmlns:xm="http://schemas.microsoft.com/office/excel/2006/main">
          <x14:cfRule type="containsText" priority="125" operator="containsText" id="{757C9F45-63D9-4F3A-AA14-14BC2EDF6805}">
            <xm:f>NOT(ISERROR(SEARCH("-",G156)))</xm:f>
            <xm:f>"-"</xm:f>
            <x14:dxf>
              <fill>
                <patternFill>
                  <bgColor rgb="FFF2F2F2"/>
                </patternFill>
              </fill>
            </x14:dxf>
          </x14:cfRule>
          <xm:sqref>G156:G165</xm:sqref>
        </x14:conditionalFormatting>
        <x14:conditionalFormatting xmlns:xm="http://schemas.microsoft.com/office/excel/2006/main">
          <x14:cfRule type="containsText" priority="121" operator="containsText" id="{6850E00D-328B-493A-88F4-8CA0A69EE51B}">
            <xm:f>NOT(ISERROR(SEARCH("-",G168)))</xm:f>
            <xm:f>"-"</xm:f>
            <x14:dxf>
              <fill>
                <patternFill>
                  <bgColor rgb="FFF2F2F2"/>
                </patternFill>
              </fill>
            </x14:dxf>
          </x14:cfRule>
          <xm:sqref>G168:G177</xm:sqref>
        </x14:conditionalFormatting>
        <x14:conditionalFormatting xmlns:xm="http://schemas.microsoft.com/office/excel/2006/main">
          <x14:cfRule type="containsText" priority="117" operator="containsText" id="{262E4B98-0B9F-4461-BF0C-4143F33AC929}">
            <xm:f>NOT(ISERROR(SEARCH("-",G180)))</xm:f>
            <xm:f>"-"</xm:f>
            <x14:dxf>
              <fill>
                <patternFill>
                  <bgColor rgb="FFF2F2F2"/>
                </patternFill>
              </fill>
            </x14:dxf>
          </x14:cfRule>
          <xm:sqref>G180:G189</xm:sqref>
        </x14:conditionalFormatting>
        <x14:conditionalFormatting xmlns:xm="http://schemas.microsoft.com/office/excel/2006/main">
          <x14:cfRule type="containsText" priority="112" operator="containsText" id="{5097D58D-283E-4254-A86A-53103EDA2D55}">
            <xm:f>NOT(ISERROR(SEARCH("-",G202)))</xm:f>
            <xm:f>"-"</xm:f>
            <x14:dxf>
              <fill>
                <patternFill>
                  <bgColor rgb="FFF2F2F2"/>
                </patternFill>
              </fill>
            </x14:dxf>
          </x14:cfRule>
          <xm:sqref>G202:G207</xm:sqref>
        </x14:conditionalFormatting>
        <x14:conditionalFormatting xmlns:xm="http://schemas.microsoft.com/office/excel/2006/main">
          <x14:cfRule type="containsText" priority="105" operator="containsText" id="{8BB100F1-1D80-4B2D-B83E-92F73B028213}">
            <xm:f>NOT(ISERROR(SEARCH("-",G254)))</xm:f>
            <xm:f>"-"</xm:f>
            <x14:dxf>
              <fill>
                <patternFill>
                  <bgColor rgb="FFF2F2F2"/>
                </patternFill>
              </fill>
            </x14:dxf>
          </x14:cfRule>
          <xm:sqref>G254:G259</xm:sqref>
        </x14:conditionalFormatting>
        <x14:conditionalFormatting xmlns:xm="http://schemas.microsoft.com/office/excel/2006/main">
          <x14:cfRule type="expression" priority="90" id="{A5E6803C-40EE-45C7-B81F-A1826A13192A}">
            <xm:f>I260='[IV2_Seq9 - Notes ver4.6 - Rev0.xlsm]Categories'!#REF!</xm:f>
            <x14:dxf>
              <font>
                <b/>
                <i val="0"/>
              </font>
            </x14:dxf>
          </x14:cfRule>
          <xm:sqref>L260:L261</xm:sqref>
        </x14:conditionalFormatting>
        <x14:conditionalFormatting xmlns:xm="http://schemas.microsoft.com/office/excel/2006/main">
          <x14:cfRule type="notContainsText" priority="89" operator="notContains" id="{BF95CAC3-5D91-4384-9595-FE4AA5A8E74C}">
            <xm:f>ISERROR(SEARCH("-",M260))</xm:f>
            <xm:f>"-"</xm:f>
            <x14:dxf>
              <fill>
                <patternFill>
                  <bgColor rgb="FFF2F2F2"/>
                </patternFill>
              </fill>
            </x14:dxf>
          </x14:cfRule>
          <xm:sqref>M260:N261</xm:sqref>
        </x14:conditionalFormatting>
        <x14:conditionalFormatting xmlns:xm="http://schemas.microsoft.com/office/excel/2006/main">
          <x14:cfRule type="expression" priority="88" id="{4C651431-D94D-46CD-BABE-11F81B812DC2}">
            <xm:f>I260='[IV2_Seq9 - Notes ver4.6 - Rev0.xlsm]Categories'!#REF!</xm:f>
            <x14:dxf>
              <font>
                <b/>
                <i val="0"/>
              </font>
            </x14:dxf>
          </x14:cfRule>
          <xm:sqref>L260:L261</xm:sqref>
        </x14:conditionalFormatting>
        <x14:conditionalFormatting xmlns:xm="http://schemas.microsoft.com/office/excel/2006/main">
          <x14:cfRule type="expression" priority="87" id="{0DBB8CF7-9286-451B-8A04-02A205761551}">
            <xm:f>I260='[IV2_Seq9 - Notes ver4.6 - Rev0.xlsm]Categories'!#REF!</xm:f>
            <x14:dxf>
              <font>
                <b/>
                <i val="0"/>
              </font>
            </x14:dxf>
          </x14:cfRule>
          <xm:sqref>O260:O261</xm:sqref>
        </x14:conditionalFormatting>
        <x14:conditionalFormatting xmlns:xm="http://schemas.microsoft.com/office/excel/2006/main">
          <x14:cfRule type="containsText" priority="84" operator="containsText" id="{D70519E7-244F-4108-9A3E-1EB77A3ED90B}">
            <xm:f>NOT(ISERROR(SEARCH("-",G260)))</xm:f>
            <xm:f>"-"</xm:f>
            <x14:dxf>
              <fill>
                <patternFill>
                  <bgColor rgb="FFF2F2F2"/>
                </patternFill>
              </fill>
            </x14:dxf>
          </x14:cfRule>
          <xm:sqref>G260:G261</xm:sqref>
        </x14:conditionalFormatting>
        <x14:conditionalFormatting xmlns:xm="http://schemas.microsoft.com/office/excel/2006/main">
          <x14:cfRule type="expression" priority="79" id="{B2E04E37-9701-4350-98B6-5FFD2CF4CCA6}">
            <xm:f>I260='[IV2_Seq9 - Notes ver4.8 - Rev0.xlsm]Categories'!#REF!</xm:f>
            <x14:dxf>
              <font>
                <b/>
                <i val="0"/>
              </font>
            </x14:dxf>
          </x14:cfRule>
          <x14:cfRule type="expression" priority="82" id="{1E78586E-71B1-4D60-BCE6-A32695303E37}">
            <xm:f>I260='[IV2_Seq9 - Notes ver4.6 - Rev0.xlsm]Categories'!#REF!</xm:f>
            <x14:dxf>
              <font>
                <b/>
                <i val="0"/>
              </font>
            </x14:dxf>
          </x14:cfRule>
          <xm:sqref>O260:O261</xm:sqref>
        </x14:conditionalFormatting>
        <x14:conditionalFormatting xmlns:xm="http://schemas.microsoft.com/office/excel/2006/main">
          <x14:cfRule type="expression" priority="81" id="{2DEB914C-2EAE-44FA-85D8-71403292DCDC}">
            <xm:f>I260='[IV2_Seq9 - Notes ver4.8 - Rev0.xlsm]Categories'!#REF!</xm:f>
            <x14:dxf>
              <font>
                <b/>
                <i val="0"/>
              </font>
            </x14:dxf>
          </x14:cfRule>
          <xm:sqref>K260:K261</xm:sqref>
        </x14:conditionalFormatting>
        <x14:conditionalFormatting xmlns:xm="http://schemas.microsoft.com/office/excel/2006/main">
          <x14:cfRule type="expression" priority="80" id="{0AC8BD75-AB22-4B75-8197-77ACCC059139}">
            <xm:f>I260='[IV2_Seq9 - Notes ver4.8 - Rev0.xlsm]Categories'!#REF!</xm:f>
            <x14:dxf>
              <font>
                <b/>
                <i val="0"/>
              </font>
            </x14:dxf>
          </x14:cfRule>
          <xm:sqref>L260:L261</xm:sqref>
        </x14:conditionalFormatting>
        <x14:conditionalFormatting xmlns:xm="http://schemas.microsoft.com/office/excel/2006/main">
          <x14:cfRule type="expression" priority="78" id="{AEC5737B-0EA3-43B1-9150-C694289E2669}">
            <xm:f>I273='[IV2_Seq9 - Notes ver4.6 - Rev0.xlsm]Categories'!#REF!</xm:f>
            <x14:dxf>
              <font>
                <b/>
                <i val="0"/>
              </font>
            </x14:dxf>
          </x14:cfRule>
          <xm:sqref>L273</xm:sqref>
        </x14:conditionalFormatting>
        <x14:conditionalFormatting xmlns:xm="http://schemas.microsoft.com/office/excel/2006/main">
          <x14:cfRule type="notContainsText" priority="77" operator="notContains" id="{A5DA4274-344B-4A71-B1F9-3ABD375FBE50}">
            <xm:f>ISERROR(SEARCH("-",M273))</xm:f>
            <xm:f>"-"</xm:f>
            <x14:dxf>
              <fill>
                <patternFill>
                  <bgColor rgb="FFF2F2F2"/>
                </patternFill>
              </fill>
            </x14:dxf>
          </x14:cfRule>
          <xm:sqref>M273:N273</xm:sqref>
        </x14:conditionalFormatting>
        <x14:conditionalFormatting xmlns:xm="http://schemas.microsoft.com/office/excel/2006/main">
          <x14:cfRule type="expression" priority="76" id="{DFEA18CE-4705-4666-A44F-A9919DD9EAC3}">
            <xm:f>I273='[IV2_Seq9 - Notes ver4.6 - Rev0.xlsm]Categories'!#REF!</xm:f>
            <x14:dxf>
              <font>
                <b/>
                <i val="0"/>
              </font>
            </x14:dxf>
          </x14:cfRule>
          <xm:sqref>L273</xm:sqref>
        </x14:conditionalFormatting>
        <x14:conditionalFormatting xmlns:xm="http://schemas.microsoft.com/office/excel/2006/main">
          <x14:cfRule type="expression" priority="75" id="{EC34AA77-61F4-4DB0-982E-60B3B0A41FD2}">
            <xm:f>I273='[IV2_Seq9 - Notes ver4.6 - Rev0.xlsm]Categories'!#REF!</xm:f>
            <x14:dxf>
              <font>
                <b/>
                <i val="0"/>
              </font>
            </x14:dxf>
          </x14:cfRule>
          <xm:sqref>O273</xm:sqref>
        </x14:conditionalFormatting>
        <x14:conditionalFormatting xmlns:xm="http://schemas.microsoft.com/office/excel/2006/main">
          <x14:cfRule type="expression" priority="72" id="{00D34226-BC7E-4604-91D2-9E7FE8C9DCF1}">
            <xm:f>I273='[IV2_Seq9 - Notes ver4.8 - Rev0.xlsm]Categories'!#REF!</xm:f>
            <x14:dxf>
              <font>
                <b/>
                <i val="0"/>
              </font>
            </x14:dxf>
          </x14:cfRule>
          <x14:cfRule type="expression" priority="74" id="{96043497-622C-43A1-8C3E-5E7A39CA2E92}">
            <xm:f>I273='[IV2_Seq9 - Notes ver4.6 - Rev0.xlsm]Categories'!#REF!</xm:f>
            <x14:dxf>
              <font>
                <b/>
                <i val="0"/>
              </font>
            </x14:dxf>
          </x14:cfRule>
          <xm:sqref>O273</xm:sqref>
        </x14:conditionalFormatting>
        <x14:conditionalFormatting xmlns:xm="http://schemas.microsoft.com/office/excel/2006/main">
          <x14:cfRule type="expression" priority="73" id="{C316D194-DD88-4D33-A349-5854397958C5}">
            <xm:f>I273='[IV2_Seq9 - Notes ver4.8 - Rev0.xlsm]Categories'!#REF!</xm:f>
            <x14:dxf>
              <font>
                <b/>
                <i val="0"/>
              </font>
            </x14:dxf>
          </x14:cfRule>
          <xm:sqref>L273</xm:sqref>
        </x14:conditionalFormatting>
        <x14:conditionalFormatting xmlns:xm="http://schemas.microsoft.com/office/excel/2006/main">
          <x14:cfRule type="containsText" priority="71" operator="containsText" id="{97A2C6DA-1B29-4B35-BE54-E25DFF14E87B}">
            <xm:f>NOT(ISERROR(SEARCH("-",G283)))</xm:f>
            <xm:f>"-"</xm:f>
            <x14:dxf>
              <fill>
                <patternFill>
                  <bgColor rgb="FFF2F2F2"/>
                </patternFill>
              </fill>
            </x14:dxf>
          </x14:cfRule>
          <xm:sqref>G283:G291</xm:sqref>
        </x14:conditionalFormatting>
        <x14:conditionalFormatting xmlns:xm="http://schemas.microsoft.com/office/excel/2006/main">
          <x14:cfRule type="expression" priority="67" id="{E21F56E0-8638-4473-A32B-16C5A7F40D41}">
            <xm:f>I282='[IV2_Seq9 - Notes ver4.6 - Rev0.xlsm]Categories'!#REF!</xm:f>
            <x14:dxf>
              <font>
                <b/>
                <i val="0"/>
              </font>
            </x14:dxf>
          </x14:cfRule>
          <xm:sqref>L285 L282:L283</xm:sqref>
        </x14:conditionalFormatting>
        <x14:conditionalFormatting xmlns:xm="http://schemas.microsoft.com/office/excel/2006/main">
          <x14:cfRule type="notContainsText" priority="66" operator="notContains" id="{A41EE3B7-9BF8-4562-B9DE-0AD11BD8EB1F}">
            <xm:f>ISERROR(SEARCH("-",M282))</xm:f>
            <xm:f>"-"</xm:f>
            <x14:dxf>
              <fill>
                <patternFill>
                  <bgColor rgb="FFF2F2F2"/>
                </patternFill>
              </fill>
            </x14:dxf>
          </x14:cfRule>
          <xm:sqref>M285:N285 M282:N283</xm:sqref>
        </x14:conditionalFormatting>
        <x14:conditionalFormatting xmlns:xm="http://schemas.microsoft.com/office/excel/2006/main">
          <x14:cfRule type="expression" priority="65" id="{16FB97F6-E694-48A3-A955-E954331575F6}">
            <xm:f>I283='[IV2_Seq9 - Notes ver4.6 - Rev0.xlsm]Categories'!#REF!</xm:f>
            <x14:dxf>
              <font>
                <b/>
                <i val="0"/>
              </font>
            </x14:dxf>
          </x14:cfRule>
          <xm:sqref>O283</xm:sqref>
        </x14:conditionalFormatting>
        <x14:conditionalFormatting xmlns:xm="http://schemas.microsoft.com/office/excel/2006/main">
          <x14:cfRule type="containsText" priority="64" operator="containsText" id="{C25683EF-3CF3-43E0-8895-75E466F97A0D}">
            <xm:f>NOT(ISERROR(SEARCH("-",G282)))</xm:f>
            <xm:f>"-"</xm:f>
            <x14:dxf>
              <fill>
                <patternFill>
                  <bgColor rgb="FFF2F2F2"/>
                </patternFill>
              </fill>
            </x14:dxf>
          </x14:cfRule>
          <xm:sqref>G282 G285</xm:sqref>
        </x14:conditionalFormatting>
        <x14:conditionalFormatting xmlns:xm="http://schemas.microsoft.com/office/excel/2006/main">
          <x14:cfRule type="expression" priority="60" id="{F3BF2F45-6B0A-4782-96D9-5C99638B5368}">
            <xm:f>I282='[IV2_Seq9 - Notes ver4.6 - Rev0.xlsm]Categories'!#REF!</xm:f>
            <x14:dxf>
              <font>
                <b/>
                <i val="0"/>
              </font>
            </x14:dxf>
          </x14:cfRule>
          <xm:sqref>L282 L285</xm:sqref>
        </x14:conditionalFormatting>
        <x14:conditionalFormatting xmlns:xm="http://schemas.microsoft.com/office/excel/2006/main">
          <x14:cfRule type="expression" priority="59" id="{D5D5B9E5-7FEF-4EA8-A5FE-82F8E3B639CE}">
            <xm:f>I282='[IV2_Seq9 - Notes ver4.6 - Rev0.xlsm]Categories'!#REF!</xm:f>
            <x14:dxf>
              <font>
                <b/>
                <i val="0"/>
              </font>
            </x14:dxf>
          </x14:cfRule>
          <xm:sqref>O282 O285</xm:sqref>
        </x14:conditionalFormatting>
        <x14:conditionalFormatting xmlns:xm="http://schemas.microsoft.com/office/excel/2006/main">
          <x14:cfRule type="expression" priority="55" id="{F6CF136E-DC2F-4ADA-9F3A-AF2B64AF8527}">
            <xm:f>I282='[IV2_Seq9 - Notes ver4.8 - Rev0.xlsm]Categories'!#REF!</xm:f>
            <x14:dxf>
              <font>
                <b/>
                <i val="0"/>
              </font>
            </x14:dxf>
          </x14:cfRule>
          <x14:cfRule type="expression" priority="58" id="{3A34F5BE-A61F-46DB-8472-988B9B2832BD}">
            <xm:f>I282='[IV2_Seq9 - Notes ver4.6 - Rev0.xlsm]Categories'!#REF!</xm:f>
            <x14:dxf>
              <font>
                <b/>
                <i val="0"/>
              </font>
            </x14:dxf>
          </x14:cfRule>
          <xm:sqref>O285 O282:O283</xm:sqref>
        </x14:conditionalFormatting>
        <x14:conditionalFormatting xmlns:xm="http://schemas.microsoft.com/office/excel/2006/main">
          <x14:cfRule type="expression" priority="57" id="{8C549F05-8AF1-419B-A3EA-7873721558ED}">
            <xm:f>I282='[IV2_Seq9 - Notes ver4.8 - Rev0.xlsm]Categories'!#REF!</xm:f>
            <x14:dxf>
              <font>
                <b/>
                <i val="0"/>
              </font>
            </x14:dxf>
          </x14:cfRule>
          <xm:sqref>K285 K282:K283</xm:sqref>
        </x14:conditionalFormatting>
        <x14:conditionalFormatting xmlns:xm="http://schemas.microsoft.com/office/excel/2006/main">
          <x14:cfRule type="expression" priority="56" id="{41EECE46-8867-42CE-838D-0B06E14AFFB6}">
            <xm:f>I282='[IV2_Seq9 - Notes ver4.8 - Rev0.xlsm]Categories'!#REF!</xm:f>
            <x14:dxf>
              <font>
                <b/>
                <i val="0"/>
              </font>
            </x14:dxf>
          </x14:cfRule>
          <xm:sqref>L285 L282:L283</xm:sqref>
        </x14:conditionalFormatting>
        <x14:conditionalFormatting xmlns:xm="http://schemas.microsoft.com/office/excel/2006/main">
          <x14:cfRule type="expression" priority="54" id="{9926617B-53B6-44B0-9AEF-FF220B90B9E7}">
            <xm:f>I284='[IV2_Seq9 - Notes ver4.6 - Rev0.xlsm]Categories'!#REF!</xm:f>
            <x14:dxf>
              <font>
                <b/>
                <i val="0"/>
              </font>
            </x14:dxf>
          </x14:cfRule>
          <xm:sqref>L284</xm:sqref>
        </x14:conditionalFormatting>
        <x14:conditionalFormatting xmlns:xm="http://schemas.microsoft.com/office/excel/2006/main">
          <x14:cfRule type="notContainsText" priority="53" operator="notContains" id="{127D4C54-CAD4-4DE7-9160-1C2F595061B8}">
            <xm:f>ISERROR(SEARCH("-",M284))</xm:f>
            <xm:f>"-"</xm:f>
            <x14:dxf>
              <fill>
                <patternFill>
                  <bgColor rgb="FFF2F2F2"/>
                </patternFill>
              </fill>
            </x14:dxf>
          </x14:cfRule>
          <xm:sqref>M284:N284</xm:sqref>
        </x14:conditionalFormatting>
        <x14:conditionalFormatting xmlns:xm="http://schemas.microsoft.com/office/excel/2006/main">
          <x14:cfRule type="expression" priority="52" id="{76D2316F-4C71-45F1-8F41-22A1D634AA0A}">
            <xm:f>I284='[IV2_Seq9 - Notes ver4.6 - Rev0.xlsm]Categories'!#REF!</xm:f>
            <x14:dxf>
              <font>
                <b/>
                <i val="0"/>
              </font>
            </x14:dxf>
          </x14:cfRule>
          <xm:sqref>L284</xm:sqref>
        </x14:conditionalFormatting>
        <x14:conditionalFormatting xmlns:xm="http://schemas.microsoft.com/office/excel/2006/main">
          <x14:cfRule type="expression" priority="51" id="{31C5B07E-5B44-4F46-B249-80E2166901AC}">
            <xm:f>I284='[IV2_Seq9 - Notes ver4.6 - Rev0.xlsm]Categories'!#REF!</xm:f>
            <x14:dxf>
              <font>
                <b/>
                <i val="0"/>
              </font>
            </x14:dxf>
          </x14:cfRule>
          <xm:sqref>O284</xm:sqref>
        </x14:conditionalFormatting>
        <x14:conditionalFormatting xmlns:xm="http://schemas.microsoft.com/office/excel/2006/main">
          <x14:cfRule type="expression" priority="47" id="{D4B154A8-D4F8-4C6C-B0BB-74FF920CC9AD}">
            <xm:f>I284='[IV2_Seq9 - Notes ver4.8 - Rev0.xlsm]Categories'!#REF!</xm:f>
            <x14:dxf>
              <font>
                <b/>
                <i val="0"/>
              </font>
            </x14:dxf>
          </x14:cfRule>
          <x14:cfRule type="expression" priority="50" id="{667876C8-A69C-4D41-83CA-C423742DED5F}">
            <xm:f>I284='[IV2_Seq9 - Notes ver4.6 - Rev0.xlsm]Categories'!#REF!</xm:f>
            <x14:dxf>
              <font>
                <b/>
                <i val="0"/>
              </font>
            </x14:dxf>
          </x14:cfRule>
          <xm:sqref>O284</xm:sqref>
        </x14:conditionalFormatting>
        <x14:conditionalFormatting xmlns:xm="http://schemas.microsoft.com/office/excel/2006/main">
          <x14:cfRule type="expression" priority="49" id="{2EA97535-80DE-4258-8A99-8ECDCC5BBF50}">
            <xm:f>I284='[IV2_Seq9 - Notes ver4.8 - Rev0.xlsm]Categories'!#REF!</xm:f>
            <x14:dxf>
              <font>
                <b/>
                <i val="0"/>
              </font>
            </x14:dxf>
          </x14:cfRule>
          <xm:sqref>K284</xm:sqref>
        </x14:conditionalFormatting>
        <x14:conditionalFormatting xmlns:xm="http://schemas.microsoft.com/office/excel/2006/main">
          <x14:cfRule type="expression" priority="48" id="{64EAFF5B-5FE4-4FFB-A9C6-971E1D8F2EB6}">
            <xm:f>I284='[IV2_Seq9 - Notes ver4.8 - Rev0.xlsm]Categories'!#REF!</xm:f>
            <x14:dxf>
              <font>
                <b/>
                <i val="0"/>
              </font>
            </x14:dxf>
          </x14:cfRule>
          <xm:sqref>L284</xm:sqref>
        </x14:conditionalFormatting>
        <x14:conditionalFormatting xmlns:xm="http://schemas.microsoft.com/office/excel/2006/main">
          <x14:cfRule type="containsText" priority="46" operator="containsText" id="{D6D32B09-8AC1-4493-972F-0DBE9DF101AC}">
            <xm:f>NOT(ISERROR(SEARCH("-",G284)))</xm:f>
            <xm:f>"-"</xm:f>
            <x14:dxf>
              <fill>
                <patternFill>
                  <bgColor rgb="FFF2F2F2"/>
                </patternFill>
              </fill>
            </x14:dxf>
          </x14:cfRule>
          <xm:sqref>G284</xm:sqref>
        </x14:conditionalFormatting>
        <x14:conditionalFormatting xmlns:xm="http://schemas.microsoft.com/office/excel/2006/main">
          <x14:cfRule type="containsText" priority="42" operator="containsText" id="{6BA08ACE-6EA2-4FB4-8996-4E1C87782E85}">
            <xm:f>NOT(ISERROR(SEARCH("-",G294)))</xm:f>
            <xm:f>"-"</xm:f>
            <x14:dxf>
              <fill>
                <patternFill>
                  <bgColor rgb="FFF2F2F2"/>
                </patternFill>
              </fill>
            </x14:dxf>
          </x14:cfRule>
          <xm:sqref>G294</xm:sqref>
        </x14:conditionalFormatting>
        <x14:conditionalFormatting xmlns:xm="http://schemas.microsoft.com/office/excel/2006/main">
          <x14:cfRule type="expression" priority="38" id="{3C083461-C9CA-4318-8068-36CE58640B3C}">
            <xm:f>I293='[IV2_Seq9 - Notes ver4.6 - Rev0.xlsm]Categories'!#REF!</xm:f>
            <x14:dxf>
              <font>
                <b/>
                <i val="0"/>
              </font>
            </x14:dxf>
          </x14:cfRule>
          <xm:sqref>L296 L293:L294</xm:sqref>
        </x14:conditionalFormatting>
        <x14:conditionalFormatting xmlns:xm="http://schemas.microsoft.com/office/excel/2006/main">
          <x14:cfRule type="notContainsText" priority="37" operator="notContains" id="{092F6F05-29B9-48D9-ADA0-31BA282A6E31}">
            <xm:f>ISERROR(SEARCH("-",M293))</xm:f>
            <xm:f>"-"</xm:f>
            <x14:dxf>
              <fill>
                <patternFill>
                  <bgColor rgb="FFF2F2F2"/>
                </patternFill>
              </fill>
            </x14:dxf>
          </x14:cfRule>
          <xm:sqref>M296:N296 M293:N294</xm:sqref>
        </x14:conditionalFormatting>
        <x14:conditionalFormatting xmlns:xm="http://schemas.microsoft.com/office/excel/2006/main">
          <x14:cfRule type="expression" priority="36" id="{D4393909-41FF-43F0-BC92-87B8C7BF7FE8}">
            <xm:f>I294='[IV2_Seq9 - Notes ver4.6 - Rev0.xlsm]Categories'!#REF!</xm:f>
            <x14:dxf>
              <font>
                <b/>
                <i val="0"/>
              </font>
            </x14:dxf>
          </x14:cfRule>
          <xm:sqref>O294</xm:sqref>
        </x14:conditionalFormatting>
        <x14:conditionalFormatting xmlns:xm="http://schemas.microsoft.com/office/excel/2006/main">
          <x14:cfRule type="containsText" priority="35" operator="containsText" id="{B2B7BADE-D7A6-47AE-9116-5BBF4DAF1467}">
            <xm:f>NOT(ISERROR(SEARCH("-",G293)))</xm:f>
            <xm:f>"-"</xm:f>
            <x14:dxf>
              <fill>
                <patternFill>
                  <bgColor rgb="FFF2F2F2"/>
                </patternFill>
              </fill>
            </x14:dxf>
          </x14:cfRule>
          <xm:sqref>G293</xm:sqref>
        </x14:conditionalFormatting>
        <x14:conditionalFormatting xmlns:xm="http://schemas.microsoft.com/office/excel/2006/main">
          <x14:cfRule type="expression" priority="31" id="{737FD813-316E-40FF-A3D1-03CDDC89A2F7}">
            <xm:f>I293='[IV2_Seq9 - Notes ver4.6 - Rev0.xlsm]Categories'!#REF!</xm:f>
            <x14:dxf>
              <font>
                <b/>
                <i val="0"/>
              </font>
            </x14:dxf>
          </x14:cfRule>
          <xm:sqref>L293 L296</xm:sqref>
        </x14:conditionalFormatting>
        <x14:conditionalFormatting xmlns:xm="http://schemas.microsoft.com/office/excel/2006/main">
          <x14:cfRule type="expression" priority="30" id="{0049F38A-E7F9-4D72-867E-2C5D8F1C4FA2}">
            <xm:f>I293='[IV2_Seq9 - Notes ver4.6 - Rev0.xlsm]Categories'!#REF!</xm:f>
            <x14:dxf>
              <font>
                <b/>
                <i val="0"/>
              </font>
            </x14:dxf>
          </x14:cfRule>
          <xm:sqref>O293 O296</xm:sqref>
        </x14:conditionalFormatting>
        <x14:conditionalFormatting xmlns:xm="http://schemas.microsoft.com/office/excel/2006/main">
          <x14:cfRule type="expression" priority="26" id="{A9DD0E43-5FDD-4A25-8AA5-5E420B2A54FB}">
            <xm:f>I293='[IV2_Seq9 - Notes ver4.8 - Rev0.xlsm]Categories'!#REF!</xm:f>
            <x14:dxf>
              <font>
                <b/>
                <i val="0"/>
              </font>
            </x14:dxf>
          </x14:cfRule>
          <x14:cfRule type="expression" priority="29" id="{FF5F46BC-612C-4D3D-A30B-8BA25921026B}">
            <xm:f>I293='[IV2_Seq9 - Notes ver4.6 - Rev0.xlsm]Categories'!#REF!</xm:f>
            <x14:dxf>
              <font>
                <b/>
                <i val="0"/>
              </font>
            </x14:dxf>
          </x14:cfRule>
          <xm:sqref>O296 O293:O294</xm:sqref>
        </x14:conditionalFormatting>
        <x14:conditionalFormatting xmlns:xm="http://schemas.microsoft.com/office/excel/2006/main">
          <x14:cfRule type="expression" priority="28" id="{8C5951F7-326E-4AEC-AF89-B0DADABC3A0E}">
            <xm:f>I293='[IV2_Seq9 - Notes ver4.8 - Rev0.xlsm]Categories'!#REF!</xm:f>
            <x14:dxf>
              <font>
                <b/>
                <i val="0"/>
              </font>
            </x14:dxf>
          </x14:cfRule>
          <xm:sqref>K296 K293:K294</xm:sqref>
        </x14:conditionalFormatting>
        <x14:conditionalFormatting xmlns:xm="http://schemas.microsoft.com/office/excel/2006/main">
          <x14:cfRule type="expression" priority="27" id="{98282B9D-A38C-4135-B30D-4FD8AC8087D6}">
            <xm:f>I293='[IV2_Seq9 - Notes ver4.8 - Rev0.xlsm]Categories'!#REF!</xm:f>
            <x14:dxf>
              <font>
                <b/>
                <i val="0"/>
              </font>
            </x14:dxf>
          </x14:cfRule>
          <xm:sqref>L296 L293:L294</xm:sqref>
        </x14:conditionalFormatting>
        <x14:conditionalFormatting xmlns:xm="http://schemas.microsoft.com/office/excel/2006/main">
          <x14:cfRule type="expression" priority="25" id="{C580D829-ACE2-435F-B8F9-9DBB0C3B6118}">
            <xm:f>I295='[IV2_Seq9 - Notes ver4.6 - Rev0.xlsm]Categories'!#REF!</xm:f>
            <x14:dxf>
              <font>
                <b/>
                <i val="0"/>
              </font>
            </x14:dxf>
          </x14:cfRule>
          <xm:sqref>L295</xm:sqref>
        </x14:conditionalFormatting>
        <x14:conditionalFormatting xmlns:xm="http://schemas.microsoft.com/office/excel/2006/main">
          <x14:cfRule type="notContainsText" priority="24" operator="notContains" id="{0C106127-744B-4B8F-9933-09C5793C9551}">
            <xm:f>ISERROR(SEARCH("-",M295))</xm:f>
            <xm:f>"-"</xm:f>
            <x14:dxf>
              <fill>
                <patternFill>
                  <bgColor rgb="FFF2F2F2"/>
                </patternFill>
              </fill>
            </x14:dxf>
          </x14:cfRule>
          <xm:sqref>M295:N295</xm:sqref>
        </x14:conditionalFormatting>
        <x14:conditionalFormatting xmlns:xm="http://schemas.microsoft.com/office/excel/2006/main">
          <x14:cfRule type="expression" priority="23" id="{B601BC24-4C33-4F66-BF5A-3508D110D624}">
            <xm:f>I295='[IV2_Seq9 - Notes ver4.6 - Rev0.xlsm]Categories'!#REF!</xm:f>
            <x14:dxf>
              <font>
                <b/>
                <i val="0"/>
              </font>
            </x14:dxf>
          </x14:cfRule>
          <xm:sqref>L295</xm:sqref>
        </x14:conditionalFormatting>
        <x14:conditionalFormatting xmlns:xm="http://schemas.microsoft.com/office/excel/2006/main">
          <x14:cfRule type="expression" priority="22" id="{5681655C-8006-4E6F-ACEE-8ECB984D25E3}">
            <xm:f>I295='[IV2_Seq9 - Notes ver4.6 - Rev0.xlsm]Categories'!#REF!</xm:f>
            <x14:dxf>
              <font>
                <b/>
                <i val="0"/>
              </font>
            </x14:dxf>
          </x14:cfRule>
          <xm:sqref>O295</xm:sqref>
        </x14:conditionalFormatting>
        <x14:conditionalFormatting xmlns:xm="http://schemas.microsoft.com/office/excel/2006/main">
          <x14:cfRule type="expression" priority="18" id="{4D42696E-2603-4077-8795-A0E9367B2574}">
            <xm:f>I295='[IV2_Seq9 - Notes ver4.8 - Rev0.xlsm]Categories'!#REF!</xm:f>
            <x14:dxf>
              <font>
                <b/>
                <i val="0"/>
              </font>
            </x14:dxf>
          </x14:cfRule>
          <x14:cfRule type="expression" priority="21" id="{42FF98C2-E5A3-4216-89EA-3A132F30D7F9}">
            <xm:f>I295='[IV2_Seq9 - Notes ver4.6 - Rev0.xlsm]Categories'!#REF!</xm:f>
            <x14:dxf>
              <font>
                <b/>
                <i val="0"/>
              </font>
            </x14:dxf>
          </x14:cfRule>
          <xm:sqref>O295</xm:sqref>
        </x14:conditionalFormatting>
        <x14:conditionalFormatting xmlns:xm="http://schemas.microsoft.com/office/excel/2006/main">
          <x14:cfRule type="expression" priority="20" id="{2A6BB7E3-B6AE-42DE-82B4-FD5DD15CAF83}">
            <xm:f>I295='[IV2_Seq9 - Notes ver4.8 - Rev0.xlsm]Categories'!#REF!</xm:f>
            <x14:dxf>
              <font>
                <b/>
                <i val="0"/>
              </font>
            </x14:dxf>
          </x14:cfRule>
          <xm:sqref>K295</xm:sqref>
        </x14:conditionalFormatting>
        <x14:conditionalFormatting xmlns:xm="http://schemas.microsoft.com/office/excel/2006/main">
          <x14:cfRule type="expression" priority="19" id="{E7925E6B-CF96-4216-BCF2-AC59CE898DEB}">
            <xm:f>I295='[IV2_Seq9 - Notes ver4.8 - Rev0.xlsm]Categories'!#REF!</xm:f>
            <x14:dxf>
              <font>
                <b/>
                <i val="0"/>
              </font>
            </x14:dxf>
          </x14:cfRule>
          <xm:sqref>L295</xm:sqref>
        </x14:conditionalFormatting>
        <x14:conditionalFormatting xmlns:xm="http://schemas.microsoft.com/office/excel/2006/main">
          <x14:cfRule type="expression" priority="17" id="{1ED513B4-DA2E-4DE8-9581-C461330EC3FE}">
            <xm:f>I272='[IV2_Seq9 - Notes ver4.8 - Rev0.xlsm]Categories'!#REF!</xm:f>
            <x14:dxf>
              <font>
                <b/>
                <i val="0"/>
              </font>
            </x14:dxf>
          </x14:cfRule>
          <xm:sqref>K272:K279</xm:sqref>
        </x14:conditionalFormatting>
        <x14:conditionalFormatting xmlns:xm="http://schemas.microsoft.com/office/excel/2006/main">
          <x14:cfRule type="containsText" priority="14" operator="containsText" id="{ECBC88BC-F025-466C-975D-FAF8F2E30C9E}">
            <xm:f>NOT(ISERROR(SEARCH("-",G262)))</xm:f>
            <xm:f>"-"</xm:f>
            <x14:dxf>
              <fill>
                <patternFill>
                  <bgColor rgb="FFF2F2F2"/>
                </patternFill>
              </fill>
            </x14:dxf>
          </x14:cfRule>
          <xm:sqref>G262:G269</xm:sqref>
        </x14:conditionalFormatting>
        <x14:conditionalFormatting xmlns:xm="http://schemas.microsoft.com/office/excel/2006/main">
          <x14:cfRule type="containsText" priority="12" operator="containsText" id="{97D990EE-6543-45BA-AF9A-2624D48985C9}">
            <xm:f>NOT(ISERROR(SEARCH("-",G273)))</xm:f>
            <xm:f>"-"</xm:f>
            <x14:dxf>
              <fill>
                <patternFill>
                  <bgColor rgb="FFF2F2F2"/>
                </patternFill>
              </fill>
            </x14:dxf>
          </x14:cfRule>
          <xm:sqref>G273:G280</xm:sqref>
        </x14:conditionalFormatting>
        <x14:conditionalFormatting xmlns:xm="http://schemas.microsoft.com/office/excel/2006/main">
          <x14:cfRule type="containsText" priority="8" operator="containsText" id="{339790BF-2F19-4F42-9135-B495B77ACC3E}">
            <xm:f>NOT(ISERROR(SEARCH("-",G295)))</xm:f>
            <xm:f>"-"</xm:f>
            <x14:dxf>
              <fill>
                <patternFill>
                  <bgColor rgb="FFF2F2F2"/>
                </patternFill>
              </fill>
            </x14:dxf>
          </x14:cfRule>
          <xm:sqref>G295:G302</xm:sqref>
        </x14:conditionalFormatting>
        <x14:conditionalFormatting xmlns:xm="http://schemas.microsoft.com/office/excel/2006/main">
          <x14:cfRule type="containsText" priority="2" operator="containsText" id="{1BCE7021-71B9-4337-9423-4234F92C975D}">
            <xm:f>NOT(ISERROR(SEARCH("-",G305)))</xm:f>
            <xm:f>"-"</xm:f>
            <x14:dxf>
              <fill>
                <patternFill>
                  <bgColor rgb="FFF2F2F2"/>
                </patternFill>
              </fill>
            </x14:dxf>
          </x14:cfRule>
          <xm:sqref>G305:G310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83967E6-8C1D-449A-B9B2-27DA51FBD347}">
          <x14:formula1>
            <xm:f>'[IV2_Seq9 - Notes ver4.8 - Rev0.xlsm]Categories'!#REF!</xm:f>
          </x14:formula1>
          <xm:sqref>I4:I323</xm:sqref>
        </x14:dataValidation>
        <x14:dataValidation type="list" allowBlank="1" showInputMessage="1" showErrorMessage="1" xr:uid="{124306A8-7515-4426-897F-119F200A9AB0}">
          <x14:formula1>
            <xm:f>'[IV2_Seq9 - Notes ver4.8 - Rev0.xlsm]Categories'!#REF!</xm:f>
          </x14:formula1>
          <xm:sqref>O4:O323 H4:H323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89" customWidth="1"/>
    <col min="5" max="5" width="57.21875" style="90" customWidth="1"/>
    <col min="6" max="6" width="28.109375" customWidth="1"/>
    <col min="7" max="7" width="83.33203125" customWidth="1"/>
  </cols>
  <sheetData>
    <row r="1" spans="2:8" s="77" customFormat="1" ht="18" x14ac:dyDescent="0.35">
      <c r="B1" s="201" t="s">
        <v>193</v>
      </c>
      <c r="C1" s="201"/>
      <c r="D1" s="201" t="s">
        <v>193</v>
      </c>
      <c r="E1" s="202" t="s">
        <v>194</v>
      </c>
      <c r="F1" s="201"/>
      <c r="G1" s="201"/>
      <c r="H1" s="56"/>
    </row>
    <row r="2" spans="2:8" s="59" customFormat="1" ht="16.8" customHeight="1" x14ac:dyDescent="0.3">
      <c r="B2" s="78" t="s">
        <v>9</v>
      </c>
      <c r="C2" s="78" t="s">
        <v>195</v>
      </c>
      <c r="D2" s="78" t="s">
        <v>196</v>
      </c>
      <c r="E2" s="79" t="s">
        <v>197</v>
      </c>
      <c r="F2" s="78" t="s">
        <v>198</v>
      </c>
      <c r="G2" s="78" t="s">
        <v>199</v>
      </c>
    </row>
    <row r="3" spans="2:8" s="56" customFormat="1" ht="14.4" customHeight="1" x14ac:dyDescent="0.25">
      <c r="B3" s="203" t="s">
        <v>200</v>
      </c>
      <c r="C3" s="204"/>
      <c r="D3" s="204"/>
      <c r="E3" s="204"/>
      <c r="F3" s="204"/>
      <c r="G3" s="205"/>
    </row>
    <row r="4" spans="2:8" ht="24.6" customHeight="1" x14ac:dyDescent="0.3">
      <c r="B4" s="80"/>
      <c r="C4" s="81"/>
      <c r="D4" s="82"/>
      <c r="E4" s="83"/>
      <c r="F4" s="83" t="s">
        <v>201</v>
      </c>
      <c r="G4" s="84"/>
    </row>
    <row r="5" spans="2:8" ht="24.6" customHeight="1" x14ac:dyDescent="0.3">
      <c r="B5" s="80"/>
      <c r="C5" s="81"/>
      <c r="D5" s="82"/>
      <c r="E5" s="83" t="s">
        <v>202</v>
      </c>
      <c r="F5" s="83"/>
      <c r="G5" s="84"/>
    </row>
    <row r="6" spans="2:8" ht="24.6" customHeight="1" x14ac:dyDescent="0.3">
      <c r="B6" s="80"/>
      <c r="C6" s="81"/>
      <c r="D6" s="82"/>
      <c r="E6" s="83" t="s">
        <v>203</v>
      </c>
      <c r="F6" s="83"/>
      <c r="G6" s="84"/>
    </row>
    <row r="7" spans="2:8" ht="24.6" customHeight="1" x14ac:dyDescent="0.3">
      <c r="B7" s="80"/>
      <c r="C7" s="81"/>
      <c r="D7" s="82"/>
      <c r="E7" s="83" t="s">
        <v>204</v>
      </c>
      <c r="F7" s="83"/>
      <c r="G7" s="84"/>
    </row>
    <row r="8" spans="2:8" ht="24.6" customHeight="1" x14ac:dyDescent="0.3">
      <c r="B8" s="80"/>
      <c r="C8" s="81"/>
      <c r="D8" s="82"/>
      <c r="E8" s="83" t="s">
        <v>205</v>
      </c>
      <c r="F8" s="83"/>
      <c r="G8" s="84" t="s">
        <v>206</v>
      </c>
    </row>
    <row r="9" spans="2:8" ht="24.6" customHeight="1" x14ac:dyDescent="0.3">
      <c r="B9" s="80"/>
      <c r="C9" s="81"/>
      <c r="D9" s="82"/>
      <c r="E9" s="83" t="s">
        <v>207</v>
      </c>
      <c r="F9" s="83"/>
      <c r="G9" s="84"/>
    </row>
    <row r="10" spans="2:8" ht="24.6" customHeight="1" x14ac:dyDescent="0.3">
      <c r="B10" s="80"/>
      <c r="C10" s="81"/>
      <c r="D10" s="82"/>
      <c r="E10" s="83" t="s">
        <v>208</v>
      </c>
      <c r="F10" s="83"/>
      <c r="G10" s="84"/>
    </row>
    <row r="11" spans="2:8" ht="24.6" customHeight="1" x14ac:dyDescent="0.3">
      <c r="B11" s="80"/>
      <c r="C11" s="81"/>
      <c r="D11" s="82"/>
      <c r="E11" s="83" t="s">
        <v>209</v>
      </c>
      <c r="F11" s="83"/>
      <c r="G11" s="84"/>
    </row>
    <row r="12" spans="2:8" ht="24.6" customHeight="1" x14ac:dyDescent="0.3">
      <c r="B12" s="80"/>
      <c r="C12" s="81"/>
      <c r="D12" s="82"/>
      <c r="E12" s="83" t="s">
        <v>210</v>
      </c>
      <c r="F12" s="83"/>
      <c r="G12" s="84"/>
    </row>
    <row r="13" spans="2:8" ht="24.6" customHeight="1" x14ac:dyDescent="0.3">
      <c r="B13" s="80"/>
      <c r="C13" s="81"/>
      <c r="D13" s="82"/>
      <c r="E13" s="83"/>
      <c r="F13" s="83"/>
      <c r="G13" s="84"/>
    </row>
    <row r="14" spans="2:8" ht="24.6" customHeight="1" x14ac:dyDescent="0.3">
      <c r="B14" s="80"/>
      <c r="C14" s="81"/>
      <c r="D14" s="82"/>
      <c r="E14" s="83"/>
      <c r="F14" s="84" t="s">
        <v>211</v>
      </c>
      <c r="G14" s="84"/>
    </row>
    <row r="15" spans="2:8" ht="24.6" customHeight="1" x14ac:dyDescent="0.3">
      <c r="B15" s="80"/>
      <c r="C15" s="81"/>
      <c r="D15" s="82"/>
      <c r="E15" s="83" t="s">
        <v>212</v>
      </c>
      <c r="F15" s="83"/>
      <c r="G15" s="84"/>
    </row>
    <row r="16" spans="2:8" ht="50.4" x14ac:dyDescent="0.3">
      <c r="B16" s="80"/>
      <c r="C16" s="81"/>
      <c r="D16" s="82"/>
      <c r="E16" s="83" t="s">
        <v>213</v>
      </c>
      <c r="F16" s="83"/>
      <c r="G16" s="84"/>
    </row>
    <row r="17" spans="1:7" ht="24.6" customHeight="1" x14ac:dyDescent="0.3">
      <c r="B17" s="80"/>
      <c r="C17" s="81"/>
      <c r="D17" s="82"/>
      <c r="E17" s="83"/>
      <c r="F17" s="83"/>
      <c r="G17" s="84"/>
    </row>
    <row r="18" spans="1:7" ht="24.6" customHeight="1" x14ac:dyDescent="0.3">
      <c r="A18" s="85">
        <v>44013</v>
      </c>
      <c r="B18" s="80"/>
      <c r="C18" s="81"/>
      <c r="D18" s="82"/>
      <c r="E18" s="83" t="s">
        <v>214</v>
      </c>
      <c r="F18" s="83"/>
      <c r="G18" s="84"/>
    </row>
    <row r="19" spans="1:7" ht="24.6" customHeight="1" x14ac:dyDescent="0.3">
      <c r="A19" s="85">
        <v>44013</v>
      </c>
      <c r="B19" s="80"/>
      <c r="C19" s="81"/>
      <c r="D19" s="82"/>
      <c r="E19" s="83" t="s">
        <v>215</v>
      </c>
      <c r="F19" s="83"/>
      <c r="G19" s="84"/>
    </row>
    <row r="20" spans="1:7" ht="21" x14ac:dyDescent="0.3">
      <c r="A20" s="85">
        <v>44013</v>
      </c>
      <c r="B20" s="80"/>
      <c r="C20" s="81"/>
      <c r="D20" s="82"/>
      <c r="E20" s="83"/>
      <c r="F20" s="83"/>
      <c r="G20" s="84"/>
    </row>
    <row r="21" spans="1:7" ht="25.2" x14ac:dyDescent="0.3">
      <c r="A21" s="85">
        <v>44013</v>
      </c>
      <c r="B21" s="80"/>
      <c r="C21" s="81"/>
      <c r="D21" s="82"/>
      <c r="E21" s="83" t="s">
        <v>216</v>
      </c>
      <c r="F21" s="83"/>
      <c r="G21" s="84"/>
    </row>
    <row r="22" spans="1:7" ht="24.6" customHeight="1" x14ac:dyDescent="0.3">
      <c r="A22" s="85">
        <v>44013</v>
      </c>
      <c r="B22" s="80"/>
      <c r="C22" s="81"/>
      <c r="D22" s="82"/>
      <c r="E22" s="83" t="s">
        <v>217</v>
      </c>
      <c r="F22" s="83"/>
      <c r="G22" s="84"/>
    </row>
    <row r="23" spans="1:7" ht="24.6" customHeight="1" x14ac:dyDescent="0.3">
      <c r="B23" s="80"/>
      <c r="C23" s="86"/>
      <c r="D23" s="82"/>
      <c r="E23" s="83" t="s">
        <v>218</v>
      </c>
      <c r="F23" s="83"/>
      <c r="G23" s="87"/>
    </row>
    <row r="24" spans="1:7" ht="24.6" customHeight="1" x14ac:dyDescent="0.3">
      <c r="B24" s="80"/>
      <c r="C24" s="86"/>
      <c r="D24" s="82"/>
      <c r="E24" s="83" t="s">
        <v>219</v>
      </c>
      <c r="F24" s="83"/>
      <c r="G24" s="87"/>
    </row>
    <row r="25" spans="1:7" ht="24.6" customHeight="1" x14ac:dyDescent="0.3">
      <c r="B25" s="80"/>
      <c r="C25" s="86"/>
      <c r="D25" s="82"/>
      <c r="E25" s="83"/>
      <c r="F25" s="83"/>
      <c r="G25" s="87"/>
    </row>
    <row r="26" spans="1:7" ht="24.6" customHeight="1" x14ac:dyDescent="0.3">
      <c r="B26" s="80"/>
      <c r="C26" s="81"/>
      <c r="D26" s="82"/>
      <c r="E26" s="83" t="s">
        <v>220</v>
      </c>
      <c r="F26" s="83"/>
      <c r="G26" s="84"/>
    </row>
    <row r="27" spans="1:7" ht="24.6" customHeight="1" x14ac:dyDescent="0.3">
      <c r="B27" s="80"/>
      <c r="C27" s="81"/>
      <c r="D27" s="82"/>
      <c r="E27" s="83"/>
      <c r="F27" s="84" t="s">
        <v>221</v>
      </c>
      <c r="G27" s="84"/>
    </row>
    <row r="28" spans="1:7" ht="24.6" customHeight="1" x14ac:dyDescent="0.3">
      <c r="B28" s="80"/>
      <c r="C28" s="81"/>
      <c r="D28" s="82"/>
      <c r="E28" s="83"/>
      <c r="F28" s="84"/>
      <c r="G28" s="84"/>
    </row>
    <row r="29" spans="1:7" ht="24.6" customHeight="1" x14ac:dyDescent="0.3">
      <c r="B29" s="80"/>
      <c r="C29" s="81"/>
      <c r="D29" s="82"/>
      <c r="E29" s="83"/>
      <c r="F29" s="84"/>
      <c r="G29" s="84"/>
    </row>
    <row r="30" spans="1:7" ht="24.6" customHeight="1" x14ac:dyDescent="0.3">
      <c r="B30" s="80"/>
      <c r="C30" s="81"/>
      <c r="D30" s="82"/>
      <c r="E30" s="83"/>
      <c r="F30" s="84" t="s">
        <v>222</v>
      </c>
      <c r="G30" s="84"/>
    </row>
    <row r="31" spans="1:7" ht="24.6" customHeight="1" x14ac:dyDescent="0.3">
      <c r="B31" s="80"/>
      <c r="C31" s="81"/>
      <c r="D31" s="82"/>
      <c r="E31" s="83" t="s">
        <v>223</v>
      </c>
      <c r="F31" s="83"/>
      <c r="G31" s="84" t="s">
        <v>324</v>
      </c>
    </row>
    <row r="32" spans="1:7" ht="24.6" customHeight="1" x14ac:dyDescent="0.3">
      <c r="B32" s="80"/>
      <c r="C32" s="81"/>
      <c r="D32" s="82"/>
      <c r="E32" s="83" t="s">
        <v>224</v>
      </c>
      <c r="F32" s="83"/>
      <c r="G32" s="84"/>
    </row>
    <row r="33" spans="2:7" ht="24.6" customHeight="1" x14ac:dyDescent="0.3">
      <c r="B33" s="80"/>
      <c r="C33" s="81"/>
      <c r="D33" s="82"/>
      <c r="E33" s="83" t="s">
        <v>225</v>
      </c>
      <c r="F33" s="83"/>
      <c r="G33" s="84"/>
    </row>
    <row r="34" spans="2:7" ht="24.6" customHeight="1" x14ac:dyDescent="0.3">
      <c r="B34" s="80"/>
      <c r="C34" s="81"/>
      <c r="D34" s="82"/>
      <c r="E34" s="83"/>
      <c r="F34" s="83"/>
      <c r="G34" s="84"/>
    </row>
    <row r="35" spans="2:7" ht="24.6" customHeight="1" x14ac:dyDescent="0.3">
      <c r="B35" s="80"/>
      <c r="C35" s="81"/>
      <c r="D35" s="82"/>
      <c r="E35" s="83"/>
      <c r="F35" s="83"/>
      <c r="G35" s="84"/>
    </row>
    <row r="36" spans="2:7" ht="24.6" customHeight="1" x14ac:dyDescent="0.3">
      <c r="B36" s="80"/>
      <c r="C36" s="81"/>
      <c r="D36" s="82"/>
      <c r="E36" s="83"/>
      <c r="F36" s="83"/>
      <c r="G36" s="84"/>
    </row>
    <row r="37" spans="2:7" ht="24.6" customHeight="1" x14ac:dyDescent="0.3">
      <c r="B37" s="80"/>
      <c r="C37" s="81"/>
      <c r="D37" s="82"/>
      <c r="E37" s="83"/>
      <c r="F37" s="83"/>
      <c r="G37" s="83"/>
    </row>
    <row r="38" spans="2:7" ht="24.6" customHeight="1" x14ac:dyDescent="0.3">
      <c r="B38" s="80"/>
      <c r="C38" s="81"/>
      <c r="D38" s="82"/>
      <c r="E38" s="83"/>
      <c r="F38" s="83"/>
      <c r="G38" s="83"/>
    </row>
    <row r="39" spans="2:7" ht="24.6" customHeight="1" x14ac:dyDescent="0.3">
      <c r="B39" s="80"/>
      <c r="C39" s="81"/>
      <c r="D39" s="82"/>
      <c r="E39" s="83"/>
      <c r="F39" s="83"/>
      <c r="G39" s="84"/>
    </row>
    <row r="40" spans="2:7" ht="15.6" customHeight="1" x14ac:dyDescent="0.3">
      <c r="B40" s="203" t="s">
        <v>226</v>
      </c>
      <c r="C40" s="204"/>
      <c r="D40" s="204"/>
      <c r="E40" s="204"/>
      <c r="F40" s="204"/>
      <c r="G40" s="205"/>
    </row>
    <row r="41" spans="2:7" ht="30" customHeight="1" x14ac:dyDescent="0.3">
      <c r="B41" s="80"/>
      <c r="C41" s="81"/>
      <c r="D41" s="82"/>
      <c r="E41" s="83"/>
      <c r="F41" s="83"/>
      <c r="G41" s="83"/>
    </row>
    <row r="42" spans="2:7" ht="30" customHeight="1" x14ac:dyDescent="0.3">
      <c r="B42" s="80"/>
      <c r="C42" s="88"/>
      <c r="D42" s="82"/>
      <c r="E42" s="83"/>
      <c r="F42" s="83"/>
      <c r="G42" s="83"/>
    </row>
    <row r="43" spans="2:7" ht="30" customHeight="1" x14ac:dyDescent="0.3">
      <c r="B43" s="80"/>
      <c r="C43" s="81"/>
      <c r="D43" s="82"/>
      <c r="E43" s="83"/>
      <c r="F43" s="83"/>
      <c r="G43" s="83"/>
    </row>
    <row r="44" spans="2:7" ht="30" customHeight="1" x14ac:dyDescent="0.3">
      <c r="B44" s="80"/>
      <c r="C44" s="88"/>
      <c r="D44" s="82"/>
      <c r="E44" s="83"/>
      <c r="F44" s="83"/>
      <c r="G44" s="83"/>
    </row>
    <row r="45" spans="2:7" ht="30" customHeight="1" x14ac:dyDescent="0.3">
      <c r="B45" s="80"/>
      <c r="C45" s="88"/>
      <c r="D45" s="82"/>
      <c r="E45" s="83"/>
      <c r="F45" s="83"/>
      <c r="G45" s="83"/>
    </row>
    <row r="46" spans="2:7" ht="30" customHeight="1" x14ac:dyDescent="0.3">
      <c r="B46" s="80"/>
      <c r="C46" s="88"/>
      <c r="D46" s="82"/>
      <c r="E46" s="83"/>
      <c r="F46" s="83"/>
      <c r="G46" s="83"/>
    </row>
    <row r="47" spans="2:7" ht="15.6" customHeight="1" x14ac:dyDescent="0.3">
      <c r="B47" s="203" t="s">
        <v>227</v>
      </c>
      <c r="C47" s="204"/>
      <c r="D47" s="204"/>
      <c r="E47" s="204"/>
      <c r="F47" s="204"/>
      <c r="G47" s="205"/>
    </row>
    <row r="48" spans="2:7" ht="30" customHeight="1" x14ac:dyDescent="0.3">
      <c r="B48" s="80"/>
      <c r="C48" s="88"/>
      <c r="D48" s="82"/>
      <c r="E48" s="83" t="s">
        <v>228</v>
      </c>
      <c r="F48" s="83"/>
      <c r="G48" s="87"/>
    </row>
    <row r="49" spans="2:7" ht="30" customHeight="1" x14ac:dyDescent="0.3">
      <c r="B49" s="80"/>
      <c r="C49" s="88"/>
      <c r="D49" s="82"/>
      <c r="E49" s="83" t="s">
        <v>228</v>
      </c>
      <c r="F49" s="83"/>
      <c r="G49" s="87"/>
    </row>
    <row r="50" spans="2:7" ht="30" customHeight="1" x14ac:dyDescent="0.3">
      <c r="B50" s="80"/>
      <c r="C50" s="88"/>
      <c r="D50" s="82"/>
      <c r="E50" s="83" t="s">
        <v>229</v>
      </c>
      <c r="F50" s="83"/>
      <c r="G50" s="87"/>
    </row>
    <row r="51" spans="2:7" ht="30" customHeight="1" x14ac:dyDescent="0.3">
      <c r="B51" s="80"/>
      <c r="C51" s="88"/>
      <c r="D51" s="82"/>
      <c r="E51" s="83" t="s">
        <v>230</v>
      </c>
      <c r="F51" s="83"/>
      <c r="G51" s="87" t="s">
        <v>231</v>
      </c>
    </row>
    <row r="52" spans="2:7" ht="30" customHeight="1" x14ac:dyDescent="0.3">
      <c r="B52" s="80"/>
      <c r="C52" s="88"/>
      <c r="D52" s="82"/>
      <c r="E52" s="83"/>
      <c r="F52" s="83"/>
      <c r="G52" s="87"/>
    </row>
    <row r="53" spans="2:7" ht="30" customHeight="1" x14ac:dyDescent="0.3">
      <c r="B53" s="80"/>
      <c r="C53" s="88"/>
      <c r="D53" s="82"/>
      <c r="E53" s="83"/>
      <c r="F53" s="83"/>
      <c r="G53" s="87"/>
    </row>
    <row r="54" spans="2:7" ht="30" customHeight="1" x14ac:dyDescent="0.3">
      <c r="B54" s="80"/>
      <c r="C54" s="88"/>
      <c r="D54" s="82"/>
      <c r="E54" s="83"/>
      <c r="F54" s="83"/>
      <c r="G54" s="87"/>
    </row>
    <row r="55" spans="2:7" ht="30" customHeight="1" x14ac:dyDescent="0.3">
      <c r="B55" s="80"/>
      <c r="C55" s="88"/>
      <c r="D55" s="82"/>
      <c r="E55" s="83"/>
      <c r="F55" s="83"/>
      <c r="G55" s="87"/>
    </row>
    <row r="56" spans="2:7" ht="30" customHeight="1" x14ac:dyDescent="0.3">
      <c r="B56" s="80"/>
      <c r="C56" s="88"/>
      <c r="D56" s="82"/>
      <c r="E56" s="83" t="s">
        <v>232</v>
      </c>
      <c r="F56" s="83"/>
      <c r="G56" s="87"/>
    </row>
    <row r="57" spans="2:7" ht="30" customHeight="1" x14ac:dyDescent="0.3">
      <c r="B57" s="80"/>
      <c r="C57" s="88"/>
      <c r="D57" s="82"/>
      <c r="E57" s="83" t="s">
        <v>233</v>
      </c>
      <c r="F57" s="83"/>
      <c r="G57" s="87"/>
    </row>
    <row r="58" spans="2:7" ht="30" customHeight="1" x14ac:dyDescent="0.3">
      <c r="B58" s="89"/>
    </row>
    <row r="59" spans="2:7" ht="30" customHeight="1" x14ac:dyDescent="0.3">
      <c r="B59" s="89"/>
    </row>
    <row r="60" spans="2:7" ht="30" customHeight="1" x14ac:dyDescent="0.3">
      <c r="B60" s="89"/>
    </row>
    <row r="61" spans="2:7" ht="30" customHeight="1" x14ac:dyDescent="0.3">
      <c r="B61" s="89"/>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G5" sqref="G5"/>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91" customFormat="1" ht="18" x14ac:dyDescent="0.3">
      <c r="B2" s="206" t="s">
        <v>43</v>
      </c>
      <c r="C2" s="206"/>
      <c r="D2" s="59"/>
      <c r="E2" s="206" t="s">
        <v>234</v>
      </c>
      <c r="F2" s="206"/>
      <c r="G2" s="206"/>
      <c r="H2" s="206"/>
      <c r="I2" s="206"/>
      <c r="J2" s="206"/>
    </row>
    <row r="3" spans="2:10" s="96" customFormat="1" ht="15.6" x14ac:dyDescent="0.3">
      <c r="B3" s="92" t="s">
        <v>235</v>
      </c>
      <c r="C3" s="73" t="s">
        <v>236</v>
      </c>
      <c r="D3" s="93"/>
      <c r="E3" s="94" t="s">
        <v>237</v>
      </c>
      <c r="F3" s="94" t="s">
        <v>116</v>
      </c>
      <c r="G3" s="94" t="s">
        <v>238</v>
      </c>
      <c r="H3" s="94" t="s">
        <v>239</v>
      </c>
      <c r="I3" s="95" t="s">
        <v>240</v>
      </c>
      <c r="J3" s="95" t="s">
        <v>241</v>
      </c>
    </row>
    <row r="4" spans="2:10" s="91" customFormat="1" ht="15.6" x14ac:dyDescent="0.3">
      <c r="B4" s="92" t="s">
        <v>242</v>
      </c>
      <c r="C4" s="64" t="s">
        <v>139</v>
      </c>
      <c r="D4" s="59"/>
      <c r="E4" s="65" t="s">
        <v>3</v>
      </c>
      <c r="F4" s="97" t="s">
        <v>243</v>
      </c>
      <c r="G4" s="98">
        <v>6</v>
      </c>
      <c r="H4" s="98"/>
      <c r="I4" s="65" t="s">
        <v>244</v>
      </c>
      <c r="J4" s="65" t="s">
        <v>58</v>
      </c>
    </row>
    <row r="5" spans="2:10" s="91" customFormat="1" ht="15.6" x14ac:dyDescent="0.3">
      <c r="B5" s="92" t="s">
        <v>245</v>
      </c>
      <c r="C5" s="64" t="s">
        <v>246</v>
      </c>
      <c r="D5" s="59"/>
      <c r="E5" s="65" t="s">
        <v>247</v>
      </c>
      <c r="F5" s="99" t="s">
        <v>248</v>
      </c>
      <c r="G5" s="98">
        <v>1</v>
      </c>
      <c r="H5" s="98"/>
      <c r="I5" s="65" t="s">
        <v>58</v>
      </c>
      <c r="J5" s="65" t="s">
        <v>285</v>
      </c>
    </row>
    <row r="6" spans="2:10" s="91" customFormat="1" ht="15.6" x14ac:dyDescent="0.3">
      <c r="B6" s="92" t="s">
        <v>249</v>
      </c>
      <c r="C6" s="64">
        <v>9</v>
      </c>
      <c r="D6" s="59"/>
      <c r="E6" s="65" t="s">
        <v>250</v>
      </c>
      <c r="F6" s="99" t="s">
        <v>251</v>
      </c>
      <c r="G6" s="98">
        <v>1</v>
      </c>
      <c r="H6" s="98"/>
      <c r="I6" s="65" t="s">
        <v>58</v>
      </c>
      <c r="J6" s="65" t="s">
        <v>58</v>
      </c>
    </row>
    <row r="7" spans="2:10" s="91" customFormat="1" ht="15.6" x14ac:dyDescent="0.3">
      <c r="B7" s="92" t="s">
        <v>252</v>
      </c>
      <c r="C7" s="64" t="s">
        <v>142</v>
      </c>
      <c r="D7" s="59"/>
      <c r="E7" s="65" t="s">
        <v>253</v>
      </c>
      <c r="F7" s="99" t="s">
        <v>254</v>
      </c>
      <c r="G7" s="100">
        <v>3</v>
      </c>
      <c r="H7" s="100"/>
      <c r="I7" s="65" t="s">
        <v>255</v>
      </c>
      <c r="J7" s="65" t="s">
        <v>286</v>
      </c>
    </row>
    <row r="8" spans="2:10" s="91" customFormat="1" ht="15.6" x14ac:dyDescent="0.3">
      <c r="B8" s="92" t="s">
        <v>256</v>
      </c>
      <c r="C8" s="101" t="str">
        <f>"Seq"&amp;LEFT($C$6,10)&amp;" - LVAD"&amp;LEFT($G$4,10) &amp; IF($C$7=Categories!$X$7,""," - "&amp;$C$7)</f>
        <v>Seq9 - LVAD6</v>
      </c>
      <c r="D8" s="59"/>
      <c r="E8" s="65" t="s">
        <v>253</v>
      </c>
      <c r="F8" s="99" t="s">
        <v>254</v>
      </c>
      <c r="G8" s="100">
        <v>2</v>
      </c>
      <c r="H8" s="100"/>
      <c r="I8" s="65" t="s">
        <v>257</v>
      </c>
      <c r="J8" s="65" t="s">
        <v>287</v>
      </c>
    </row>
    <row r="9" spans="2:10" s="96" customFormat="1" ht="16.2" customHeight="1" x14ac:dyDescent="0.3">
      <c r="B9" s="92" t="s">
        <v>258</v>
      </c>
      <c r="C9" s="101" t="str">
        <f>C5&amp;"_Seq"&amp;LEFT(C6,10)</f>
        <v>IV2_Seq9</v>
      </c>
      <c r="D9" s="93"/>
      <c r="E9" s="65" t="s">
        <v>253</v>
      </c>
      <c r="F9" s="99" t="s">
        <v>254</v>
      </c>
      <c r="G9" s="100">
        <v>4</v>
      </c>
      <c r="H9" s="100"/>
      <c r="I9" s="65" t="s">
        <v>259</v>
      </c>
      <c r="J9" s="65" t="s">
        <v>288</v>
      </c>
    </row>
    <row r="10" spans="2:10" s="96" customFormat="1" ht="15.6" x14ac:dyDescent="0.3">
      <c r="B10" s="92" t="s">
        <v>260</v>
      </c>
      <c r="C10" s="64"/>
      <c r="D10" s="93"/>
      <c r="E10" s="73" t="s">
        <v>261</v>
      </c>
      <c r="F10" s="99" t="s">
        <v>262</v>
      </c>
      <c r="G10" s="99">
        <v>1</v>
      </c>
      <c r="H10" s="99"/>
      <c r="I10" s="73" t="s">
        <v>58</v>
      </c>
      <c r="J10" s="65" t="s">
        <v>58</v>
      </c>
    </row>
    <row r="11" spans="2:10" s="96" customFormat="1" ht="15.6" x14ac:dyDescent="0.3">
      <c r="B11" s="102"/>
      <c r="C11" s="103"/>
      <c r="D11" s="93"/>
      <c r="E11" s="65" t="s">
        <v>263</v>
      </c>
      <c r="F11" s="99" t="s">
        <v>264</v>
      </c>
      <c r="G11" s="100">
        <v>1</v>
      </c>
      <c r="H11" s="100"/>
      <c r="I11" s="73" t="s">
        <v>58</v>
      </c>
      <c r="J11" s="65" t="s">
        <v>58</v>
      </c>
    </row>
    <row r="12" spans="2:10" s="96" customFormat="1" ht="15.6" x14ac:dyDescent="0.3">
      <c r="B12" s="93"/>
      <c r="C12" s="93"/>
      <c r="D12" s="93"/>
      <c r="E12" s="73" t="s">
        <v>265</v>
      </c>
      <c r="F12" s="99" t="s">
        <v>266</v>
      </c>
      <c r="G12" s="99">
        <v>1</v>
      </c>
      <c r="H12" s="99"/>
      <c r="I12" s="73" t="s">
        <v>58</v>
      </c>
      <c r="J12" s="73" t="s">
        <v>58</v>
      </c>
    </row>
    <row r="13" spans="2:10" s="96" customFormat="1" ht="15.6" x14ac:dyDescent="0.3">
      <c r="B13" s="93"/>
      <c r="C13" s="93"/>
      <c r="D13" s="93"/>
      <c r="E13" s="73" t="s">
        <v>265</v>
      </c>
      <c r="F13" s="99" t="s">
        <v>266</v>
      </c>
      <c r="G13" s="99">
        <v>2</v>
      </c>
      <c r="H13" s="99"/>
      <c r="I13" s="73" t="s">
        <v>58</v>
      </c>
      <c r="J13" s="73" t="s">
        <v>58</v>
      </c>
    </row>
    <row r="14" spans="2:10" s="96" customFormat="1" ht="15.6" x14ac:dyDescent="0.3">
      <c r="B14" s="93"/>
      <c r="C14" s="93"/>
      <c r="E14" s="73" t="s">
        <v>267</v>
      </c>
      <c r="F14" s="99" t="s">
        <v>268</v>
      </c>
      <c r="G14" s="99">
        <v>1</v>
      </c>
      <c r="H14" s="99"/>
      <c r="I14" s="73" t="s">
        <v>269</v>
      </c>
      <c r="J14" s="73" t="s">
        <v>289</v>
      </c>
    </row>
    <row r="15" spans="2:10" s="96" customFormat="1" ht="15.6" x14ac:dyDescent="0.3">
      <c r="B15" s="93"/>
      <c r="C15" s="93"/>
      <c r="E15" s="73" t="s">
        <v>267</v>
      </c>
      <c r="F15" s="99" t="s">
        <v>268</v>
      </c>
      <c r="G15" s="99">
        <v>2</v>
      </c>
      <c r="H15" s="99"/>
      <c r="I15" s="73" t="s">
        <v>270</v>
      </c>
      <c r="J15" s="73" t="s">
        <v>290</v>
      </c>
    </row>
    <row r="16" spans="2:10" ht="15.6" x14ac:dyDescent="0.3">
      <c r="B16" s="96"/>
      <c r="C16" s="96"/>
      <c r="E16" s="73" t="s">
        <v>271</v>
      </c>
      <c r="F16" s="99" t="s">
        <v>272</v>
      </c>
      <c r="G16" s="99">
        <v>1</v>
      </c>
      <c r="H16" s="99"/>
      <c r="I16" s="73" t="s">
        <v>58</v>
      </c>
      <c r="J16" s="73" t="s">
        <v>58</v>
      </c>
    </row>
    <row r="17" spans="2:10" ht="15.6" x14ac:dyDescent="0.3">
      <c r="B17" s="96"/>
      <c r="C17" s="96"/>
      <c r="E17" s="73" t="s">
        <v>273</v>
      </c>
      <c r="F17" s="99" t="s">
        <v>274</v>
      </c>
      <c r="G17" s="99">
        <v>1</v>
      </c>
      <c r="H17" s="99"/>
      <c r="I17" s="73" t="s">
        <v>58</v>
      </c>
      <c r="J17" s="73" t="s">
        <v>58</v>
      </c>
    </row>
    <row r="18" spans="2:10" ht="15.6" x14ac:dyDescent="0.3">
      <c r="E18" s="65" t="s">
        <v>275</v>
      </c>
      <c r="F18" s="99" t="s">
        <v>276</v>
      </c>
      <c r="G18" s="98">
        <v>2</v>
      </c>
      <c r="H18" s="98"/>
      <c r="I18" s="73" t="s">
        <v>58</v>
      </c>
      <c r="J18" s="73" t="s">
        <v>58</v>
      </c>
    </row>
    <row r="19" spans="2:10" ht="15.6" x14ac:dyDescent="0.3">
      <c r="E19" s="65" t="s">
        <v>277</v>
      </c>
      <c r="F19" s="99" t="s">
        <v>278</v>
      </c>
      <c r="G19" s="98">
        <v>1</v>
      </c>
      <c r="H19" s="98"/>
      <c r="I19" s="73" t="s">
        <v>279</v>
      </c>
      <c r="J19" s="73" t="s">
        <v>291</v>
      </c>
    </row>
    <row r="20" spans="2:10" ht="15.6" x14ac:dyDescent="0.3">
      <c r="E20" s="65" t="s">
        <v>277</v>
      </c>
      <c r="F20" s="99" t="s">
        <v>278</v>
      </c>
      <c r="G20" s="98">
        <v>2</v>
      </c>
      <c r="H20" s="98"/>
      <c r="I20" s="73" t="s">
        <v>280</v>
      </c>
      <c r="J20" s="73" t="s">
        <v>292</v>
      </c>
    </row>
    <row r="21" spans="2:10" ht="15.6" x14ac:dyDescent="0.3">
      <c r="E21" s="65" t="s">
        <v>281</v>
      </c>
      <c r="F21" s="98" t="s">
        <v>282</v>
      </c>
      <c r="G21" s="98">
        <v>1</v>
      </c>
      <c r="H21" s="98"/>
      <c r="I21" s="73" t="s">
        <v>58</v>
      </c>
      <c r="J21" s="73" t="s">
        <v>58</v>
      </c>
    </row>
    <row r="22" spans="2:10" ht="15.6" x14ac:dyDescent="0.3">
      <c r="E22" s="73" t="s">
        <v>283</v>
      </c>
      <c r="F22" s="99" t="s">
        <v>284</v>
      </c>
      <c r="G22" s="99">
        <v>1</v>
      </c>
      <c r="H22" s="99"/>
      <c r="I22" s="73" t="s">
        <v>58</v>
      </c>
      <c r="J22" s="73" t="s">
        <v>58</v>
      </c>
    </row>
    <row r="23" spans="2:10" ht="15.6" x14ac:dyDescent="0.3">
      <c r="E23" s="73" t="s">
        <v>283</v>
      </c>
      <c r="F23" s="99" t="s">
        <v>284</v>
      </c>
      <c r="G23" s="99">
        <v>2</v>
      </c>
      <c r="H23" s="99"/>
      <c r="I23" s="73" t="s">
        <v>58</v>
      </c>
      <c r="J23" s="73"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E21" sqref="E21"/>
    </sheetView>
  </sheetViews>
  <sheetFormatPr defaultColWidth="9.109375" defaultRowHeight="15.6" x14ac:dyDescent="0.3"/>
  <cols>
    <col min="1" max="1" width="24.109375" style="54" bestFit="1" customWidth="1"/>
    <col min="2" max="2" width="34.21875" style="54" bestFit="1" customWidth="1"/>
    <col min="3" max="3" width="7.6640625" style="54" bestFit="1" customWidth="1"/>
    <col min="4" max="4" width="1.6640625" style="54" customWidth="1"/>
    <col min="5" max="5" width="26.6640625" style="54" bestFit="1" customWidth="1"/>
    <col min="6" max="6" width="29.109375" style="54" bestFit="1" customWidth="1"/>
    <col min="7" max="7" width="7.6640625" style="54" bestFit="1" customWidth="1"/>
    <col min="8" max="8" width="2.109375" style="54" customWidth="1"/>
    <col min="9" max="9" width="28.77734375" customWidth="1"/>
    <col min="10" max="10" width="2.109375" customWidth="1"/>
    <col min="11" max="11" width="29.6640625" style="76" bestFit="1" customWidth="1"/>
    <col min="12" max="12" width="9.88671875" style="76"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53"/>
      <c r="D1" s="53"/>
      <c r="E1" s="53"/>
      <c r="H1" s="53"/>
      <c r="K1"/>
      <c r="L1"/>
    </row>
    <row r="2" spans="1:24" s="56" customFormat="1" ht="19.95" customHeight="1" x14ac:dyDescent="0.3">
      <c r="A2" s="207" t="s">
        <v>107</v>
      </c>
      <c r="B2" s="208"/>
      <c r="C2" s="209"/>
      <c r="D2" s="53"/>
      <c r="E2" s="210" t="s">
        <v>108</v>
      </c>
      <c r="F2" s="211"/>
      <c r="G2" s="212"/>
      <c r="H2" s="53"/>
      <c r="I2" s="55" t="s">
        <v>109</v>
      </c>
      <c r="K2" s="207" t="s">
        <v>110</v>
      </c>
      <c r="L2" s="208"/>
      <c r="M2" s="213" t="s">
        <v>111</v>
      </c>
      <c r="N2" s="214"/>
      <c r="O2" s="214"/>
      <c r="P2" s="214"/>
      <c r="Q2" s="214"/>
      <c r="R2" s="213" t="s">
        <v>112</v>
      </c>
      <c r="S2" s="214"/>
      <c r="T2" s="214"/>
      <c r="U2" s="214"/>
      <c r="V2" s="214"/>
      <c r="X2" s="55" t="s">
        <v>113</v>
      </c>
    </row>
    <row r="3" spans="1:24" s="59" customFormat="1" x14ac:dyDescent="0.3">
      <c r="A3" s="57" t="s">
        <v>114</v>
      </c>
      <c r="B3" s="57" t="s">
        <v>115</v>
      </c>
      <c r="C3" s="57" t="s">
        <v>11</v>
      </c>
      <c r="D3" s="54"/>
      <c r="E3" s="57" t="s">
        <v>114</v>
      </c>
      <c r="F3" s="57" t="s">
        <v>115</v>
      </c>
      <c r="G3" s="57" t="s">
        <v>11</v>
      </c>
      <c r="H3" s="54"/>
      <c r="I3" s="58" t="s">
        <v>114</v>
      </c>
      <c r="K3" s="58" t="s">
        <v>114</v>
      </c>
      <c r="L3" s="60" t="s">
        <v>116</v>
      </c>
      <c r="M3" s="61" t="s">
        <v>117</v>
      </c>
      <c r="N3" s="62" t="s">
        <v>118</v>
      </c>
      <c r="O3" s="62" t="s">
        <v>119</v>
      </c>
      <c r="P3" s="62" t="s">
        <v>120</v>
      </c>
      <c r="Q3" s="63" t="s">
        <v>121</v>
      </c>
      <c r="R3" s="61" t="s">
        <v>117</v>
      </c>
      <c r="S3" s="62" t="s">
        <v>118</v>
      </c>
      <c r="T3" s="62" t="s">
        <v>119</v>
      </c>
      <c r="U3" s="62" t="s">
        <v>120</v>
      </c>
      <c r="V3" s="62" t="s">
        <v>121</v>
      </c>
      <c r="X3" s="58" t="s">
        <v>114</v>
      </c>
    </row>
    <row r="4" spans="1:24" ht="19.95" customHeight="1" x14ac:dyDescent="0.3">
      <c r="A4" s="64" t="s">
        <v>58</v>
      </c>
      <c r="B4" s="64" t="s">
        <v>122</v>
      </c>
      <c r="C4" s="64" t="s">
        <v>58</v>
      </c>
      <c r="E4" s="64" t="s">
        <v>58</v>
      </c>
      <c r="F4" s="64" t="s">
        <v>123</v>
      </c>
      <c r="G4" s="64">
        <v>120</v>
      </c>
      <c r="I4" s="65" t="s">
        <v>124</v>
      </c>
      <c r="K4" s="65" t="s">
        <v>58</v>
      </c>
      <c r="L4" s="66" t="s">
        <v>58</v>
      </c>
      <c r="M4" s="67" t="s">
        <v>58</v>
      </c>
      <c r="N4" s="65" t="s">
        <v>58</v>
      </c>
      <c r="O4" s="65" t="s">
        <v>58</v>
      </c>
      <c r="P4" s="65" t="s">
        <v>58</v>
      </c>
      <c r="Q4" s="66" t="s">
        <v>58</v>
      </c>
      <c r="R4" s="67" t="s">
        <v>58</v>
      </c>
      <c r="S4" s="65" t="s">
        <v>58</v>
      </c>
      <c r="T4" s="65" t="s">
        <v>58</v>
      </c>
      <c r="U4" s="65" t="s">
        <v>58</v>
      </c>
      <c r="V4" s="65" t="s">
        <v>58</v>
      </c>
      <c r="X4" s="65" t="s">
        <v>58</v>
      </c>
    </row>
    <row r="5" spans="1:24" ht="19.95" customHeight="1" x14ac:dyDescent="0.3">
      <c r="A5" s="64" t="s">
        <v>68</v>
      </c>
      <c r="B5" s="64" t="s">
        <v>125</v>
      </c>
      <c r="C5" s="64">
        <v>120</v>
      </c>
      <c r="E5" s="64" t="s">
        <v>98</v>
      </c>
      <c r="F5" s="64"/>
      <c r="G5" s="64">
        <v>60</v>
      </c>
      <c r="I5" s="65" t="s">
        <v>126</v>
      </c>
      <c r="K5" s="65" t="s">
        <v>127</v>
      </c>
      <c r="L5" s="66" t="s">
        <v>128</v>
      </c>
      <c r="M5" s="68">
        <v>1.42</v>
      </c>
      <c r="N5" s="69">
        <v>1.87</v>
      </c>
      <c r="O5" s="69">
        <v>2.14</v>
      </c>
      <c r="P5" s="69" t="s">
        <v>58</v>
      </c>
      <c r="Q5" s="70" t="s">
        <v>58</v>
      </c>
      <c r="R5" s="67" t="s">
        <v>74</v>
      </c>
      <c r="S5" s="65" t="s">
        <v>76</v>
      </c>
      <c r="T5" s="65" t="s">
        <v>129</v>
      </c>
      <c r="U5" s="65" t="s">
        <v>58</v>
      </c>
      <c r="V5" s="65" t="s">
        <v>58</v>
      </c>
      <c r="X5" s="65" t="s">
        <v>130</v>
      </c>
    </row>
    <row r="6" spans="1:24" ht="19.95" customHeight="1" x14ac:dyDescent="0.3">
      <c r="A6" s="64" t="s">
        <v>85</v>
      </c>
      <c r="B6" s="64" t="s">
        <v>131</v>
      </c>
      <c r="C6" s="64">
        <v>60</v>
      </c>
      <c r="E6" s="64" t="s">
        <v>132</v>
      </c>
      <c r="F6" s="64" t="s">
        <v>133</v>
      </c>
      <c r="G6" s="64" t="s">
        <v>58</v>
      </c>
      <c r="I6" s="65" t="s">
        <v>134</v>
      </c>
      <c r="K6" s="65" t="s">
        <v>127</v>
      </c>
      <c r="L6" s="66" t="s">
        <v>128</v>
      </c>
      <c r="M6" s="68">
        <v>1.42</v>
      </c>
      <c r="N6" s="69">
        <v>1.87</v>
      </c>
      <c r="O6" s="69">
        <v>2.19</v>
      </c>
      <c r="P6" s="69" t="s">
        <v>58</v>
      </c>
      <c r="Q6" s="70" t="s">
        <v>58</v>
      </c>
      <c r="R6" s="67" t="s">
        <v>74</v>
      </c>
      <c r="S6" s="65" t="s">
        <v>76</v>
      </c>
      <c r="T6" s="65" t="s">
        <v>135</v>
      </c>
      <c r="U6" s="65" t="s">
        <v>58</v>
      </c>
      <c r="V6" s="65" t="s">
        <v>58</v>
      </c>
      <c r="X6" s="65" t="s">
        <v>136</v>
      </c>
    </row>
    <row r="7" spans="1:24" ht="19.95" customHeight="1" x14ac:dyDescent="0.3">
      <c r="A7" s="64" t="s">
        <v>137</v>
      </c>
      <c r="B7" s="64" t="s">
        <v>138</v>
      </c>
      <c r="C7" s="64" t="s">
        <v>58</v>
      </c>
      <c r="E7" s="64" t="s">
        <v>156</v>
      </c>
      <c r="F7" s="64" t="s">
        <v>144</v>
      </c>
      <c r="G7" s="64" t="s">
        <v>58</v>
      </c>
      <c r="I7" s="65" t="s">
        <v>139</v>
      </c>
      <c r="K7" s="65" t="s">
        <v>140</v>
      </c>
      <c r="L7" s="66" t="s">
        <v>141</v>
      </c>
      <c r="M7" s="68">
        <v>1.42</v>
      </c>
      <c r="N7" s="69">
        <v>2.14</v>
      </c>
      <c r="O7" s="69">
        <v>2.44</v>
      </c>
      <c r="P7" s="69" t="s">
        <v>58</v>
      </c>
      <c r="Q7" s="70" t="s">
        <v>58</v>
      </c>
      <c r="R7" s="67" t="s">
        <v>74</v>
      </c>
      <c r="S7" s="65" t="s">
        <v>76</v>
      </c>
      <c r="T7" s="65" t="s">
        <v>129</v>
      </c>
      <c r="U7" s="65" t="s">
        <v>58</v>
      </c>
      <c r="V7" s="65" t="s">
        <v>58</v>
      </c>
      <c r="X7" s="65" t="s">
        <v>142</v>
      </c>
    </row>
    <row r="8" spans="1:24" ht="19.95" customHeight="1" x14ac:dyDescent="0.3">
      <c r="A8" s="64" t="s">
        <v>143</v>
      </c>
      <c r="B8" s="64" t="s">
        <v>144</v>
      </c>
      <c r="C8" s="64" t="s">
        <v>58</v>
      </c>
      <c r="E8" s="64" t="s">
        <v>79</v>
      </c>
      <c r="F8" s="64"/>
      <c r="G8" s="64" t="s">
        <v>58</v>
      </c>
      <c r="I8" s="65" t="s">
        <v>145</v>
      </c>
      <c r="K8" s="65" t="s">
        <v>331</v>
      </c>
      <c r="L8" s="66" t="s">
        <v>146</v>
      </c>
      <c r="M8" s="68">
        <v>0.99</v>
      </c>
      <c r="N8" s="69">
        <v>4</v>
      </c>
      <c r="O8" s="69">
        <v>4.6399999999999997</v>
      </c>
      <c r="P8" s="69" t="s">
        <v>58</v>
      </c>
      <c r="Q8" s="70" t="s">
        <v>58</v>
      </c>
      <c r="R8" s="67" t="s">
        <v>74</v>
      </c>
      <c r="S8" s="65" t="s">
        <v>147</v>
      </c>
      <c r="T8" s="65" t="s">
        <v>148</v>
      </c>
      <c r="U8" s="65" t="s">
        <v>58</v>
      </c>
      <c r="V8" s="65" t="s">
        <v>58</v>
      </c>
      <c r="X8" s="65" t="s">
        <v>149</v>
      </c>
    </row>
    <row r="9" spans="1:24" ht="19.95" customHeight="1" x14ac:dyDescent="0.3">
      <c r="A9" s="64" t="s">
        <v>72</v>
      </c>
      <c r="B9" s="64" t="s">
        <v>150</v>
      </c>
      <c r="C9" s="64" t="s">
        <v>58</v>
      </c>
      <c r="E9" s="64" t="s">
        <v>73</v>
      </c>
      <c r="F9" s="64"/>
      <c r="G9" s="64" t="s">
        <v>58</v>
      </c>
      <c r="I9" s="65" t="s">
        <v>151</v>
      </c>
      <c r="K9" s="65" t="s">
        <v>152</v>
      </c>
      <c r="L9" s="66" t="s">
        <v>153</v>
      </c>
      <c r="M9" s="68">
        <v>0.81</v>
      </c>
      <c r="N9" s="69">
        <v>3.69</v>
      </c>
      <c r="O9" s="69">
        <v>4.8</v>
      </c>
      <c r="P9" s="69" t="s">
        <v>58</v>
      </c>
      <c r="Q9" s="70" t="s">
        <v>58</v>
      </c>
      <c r="R9" s="67" t="s">
        <v>74</v>
      </c>
      <c r="S9" s="65" t="s">
        <v>154</v>
      </c>
      <c r="T9" s="65" t="s">
        <v>84</v>
      </c>
      <c r="U9" s="65" t="s">
        <v>58</v>
      </c>
      <c r="V9" s="65" t="s">
        <v>58</v>
      </c>
    </row>
    <row r="10" spans="1:24" ht="19.95" customHeight="1" x14ac:dyDescent="0.3">
      <c r="A10" s="64" t="s">
        <v>319</v>
      </c>
      <c r="B10" s="64" t="s">
        <v>329</v>
      </c>
      <c r="C10" s="64" t="s">
        <v>58</v>
      </c>
      <c r="E10" s="64" t="s">
        <v>168</v>
      </c>
      <c r="F10" s="64"/>
      <c r="G10" s="64" t="s">
        <v>58</v>
      </c>
      <c r="I10" s="65" t="s">
        <v>157</v>
      </c>
      <c r="K10" s="65" t="s">
        <v>158</v>
      </c>
      <c r="L10" s="66" t="s">
        <v>159</v>
      </c>
      <c r="M10" s="68">
        <v>0.9</v>
      </c>
      <c r="N10" s="69">
        <v>4.3099999999999996</v>
      </c>
      <c r="O10" s="69">
        <v>4.7300000000000004</v>
      </c>
      <c r="P10" s="69" t="s">
        <v>58</v>
      </c>
      <c r="Q10" s="70" t="s">
        <v>58</v>
      </c>
      <c r="R10" s="67" t="s">
        <v>74</v>
      </c>
      <c r="S10" s="65" t="s">
        <v>76</v>
      </c>
      <c r="T10" s="65" t="s">
        <v>170</v>
      </c>
      <c r="U10" s="65" t="s">
        <v>58</v>
      </c>
      <c r="V10" s="65" t="s">
        <v>58</v>
      </c>
    </row>
    <row r="11" spans="1:24" ht="19.95" customHeight="1" x14ac:dyDescent="0.3">
      <c r="A11" s="64" t="s">
        <v>320</v>
      </c>
      <c r="B11" s="64" t="s">
        <v>328</v>
      </c>
      <c r="C11" s="64" t="s">
        <v>58</v>
      </c>
      <c r="E11" s="64" t="s">
        <v>171</v>
      </c>
      <c r="F11" s="64" t="s">
        <v>144</v>
      </c>
      <c r="G11" s="64" t="s">
        <v>58</v>
      </c>
      <c r="I11" s="65" t="s">
        <v>160</v>
      </c>
      <c r="K11" s="65" t="s">
        <v>75</v>
      </c>
      <c r="L11" s="66" t="s">
        <v>161</v>
      </c>
      <c r="M11" s="68">
        <v>0.9</v>
      </c>
      <c r="N11" s="69">
        <v>4.3099999999999996</v>
      </c>
      <c r="O11" s="69">
        <v>4.7300000000000004</v>
      </c>
      <c r="P11" s="69" t="s">
        <v>58</v>
      </c>
      <c r="Q11" s="70" t="s">
        <v>58</v>
      </c>
      <c r="R11" s="67" t="s">
        <v>74</v>
      </c>
      <c r="S11" s="65" t="s">
        <v>76</v>
      </c>
      <c r="T11" s="65" t="s">
        <v>170</v>
      </c>
      <c r="U11" s="65" t="s">
        <v>58</v>
      </c>
      <c r="V11" s="65" t="s">
        <v>58</v>
      </c>
    </row>
    <row r="12" spans="1:24" ht="19.95" customHeight="1" x14ac:dyDescent="0.3">
      <c r="A12" s="64" t="s">
        <v>62</v>
      </c>
      <c r="B12" s="64" t="s">
        <v>155</v>
      </c>
      <c r="C12" s="64">
        <v>120</v>
      </c>
      <c r="E12" s="64" t="s">
        <v>317</v>
      </c>
      <c r="F12" s="64"/>
      <c r="G12" s="64">
        <v>30</v>
      </c>
      <c r="K12" s="65" t="s">
        <v>163</v>
      </c>
      <c r="L12" s="66" t="s">
        <v>164</v>
      </c>
      <c r="M12" s="68">
        <v>0.94</v>
      </c>
      <c r="N12" s="69">
        <v>5.4</v>
      </c>
      <c r="O12" s="69">
        <v>6.25</v>
      </c>
      <c r="P12" s="69" t="s">
        <v>58</v>
      </c>
      <c r="Q12" s="70" t="s">
        <v>58</v>
      </c>
      <c r="R12" s="67" t="s">
        <v>74</v>
      </c>
      <c r="S12" s="65" t="s">
        <v>165</v>
      </c>
      <c r="T12" s="65" t="s">
        <v>129</v>
      </c>
      <c r="U12" s="65" t="s">
        <v>58</v>
      </c>
      <c r="V12" s="65" t="s">
        <v>58</v>
      </c>
    </row>
    <row r="13" spans="1:24" ht="19.95" customHeight="1" x14ac:dyDescent="0.3">
      <c r="A13" s="64" t="s">
        <v>77</v>
      </c>
      <c r="B13" s="64" t="s">
        <v>155</v>
      </c>
      <c r="C13" s="64">
        <v>60</v>
      </c>
      <c r="E13" s="64" t="s">
        <v>318</v>
      </c>
      <c r="F13" s="64"/>
      <c r="G13" s="64">
        <v>45</v>
      </c>
      <c r="K13" s="65" t="s">
        <v>80</v>
      </c>
      <c r="L13" s="66" t="s">
        <v>169</v>
      </c>
      <c r="M13" s="68">
        <v>1.73</v>
      </c>
      <c r="N13" s="69">
        <v>6</v>
      </c>
      <c r="O13" s="69">
        <v>6.6</v>
      </c>
      <c r="P13" s="69" t="s">
        <v>58</v>
      </c>
      <c r="Q13" s="70" t="s">
        <v>58</v>
      </c>
      <c r="R13" s="67" t="s">
        <v>74</v>
      </c>
      <c r="S13" s="65" t="s">
        <v>81</v>
      </c>
      <c r="T13" s="65" t="s">
        <v>330</v>
      </c>
      <c r="U13" s="65" t="s">
        <v>58</v>
      </c>
      <c r="V13" s="65" t="s">
        <v>58</v>
      </c>
    </row>
    <row r="14" spans="1:24" ht="19.95" customHeight="1" x14ac:dyDescent="0.3">
      <c r="A14" s="146" t="s">
        <v>66</v>
      </c>
      <c r="B14" s="146" t="s">
        <v>162</v>
      </c>
      <c r="C14" s="64" t="s">
        <v>58</v>
      </c>
      <c r="E14" s="64" t="s">
        <v>137</v>
      </c>
      <c r="F14" s="64" t="s">
        <v>325</v>
      </c>
      <c r="G14" s="64" t="s">
        <v>58</v>
      </c>
      <c r="K14" s="65" t="s">
        <v>172</v>
      </c>
      <c r="L14" s="66" t="s">
        <v>173</v>
      </c>
      <c r="M14" s="71">
        <v>1.3</v>
      </c>
      <c r="N14" s="69">
        <v>5.68</v>
      </c>
      <c r="O14" s="69">
        <v>6.2</v>
      </c>
      <c r="P14" s="69" t="s">
        <v>58</v>
      </c>
      <c r="Q14" s="70" t="s">
        <v>58</v>
      </c>
      <c r="R14" s="67" t="s">
        <v>74</v>
      </c>
      <c r="S14" s="65" t="s">
        <v>154</v>
      </c>
      <c r="T14" s="65" t="s">
        <v>174</v>
      </c>
      <c r="U14" s="65" t="s">
        <v>58</v>
      </c>
      <c r="V14" s="65" t="s">
        <v>58</v>
      </c>
    </row>
    <row r="15" spans="1:24" ht="19.95" customHeight="1" x14ac:dyDescent="0.3">
      <c r="A15" s="146" t="s">
        <v>166</v>
      </c>
      <c r="B15" s="146" t="s">
        <v>167</v>
      </c>
      <c r="C15" s="64" t="s">
        <v>58</v>
      </c>
      <c r="E15" s="64" t="s">
        <v>326</v>
      </c>
      <c r="F15" s="64"/>
      <c r="G15" s="64">
        <v>30</v>
      </c>
      <c r="K15" s="65" t="s">
        <v>175</v>
      </c>
      <c r="L15" s="66" t="s">
        <v>176</v>
      </c>
      <c r="M15" s="68">
        <v>1.9</v>
      </c>
      <c r="N15" s="69">
        <v>8</v>
      </c>
      <c r="O15" s="69">
        <v>8.5</v>
      </c>
      <c r="P15" s="69" t="s">
        <v>58</v>
      </c>
      <c r="Q15" s="70" t="s">
        <v>58</v>
      </c>
      <c r="R15" s="67" t="s">
        <v>74</v>
      </c>
      <c r="S15" s="65" t="s">
        <v>81</v>
      </c>
      <c r="T15" s="65" t="s">
        <v>177</v>
      </c>
      <c r="U15" s="65" t="s">
        <v>58</v>
      </c>
      <c r="V15" s="65" t="s">
        <v>58</v>
      </c>
    </row>
    <row r="16" spans="1:24" ht="19.95" customHeight="1" x14ac:dyDescent="0.3">
      <c r="E16" s="64" t="s">
        <v>327</v>
      </c>
      <c r="F16" s="64"/>
      <c r="G16" s="64">
        <v>30</v>
      </c>
      <c r="K16" s="65" t="s">
        <v>82</v>
      </c>
      <c r="L16" s="66" t="s">
        <v>179</v>
      </c>
      <c r="M16" s="68">
        <v>1.67</v>
      </c>
      <c r="N16" s="69">
        <v>7.3</v>
      </c>
      <c r="O16" s="69">
        <v>8.52</v>
      </c>
      <c r="P16" s="69" t="s">
        <v>58</v>
      </c>
      <c r="Q16" s="70" t="s">
        <v>58</v>
      </c>
      <c r="R16" s="67" t="s">
        <v>74</v>
      </c>
      <c r="S16" s="65" t="s">
        <v>83</v>
      </c>
      <c r="T16" s="65" t="s">
        <v>84</v>
      </c>
      <c r="U16" s="65" t="s">
        <v>58</v>
      </c>
      <c r="V16" s="65" t="s">
        <v>58</v>
      </c>
      <c r="W16" s="72"/>
    </row>
    <row r="17" spans="5:22" ht="19.95" customHeight="1" x14ac:dyDescent="0.3">
      <c r="E17" s="64" t="s">
        <v>104</v>
      </c>
      <c r="F17" s="64"/>
      <c r="G17" s="64">
        <v>60</v>
      </c>
      <c r="K17" s="73" t="s">
        <v>87</v>
      </c>
      <c r="L17" s="66" t="s">
        <v>180</v>
      </c>
      <c r="M17" s="68">
        <v>2.33</v>
      </c>
      <c r="N17" s="74">
        <v>9</v>
      </c>
      <c r="O17" s="74">
        <v>10</v>
      </c>
      <c r="P17" s="74">
        <v>11</v>
      </c>
      <c r="Q17" s="75">
        <v>12</v>
      </c>
      <c r="R17" s="67" t="s">
        <v>86</v>
      </c>
      <c r="S17" s="65" t="s">
        <v>88</v>
      </c>
      <c r="T17" s="65" t="s">
        <v>90</v>
      </c>
      <c r="U17" s="65" t="s">
        <v>91</v>
      </c>
      <c r="V17" s="65" t="s">
        <v>92</v>
      </c>
    </row>
    <row r="18" spans="5:22" ht="19.95" customHeight="1" x14ac:dyDescent="0.3">
      <c r="E18" s="64" t="s">
        <v>178</v>
      </c>
      <c r="F18" s="64" t="s">
        <v>133</v>
      </c>
      <c r="G18" s="64" t="s">
        <v>58</v>
      </c>
      <c r="K18" s="72"/>
      <c r="L18" s="72"/>
    </row>
    <row r="19" spans="5:22" ht="19.95" customHeight="1" x14ac:dyDescent="0.3">
      <c r="E19" s="64" t="s">
        <v>59</v>
      </c>
      <c r="F19" s="64" t="s">
        <v>181</v>
      </c>
      <c r="G19" s="64" t="s">
        <v>58</v>
      </c>
      <c r="K19" s="72" t="s">
        <v>182</v>
      </c>
      <c r="L19" s="72"/>
    </row>
    <row r="20" spans="5:22" ht="19.95" customHeight="1" x14ac:dyDescent="0.3">
      <c r="E20" s="64" t="s">
        <v>67</v>
      </c>
      <c r="F20" s="64"/>
      <c r="G20" s="64">
        <v>30</v>
      </c>
      <c r="K20" s="72" t="s">
        <v>183</v>
      </c>
      <c r="L20" s="72"/>
    </row>
    <row r="21" spans="5:22" ht="19.95" customHeight="1" x14ac:dyDescent="0.3">
      <c r="E21" s="64" t="s">
        <v>184</v>
      </c>
      <c r="F21" s="64" t="s">
        <v>185</v>
      </c>
      <c r="G21" s="64" t="s">
        <v>58</v>
      </c>
      <c r="K21" s="72"/>
      <c r="L21" s="72"/>
    </row>
    <row r="22" spans="5:22" ht="19.95" customHeight="1" x14ac:dyDescent="0.3">
      <c r="E22" s="64" t="s">
        <v>186</v>
      </c>
      <c r="F22" s="64" t="s">
        <v>187</v>
      </c>
      <c r="G22" s="64">
        <f>5*60</f>
        <v>300</v>
      </c>
      <c r="K22" s="72"/>
      <c r="L22" s="72"/>
    </row>
    <row r="23" spans="5:22" ht="19.95" customHeight="1" x14ac:dyDescent="0.3">
      <c r="E23" s="64" t="s">
        <v>188</v>
      </c>
      <c r="F23" s="64" t="s">
        <v>189</v>
      </c>
      <c r="G23" s="64">
        <v>300</v>
      </c>
      <c r="K23" s="72"/>
      <c r="L23" s="72"/>
    </row>
    <row r="24" spans="5:22" ht="19.95" customHeight="1" x14ac:dyDescent="0.3">
      <c r="E24" s="64" t="s">
        <v>190</v>
      </c>
      <c r="F24" s="64"/>
      <c r="G24" s="64" t="s">
        <v>58</v>
      </c>
      <c r="K24" s="72"/>
      <c r="L24" s="72"/>
    </row>
    <row r="25" spans="5:22" ht="19.95" customHeight="1" x14ac:dyDescent="0.3">
      <c r="E25" s="64" t="s">
        <v>191</v>
      </c>
      <c r="F25" s="64"/>
      <c r="G25" s="64" t="s">
        <v>58</v>
      </c>
      <c r="K25" s="72"/>
      <c r="L25" s="72"/>
    </row>
    <row r="26" spans="5:22" ht="19.95" customHeight="1" x14ac:dyDescent="0.3">
      <c r="E26" s="54" t="s">
        <v>192</v>
      </c>
      <c r="K26" s="72"/>
      <c r="L26" s="72"/>
    </row>
    <row r="27" spans="5:22" ht="19.95" customHeight="1" x14ac:dyDescent="0.3">
      <c r="K27" s="72"/>
      <c r="L27" s="72"/>
    </row>
    <row r="28" spans="5:22" ht="19.95" customHeight="1" x14ac:dyDescent="0.3">
      <c r="K28" s="72"/>
      <c r="L28" s="72"/>
    </row>
    <row r="29" spans="5:22" ht="19.95" customHeight="1" x14ac:dyDescent="0.3">
      <c r="K29" s="72"/>
      <c r="L29" s="72"/>
    </row>
    <row r="30" spans="5:22" ht="19.95" customHeight="1" x14ac:dyDescent="0.3">
      <c r="K30" s="72"/>
      <c r="L30" s="72"/>
    </row>
    <row r="31" spans="5:22" ht="19.95" customHeight="1" x14ac:dyDescent="0.3">
      <c r="K31" s="72"/>
      <c r="L31" s="72"/>
    </row>
    <row r="32" spans="5:22" ht="19.95" customHeight="1" x14ac:dyDescent="0.3">
      <c r="K32" s="72"/>
      <c r="L32" s="72"/>
    </row>
    <row r="33" spans="11:12" ht="19.95" customHeight="1" x14ac:dyDescent="0.3">
      <c r="K33" s="72"/>
      <c r="L33" s="72"/>
    </row>
    <row r="34" spans="11:12" ht="19.95" customHeight="1" x14ac:dyDescent="0.3">
      <c r="K34" s="72"/>
      <c r="L34" s="72"/>
    </row>
    <row r="35" spans="11:12" ht="19.95" customHeight="1" x14ac:dyDescent="0.3">
      <c r="K35" s="72"/>
      <c r="L35" s="72"/>
    </row>
    <row r="36" spans="11:12" ht="19.95" customHeight="1" x14ac:dyDescent="0.3">
      <c r="K36" s="72"/>
      <c r="L36" s="72"/>
    </row>
    <row r="37" spans="11:12" ht="19.95" customHeight="1" x14ac:dyDescent="0.3">
      <c r="K37" s="72"/>
      <c r="L37" s="72"/>
    </row>
    <row r="38" spans="11:12" ht="19.95" customHeight="1" x14ac:dyDescent="0.3">
      <c r="K38" s="72"/>
      <c r="L38" s="72"/>
    </row>
    <row r="39" spans="11:12" ht="19.95" customHeight="1" x14ac:dyDescent="0.3">
      <c r="K39" s="72"/>
      <c r="L39" s="72"/>
    </row>
    <row r="40" spans="11:12" ht="19.95" customHeight="1" x14ac:dyDescent="0.3">
      <c r="K40" s="72"/>
      <c r="L40" s="72"/>
    </row>
    <row r="41" spans="11:12" ht="19.95" customHeight="1" x14ac:dyDescent="0.3">
      <c r="K41" s="72"/>
      <c r="L41" s="72"/>
    </row>
    <row r="42" spans="11:12" ht="19.95" customHeight="1" x14ac:dyDescent="0.3">
      <c r="K42" s="72"/>
      <c r="L42" s="72"/>
    </row>
    <row r="43" spans="11:12" ht="19.95" customHeight="1" x14ac:dyDescent="0.3">
      <c r="K43" s="72"/>
      <c r="L43" s="72"/>
    </row>
    <row r="44" spans="11:12" ht="19.95" customHeight="1" x14ac:dyDescent="0.3">
      <c r="K44" s="72"/>
      <c r="L44" s="72"/>
    </row>
    <row r="45" spans="11:12" ht="19.95" customHeight="1" x14ac:dyDescent="0.3">
      <c r="K45" s="72"/>
      <c r="L45" s="72"/>
    </row>
    <row r="46" spans="11:12" ht="19.95" customHeight="1" x14ac:dyDescent="0.3">
      <c r="K46" s="72"/>
      <c r="L46" s="72"/>
    </row>
    <row r="47" spans="11:12" ht="19.95" customHeight="1" x14ac:dyDescent="0.3">
      <c r="K47" s="72"/>
      <c r="L47" s="72"/>
    </row>
    <row r="48" spans="11:12" ht="19.95" customHeight="1" x14ac:dyDescent="0.3">
      <c r="K48" s="72"/>
      <c r="L48" s="72"/>
    </row>
  </sheetData>
  <sortState xmlns:xlrd2="http://schemas.microsoft.com/office/spreadsheetml/2017/richdata2" ref="A5:C15">
    <sortCondition ref="A4"/>
  </sortState>
  <mergeCells count="5">
    <mergeCell ref="A2:C2"/>
    <mergeCell ref="E2:G2"/>
    <mergeCell ref="K2:L2"/>
    <mergeCell ref="M2:Q2"/>
    <mergeCell ref="R2:V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pageSetUpPr fitToPage="1"/>
  </sheetPr>
  <dimension ref="B1:M18"/>
  <sheetViews>
    <sheetView showGridLines="0" zoomScale="70" zoomScaleNormal="70" workbookViewId="0">
      <selection activeCell="F16" sqref="F16"/>
    </sheetView>
  </sheetViews>
  <sheetFormatPr defaultColWidth="8.88671875" defaultRowHeight="21" x14ac:dyDescent="0.3"/>
  <cols>
    <col min="1" max="1" width="1.6640625" style="37" customWidth="1"/>
    <col min="2" max="2" width="23.77734375" style="37" customWidth="1"/>
    <col min="3" max="3" width="7.6640625" style="145" bestFit="1" customWidth="1"/>
    <col min="4" max="4" width="9.44140625" style="145" bestFit="1" customWidth="1"/>
    <col min="5" max="5" width="13.109375" style="145" bestFit="1" customWidth="1"/>
    <col min="6" max="7" width="42.44140625" style="45" customWidth="1"/>
    <col min="8" max="9" width="25" style="45" customWidth="1"/>
    <col min="10" max="10" width="25" style="145" customWidth="1"/>
    <col min="11" max="11" width="25" style="45" customWidth="1"/>
    <col min="12" max="12" width="39.77734375" style="145" customWidth="1"/>
    <col min="13" max="13" width="17.6640625" style="37" customWidth="1"/>
    <col min="14" max="16384" width="8.88671875" style="37"/>
  </cols>
  <sheetData>
    <row r="1" spans="2:13" s="112" customFormat="1" ht="49.2" customHeight="1" x14ac:dyDescent="0.3">
      <c r="B1" s="109" t="s">
        <v>307</v>
      </c>
      <c r="C1" s="215" t="str">
        <f>LEFT(Description!C9,10)&amp;" - "&amp;LEFT(Description!C3,256)</f>
        <v>IV2_Seq9 - Simulated pre-pump thrombosis in glucose solution</v>
      </c>
      <c r="D1" s="215"/>
      <c r="E1" s="215"/>
      <c r="F1" s="215"/>
      <c r="G1" s="215"/>
      <c r="H1" s="215"/>
      <c r="I1" s="215"/>
      <c r="J1" s="215"/>
      <c r="K1" s="215"/>
      <c r="L1" s="110" t="s">
        <v>308</v>
      </c>
      <c r="M1" s="111"/>
    </row>
    <row r="2" spans="2:13" s="113" customFormat="1" ht="21.6" customHeight="1" x14ac:dyDescent="0.3">
      <c r="C2" s="201" t="s">
        <v>247</v>
      </c>
      <c r="D2" s="201"/>
      <c r="E2" s="114" t="s">
        <v>4</v>
      </c>
      <c r="F2" s="216" t="s">
        <v>309</v>
      </c>
      <c r="G2" s="216"/>
      <c r="H2" s="216"/>
      <c r="I2" s="216"/>
      <c r="J2" s="217" t="s">
        <v>6</v>
      </c>
      <c r="K2" s="218"/>
      <c r="L2" s="115"/>
    </row>
    <row r="3" spans="2:13" s="124" customFormat="1" ht="30" customHeight="1" x14ac:dyDescent="0.4">
      <c r="B3" s="116" t="s">
        <v>310</v>
      </c>
      <c r="C3" s="117" t="s">
        <v>31</v>
      </c>
      <c r="D3" s="118" t="s">
        <v>30</v>
      </c>
      <c r="E3" s="119" t="s">
        <v>31</v>
      </c>
      <c r="F3" s="120" t="s">
        <v>311</v>
      </c>
      <c r="G3" s="120" t="s">
        <v>312</v>
      </c>
      <c r="H3" s="121" t="s">
        <v>38</v>
      </c>
      <c r="I3" s="121" t="s">
        <v>39</v>
      </c>
      <c r="J3" s="122" t="s">
        <v>313</v>
      </c>
      <c r="K3" s="122" t="s">
        <v>41</v>
      </c>
      <c r="L3" s="123" t="s">
        <v>260</v>
      </c>
    </row>
    <row r="4" spans="2:13" s="133" customFormat="1" ht="23.4" customHeight="1" x14ac:dyDescent="0.3">
      <c r="B4" s="125" t="s">
        <v>314</v>
      </c>
      <c r="C4" s="126" t="s">
        <v>54</v>
      </c>
      <c r="D4" s="127" t="s">
        <v>56</v>
      </c>
      <c r="E4" s="128" t="s">
        <v>54</v>
      </c>
      <c r="F4" s="129" t="s">
        <v>315</v>
      </c>
      <c r="G4" s="129" t="s">
        <v>315</v>
      </c>
      <c r="H4" s="130" t="s">
        <v>57</v>
      </c>
      <c r="I4" s="130" t="s">
        <v>316</v>
      </c>
      <c r="J4" s="128" t="s">
        <v>54</v>
      </c>
      <c r="K4" s="131" t="s">
        <v>53</v>
      </c>
      <c r="L4" s="132"/>
    </row>
    <row r="5" spans="2:13" ht="59.4" customHeight="1" x14ac:dyDescent="0.3">
      <c r="B5" s="134"/>
      <c r="C5" s="135"/>
      <c r="D5" s="136"/>
      <c r="E5" s="136"/>
      <c r="F5" s="137"/>
      <c r="G5" s="137"/>
      <c r="H5" s="137"/>
      <c r="I5" s="137"/>
      <c r="J5" s="136"/>
      <c r="K5" s="138"/>
      <c r="L5" s="139"/>
    </row>
    <row r="6" spans="2:13" ht="59.4" customHeight="1" x14ac:dyDescent="0.3">
      <c r="B6" s="140"/>
      <c r="C6" s="135"/>
      <c r="D6" s="135"/>
      <c r="E6" s="135"/>
      <c r="F6" s="141"/>
      <c r="G6" s="141"/>
      <c r="H6" s="141"/>
      <c r="I6" s="141"/>
      <c r="J6" s="135"/>
      <c r="K6" s="142"/>
      <c r="L6" s="139"/>
    </row>
    <row r="7" spans="2:13" ht="59.4" customHeight="1" x14ac:dyDescent="0.3">
      <c r="B7" s="140"/>
      <c r="C7" s="135"/>
      <c r="D7" s="135"/>
      <c r="E7" s="135"/>
      <c r="F7" s="141"/>
      <c r="G7" s="141"/>
      <c r="H7" s="141"/>
      <c r="I7" s="141"/>
      <c r="J7" s="135"/>
      <c r="K7" s="142"/>
      <c r="L7" s="143"/>
    </row>
    <row r="8" spans="2:13" ht="59.4" customHeight="1" x14ac:dyDescent="0.3">
      <c r="B8" s="140"/>
      <c r="C8" s="135"/>
      <c r="D8" s="135"/>
      <c r="E8" s="135"/>
      <c r="F8" s="141"/>
      <c r="G8" s="141"/>
      <c r="H8" s="141"/>
      <c r="I8" s="141"/>
      <c r="J8" s="135"/>
      <c r="K8" s="142"/>
      <c r="L8" s="139"/>
    </row>
    <row r="9" spans="2:13" ht="59.4" customHeight="1" x14ac:dyDescent="0.3">
      <c r="B9" s="140"/>
      <c r="C9" s="135"/>
      <c r="D9" s="135"/>
      <c r="E9" s="135"/>
      <c r="F9" s="141"/>
      <c r="G9" s="141"/>
      <c r="H9" s="141"/>
      <c r="I9" s="141"/>
      <c r="J9" s="135"/>
      <c r="K9" s="142"/>
      <c r="L9" s="139"/>
    </row>
    <row r="10" spans="2:13" ht="59.4" customHeight="1" x14ac:dyDescent="0.3">
      <c r="B10" s="144"/>
      <c r="C10" s="135"/>
      <c r="D10" s="136"/>
      <c r="E10" s="136"/>
      <c r="F10" s="141"/>
      <c r="G10" s="137"/>
      <c r="H10" s="137"/>
      <c r="I10" s="137"/>
      <c r="J10" s="136"/>
      <c r="K10" s="138"/>
      <c r="L10" s="139"/>
    </row>
    <row r="11" spans="2:13" ht="59.4" customHeight="1" x14ac:dyDescent="0.3">
      <c r="B11" s="140"/>
      <c r="C11" s="135"/>
      <c r="D11" s="135"/>
      <c r="E11" s="135"/>
      <c r="F11" s="141"/>
      <c r="G11" s="141"/>
      <c r="H11" s="141"/>
      <c r="I11" s="141"/>
      <c r="J11" s="135"/>
      <c r="K11" s="142"/>
      <c r="L11" s="139"/>
    </row>
    <row r="12" spans="2:13" ht="59.4" customHeight="1" x14ac:dyDescent="0.3">
      <c r="B12" s="140"/>
      <c r="C12" s="135"/>
      <c r="D12" s="135"/>
      <c r="E12" s="135"/>
      <c r="F12" s="141"/>
      <c r="G12" s="141"/>
      <c r="H12" s="141"/>
      <c r="I12" s="141"/>
      <c r="J12" s="135"/>
      <c r="K12" s="142"/>
      <c r="L12" s="139"/>
    </row>
    <row r="13" spans="2:13" ht="59.4" customHeight="1" x14ac:dyDescent="0.3">
      <c r="B13" s="140"/>
      <c r="C13" s="135"/>
      <c r="D13" s="135"/>
      <c r="E13" s="135"/>
      <c r="F13" s="141"/>
      <c r="G13" s="141"/>
      <c r="H13" s="141"/>
      <c r="I13" s="141"/>
      <c r="J13" s="135"/>
      <c r="K13" s="142"/>
      <c r="L13" s="139"/>
    </row>
    <row r="14" spans="2:13" ht="59.4" customHeight="1" x14ac:dyDescent="0.3">
      <c r="B14" s="140"/>
      <c r="C14" s="135"/>
      <c r="D14" s="135"/>
      <c r="E14" s="135"/>
      <c r="F14" s="141"/>
      <c r="G14" s="141"/>
      <c r="H14" s="141"/>
      <c r="I14" s="141"/>
      <c r="J14" s="135"/>
      <c r="K14" s="142"/>
      <c r="L14" s="139"/>
    </row>
    <row r="15" spans="2:13" ht="59.4" customHeight="1" x14ac:dyDescent="0.3">
      <c r="B15" s="140"/>
      <c r="C15" s="135"/>
      <c r="D15" s="135"/>
      <c r="E15" s="135"/>
      <c r="F15" s="141"/>
      <c r="G15" s="141"/>
      <c r="H15" s="141"/>
      <c r="I15" s="141"/>
      <c r="J15" s="135"/>
      <c r="K15" s="142"/>
      <c r="L15" s="139"/>
    </row>
    <row r="16" spans="2:13" ht="59.4" customHeight="1" x14ac:dyDescent="0.3">
      <c r="B16" s="140"/>
      <c r="C16" s="135"/>
      <c r="D16" s="135"/>
      <c r="E16" s="135"/>
      <c r="F16" s="141"/>
      <c r="G16" s="141"/>
      <c r="H16" s="141"/>
      <c r="I16" s="141"/>
      <c r="J16" s="135"/>
      <c r="K16" s="142"/>
      <c r="L16" s="139"/>
    </row>
    <row r="17" spans="2:12" ht="59.4" customHeight="1" x14ac:dyDescent="0.3">
      <c r="B17" s="140"/>
      <c r="C17" s="135"/>
      <c r="D17" s="135"/>
      <c r="E17" s="135"/>
      <c r="F17" s="141"/>
      <c r="G17" s="141"/>
      <c r="H17" s="141"/>
      <c r="I17" s="141"/>
      <c r="J17" s="135"/>
      <c r="K17" s="142"/>
      <c r="L17" s="139"/>
    </row>
    <row r="18" spans="2:12" ht="59.4" customHeight="1" x14ac:dyDescent="0.3">
      <c r="B18" s="140"/>
      <c r="C18" s="135"/>
      <c r="D18" s="135"/>
      <c r="E18" s="135"/>
      <c r="F18" s="141"/>
      <c r="G18" s="141"/>
      <c r="H18" s="141"/>
      <c r="I18" s="141"/>
      <c r="J18" s="135"/>
      <c r="K18" s="142"/>
      <c r="L18" s="139"/>
    </row>
  </sheetData>
  <mergeCells count="4">
    <mergeCell ref="C1:K1"/>
    <mergeCell ref="C2:D2"/>
    <mergeCell ref="F2:I2"/>
    <mergeCell ref="J2:K2"/>
  </mergeCells>
  <pageMargins left="0.25" right="0.25" top="0.75" bottom="0.75" header="0.3" footer="0.3"/>
  <pageSetup paperSize="9" scale="5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04"/>
    <col min="2" max="2" width="111" style="106" customWidth="1"/>
    <col min="3" max="16384" width="8.88671875" style="76"/>
  </cols>
  <sheetData>
    <row r="2" spans="1:2" x14ac:dyDescent="0.3">
      <c r="B2" s="105" t="s">
        <v>293</v>
      </c>
    </row>
    <row r="3" spans="1:2" x14ac:dyDescent="0.3">
      <c r="A3" s="104">
        <v>3.1</v>
      </c>
      <c r="B3" s="106" t="s">
        <v>294</v>
      </c>
    </row>
    <row r="4" spans="1:2" x14ac:dyDescent="0.3">
      <c r="B4" s="106" t="s">
        <v>321</v>
      </c>
    </row>
    <row r="6" spans="1:2" x14ac:dyDescent="0.3">
      <c r="B6" s="105" t="s">
        <v>295</v>
      </c>
    </row>
    <row r="7" spans="1:2" x14ac:dyDescent="0.3">
      <c r="A7" s="104">
        <v>4.0999999999999996</v>
      </c>
      <c r="B7" s="106" t="s">
        <v>296</v>
      </c>
    </row>
    <row r="8" spans="1:2" x14ac:dyDescent="0.3">
      <c r="A8" s="104">
        <v>4.2</v>
      </c>
      <c r="B8" s="106" t="s">
        <v>297</v>
      </c>
    </row>
    <row r="9" spans="1:2" x14ac:dyDescent="0.3">
      <c r="A9" s="104">
        <v>4.3</v>
      </c>
      <c r="B9" s="106" t="s">
        <v>298</v>
      </c>
    </row>
    <row r="11" spans="1:2" ht="31.2" x14ac:dyDescent="0.3">
      <c r="B11" s="106" t="s">
        <v>299</v>
      </c>
    </row>
    <row r="13" spans="1:2" x14ac:dyDescent="0.3">
      <c r="B13" s="106" t="s">
        <v>300</v>
      </c>
    </row>
    <row r="15" spans="1:2" ht="46.8" x14ac:dyDescent="0.3">
      <c r="B15" s="106" t="s">
        <v>301</v>
      </c>
    </row>
    <row r="17" spans="1:2" x14ac:dyDescent="0.3">
      <c r="B17" s="105" t="s">
        <v>302</v>
      </c>
    </row>
    <row r="18" spans="1:2" x14ac:dyDescent="0.3">
      <c r="A18" s="104">
        <v>5.0999999999999996</v>
      </c>
      <c r="B18" s="106" t="s">
        <v>303</v>
      </c>
    </row>
    <row r="20" spans="1:2" x14ac:dyDescent="0.3">
      <c r="B20" s="107" t="s">
        <v>304</v>
      </c>
    </row>
    <row r="21" spans="1:2" ht="31.2" x14ac:dyDescent="0.3">
      <c r="B21" s="108" t="s">
        <v>305</v>
      </c>
    </row>
    <row r="22" spans="1:2" x14ac:dyDescent="0.3">
      <c r="B22" s="108" t="s">
        <v>306</v>
      </c>
    </row>
    <row r="24" spans="1:2" x14ac:dyDescent="0.3">
      <c r="B24" s="105" t="s">
        <v>322</v>
      </c>
    </row>
    <row r="25" spans="1:2" ht="31.2" x14ac:dyDescent="0.3">
      <c r="B25" s="106" t="s">
        <v>323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Recording notes</vt:lpstr>
      <vt:lpstr>Procedures</vt:lpstr>
      <vt:lpstr>Description</vt:lpstr>
      <vt:lpstr>Categories</vt:lpstr>
      <vt:lpstr>Hand notes scheme</vt:lpstr>
      <vt:lpstr>Usage</vt:lpstr>
      <vt:lpstr>Controlled_VarNames</vt:lpstr>
      <vt:lpstr>Experiment_Info</vt:lpstr>
      <vt:lpstr>Header_VarNames</vt:lpstr>
      <vt:lpstr>Header_VarUnits</vt:lpstr>
      <vt:lpstr>Measured_VarNames</vt:lpstr>
      <vt:lpstr>Notes</vt:lpstr>
      <vt:lpstr>'Recording notes'!Print_Titles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2020-09-03T13:09:55Z</dcterms:modified>
</cp:coreProperties>
</file>