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threadedComments/threadedComment3.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codeName="ThisWorkbook" defaultThemeVersion="166925"/>
  <mc:AlternateContent xmlns:mc="http://schemas.openxmlformats.org/markup-compatibility/2006">
    <mc:Choice Requires="x15">
      <x15ac:absPath xmlns:x15ac="http://schemas.microsoft.com/office/spreadsheetml/2010/11/ac" url="C:\Data\IVS\Didrik\IV2 - Simulated pre-pump thrombosis in 5pst glucose\Seq7 - LVAD1\Noted\"/>
    </mc:Choice>
  </mc:AlternateContent>
  <xr:revisionPtr revIDLastSave="0" documentId="13_ncr:1_{D2C1BBB6-C476-4B49-B85C-4E148F749661}" xr6:coauthVersionLast="45" xr6:coauthVersionMax="45" xr10:uidLastSave="{00000000-0000-0000-0000-000000000000}"/>
  <bookViews>
    <workbookView xWindow="-108" yWindow="-108" windowWidth="23256" windowHeight="12720" xr2:uid="{00000000-000D-0000-FFFF-FFFF00000000}"/>
  </bookViews>
  <sheets>
    <sheet name="Recording notes" sheetId="1" r:id="rId1"/>
    <sheet name="Procedures" sheetId="9" r:id="rId2"/>
    <sheet name="Description" sheetId="17" r:id="rId3"/>
    <sheet name="Hand notes scheme" sheetId="10" state="hidden" r:id="rId4"/>
    <sheet name="Categories" sheetId="16" r:id="rId5"/>
    <sheet name="Usage" sheetId="18" r:id="rId6"/>
  </sheets>
  <externalReferences>
    <externalReference r:id="rId7"/>
  </externalReferences>
  <definedNames>
    <definedName name="Controlled_VarNames">'Recording notes'!$I$2:$R$2</definedName>
    <definedName name="Equipment" localSheetId="3">#REF!</definedName>
    <definedName name="Header_VarNames" comment="Define which row that contains header info. The whole row is used, due to flexibility purposes">'Recording notes'!$A$2:$Y$2</definedName>
    <definedName name="Header_VarUnits">'Recording notes'!$A$3:$Y$3</definedName>
    <definedName name="Measured_VarNames">'Recording notes'!$S$2:$X$2</definedName>
    <definedName name="Notes" comment="Rectangular area for the notes made, to make it easy and robust for importing notes to e.g. Matlab">'Recording notes'!$A$4:$Y$321</definedName>
    <definedName name="_xlnm.Print_Titles" localSheetId="3">'Hand notes scheme'!$1:$4</definedName>
    <definedName name="_xlnm.Print_Titles" localSheetId="0">'Recording notes'!$2:$3</definedName>
    <definedName name="Sequence_General_Info" localSheetId="3">Description!$B$9:$C$10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26" i="1" l="1"/>
  <c r="P16" i="1"/>
  <c r="M16" i="1"/>
  <c r="L16" i="1"/>
  <c r="D16" i="1"/>
  <c r="M301" i="1" l="1"/>
  <c r="L301" i="1"/>
  <c r="D301" i="1"/>
  <c r="M300" i="1"/>
  <c r="L300" i="1"/>
  <c r="D300" i="1"/>
  <c r="M299" i="1"/>
  <c r="L299" i="1"/>
  <c r="D299" i="1"/>
  <c r="M298" i="1"/>
  <c r="L298" i="1"/>
  <c r="D298" i="1"/>
  <c r="M297" i="1"/>
  <c r="L297" i="1"/>
  <c r="D297" i="1"/>
  <c r="M296" i="1"/>
  <c r="L296" i="1"/>
  <c r="D296" i="1"/>
  <c r="M295" i="1"/>
  <c r="L295" i="1"/>
  <c r="D295" i="1"/>
  <c r="M294" i="1"/>
  <c r="L294" i="1"/>
  <c r="D294" i="1"/>
  <c r="M293" i="1"/>
  <c r="L293" i="1"/>
  <c r="D293" i="1"/>
  <c r="M292" i="1"/>
  <c r="L292" i="1"/>
  <c r="D292" i="1"/>
  <c r="M291" i="1"/>
  <c r="L291" i="1"/>
  <c r="D291" i="1"/>
  <c r="M290" i="1"/>
  <c r="L290" i="1"/>
  <c r="D290" i="1"/>
  <c r="M289" i="1"/>
  <c r="L289" i="1"/>
  <c r="D289" i="1"/>
  <c r="M288" i="1"/>
  <c r="L288" i="1"/>
  <c r="D288" i="1"/>
  <c r="M287" i="1"/>
  <c r="L287" i="1"/>
  <c r="D287" i="1"/>
  <c r="M286" i="1"/>
  <c r="L286" i="1"/>
  <c r="D286" i="1"/>
  <c r="M285" i="1"/>
  <c r="L285" i="1"/>
  <c r="D285" i="1"/>
  <c r="M284" i="1"/>
  <c r="L284" i="1"/>
  <c r="D284" i="1"/>
  <c r="M283" i="1"/>
  <c r="L283" i="1"/>
  <c r="D283" i="1"/>
  <c r="M282" i="1"/>
  <c r="L282" i="1"/>
  <c r="D282" i="1"/>
  <c r="M281" i="1"/>
  <c r="L281" i="1"/>
  <c r="D281" i="1"/>
  <c r="M280" i="1"/>
  <c r="L280" i="1"/>
  <c r="D280" i="1"/>
  <c r="M279" i="1"/>
  <c r="L279" i="1"/>
  <c r="D279" i="1"/>
  <c r="M278" i="1"/>
  <c r="L278" i="1"/>
  <c r="D278" i="1"/>
  <c r="M277" i="1"/>
  <c r="L277" i="1"/>
  <c r="D277" i="1"/>
  <c r="M276" i="1"/>
  <c r="L276" i="1"/>
  <c r="D276" i="1"/>
  <c r="M275" i="1"/>
  <c r="L275" i="1"/>
  <c r="D275" i="1"/>
  <c r="M274" i="1"/>
  <c r="L274" i="1"/>
  <c r="D274" i="1"/>
  <c r="M273" i="1"/>
  <c r="L273" i="1"/>
  <c r="D273" i="1"/>
  <c r="M272" i="1"/>
  <c r="L272" i="1"/>
  <c r="D272" i="1"/>
  <c r="M271" i="1"/>
  <c r="L271" i="1"/>
  <c r="D271" i="1"/>
  <c r="M270" i="1"/>
  <c r="L270" i="1"/>
  <c r="D270" i="1"/>
  <c r="M269" i="1"/>
  <c r="L269" i="1"/>
  <c r="D269" i="1"/>
  <c r="M268" i="1"/>
  <c r="L268" i="1"/>
  <c r="D268" i="1"/>
  <c r="M267" i="1"/>
  <c r="L267" i="1"/>
  <c r="D267" i="1"/>
  <c r="M266" i="1"/>
  <c r="L266" i="1"/>
  <c r="D266" i="1"/>
  <c r="M265" i="1"/>
  <c r="L265" i="1"/>
  <c r="D265" i="1"/>
  <c r="M264" i="1"/>
  <c r="L264" i="1"/>
  <c r="D264" i="1"/>
  <c r="M263" i="1"/>
  <c r="L263" i="1"/>
  <c r="D263" i="1"/>
  <c r="M262" i="1"/>
  <c r="L262" i="1"/>
  <c r="D262" i="1"/>
  <c r="M261" i="1"/>
  <c r="L261" i="1"/>
  <c r="D261" i="1"/>
  <c r="M260" i="1"/>
  <c r="L260" i="1"/>
  <c r="D260" i="1"/>
  <c r="M259" i="1"/>
  <c r="L259" i="1"/>
  <c r="D259" i="1"/>
  <c r="M258" i="1"/>
  <c r="L258" i="1"/>
  <c r="D258" i="1"/>
  <c r="M257" i="1"/>
  <c r="L257" i="1"/>
  <c r="D257" i="1"/>
  <c r="M256" i="1"/>
  <c r="L256" i="1"/>
  <c r="D256" i="1"/>
  <c r="M255" i="1"/>
  <c r="L255" i="1"/>
  <c r="D255" i="1"/>
  <c r="M254" i="1"/>
  <c r="L254" i="1"/>
  <c r="D254" i="1"/>
  <c r="M253" i="1"/>
  <c r="L253" i="1"/>
  <c r="D253" i="1"/>
  <c r="M252" i="1"/>
  <c r="L252" i="1"/>
  <c r="D252" i="1"/>
  <c r="P74" i="1" l="1"/>
  <c r="P75" i="1"/>
  <c r="P76" i="1"/>
  <c r="P77" i="1"/>
  <c r="P78" i="1"/>
  <c r="P79" i="1"/>
  <c r="P80" i="1"/>
  <c r="P81" i="1"/>
  <c r="P82" i="1"/>
  <c r="P83" i="1"/>
  <c r="P84" i="1"/>
  <c r="P85" i="1"/>
  <c r="P86" i="1"/>
  <c r="P87" i="1"/>
  <c r="P88" i="1"/>
  <c r="P89" i="1"/>
  <c r="P90" i="1"/>
  <c r="P91" i="1"/>
  <c r="P92" i="1"/>
  <c r="P73" i="1"/>
  <c r="P52" i="1"/>
  <c r="P53" i="1"/>
  <c r="P54" i="1"/>
  <c r="P55" i="1"/>
  <c r="P56" i="1"/>
  <c r="P57" i="1"/>
  <c r="P58" i="1"/>
  <c r="P59" i="1"/>
  <c r="P60" i="1"/>
  <c r="P61" i="1"/>
  <c r="P62" i="1"/>
  <c r="P63" i="1"/>
  <c r="P64" i="1"/>
  <c r="P65" i="1"/>
  <c r="P66" i="1"/>
  <c r="P67" i="1"/>
  <c r="P68" i="1"/>
  <c r="P69" i="1"/>
  <c r="P70" i="1"/>
  <c r="P51" i="1"/>
  <c r="P30" i="1"/>
  <c r="P31" i="1"/>
  <c r="P32" i="1"/>
  <c r="P33" i="1"/>
  <c r="P34" i="1"/>
  <c r="P35" i="1"/>
  <c r="P36" i="1"/>
  <c r="P37" i="1"/>
  <c r="P38" i="1"/>
  <c r="P39" i="1"/>
  <c r="P40" i="1"/>
  <c r="P41" i="1"/>
  <c r="P42" i="1"/>
  <c r="P43" i="1"/>
  <c r="P44" i="1"/>
  <c r="P45" i="1"/>
  <c r="P46" i="1"/>
  <c r="P47" i="1"/>
  <c r="P48" i="1"/>
  <c r="P29" i="1"/>
  <c r="P7" i="1"/>
  <c r="P8" i="1"/>
  <c r="P9" i="1"/>
  <c r="P10" i="1"/>
  <c r="P11" i="1"/>
  <c r="P12" i="1"/>
  <c r="P13" i="1"/>
  <c r="P14" i="1"/>
  <c r="P15" i="1"/>
  <c r="P17" i="1"/>
  <c r="P18" i="1"/>
  <c r="P19" i="1"/>
  <c r="P20" i="1"/>
  <c r="P21" i="1"/>
  <c r="P22" i="1"/>
  <c r="P23" i="1"/>
  <c r="P24" i="1"/>
  <c r="P25" i="1"/>
  <c r="P26" i="1"/>
  <c r="P27" i="1"/>
  <c r="P28" i="1"/>
  <c r="P49" i="1"/>
  <c r="P50" i="1"/>
  <c r="P71" i="1"/>
  <c r="P72" i="1"/>
  <c r="P6" i="1"/>
  <c r="C9" i="17"/>
  <c r="C8" i="17"/>
  <c r="M251" i="1" l="1"/>
  <c r="L251" i="1"/>
  <c r="D251" i="1"/>
  <c r="D250" i="1"/>
  <c r="D249" i="1"/>
  <c r="D248" i="1"/>
  <c r="D247" i="1"/>
  <c r="D246" i="1"/>
  <c r="D245" i="1"/>
  <c r="D244" i="1"/>
  <c r="D243" i="1"/>
  <c r="D242" i="1"/>
  <c r="D241" i="1"/>
  <c r="D240" i="1"/>
  <c r="D239" i="1"/>
  <c r="D238" i="1"/>
  <c r="D237" i="1"/>
  <c r="D236" i="1"/>
  <c r="D235" i="1"/>
  <c r="D234" i="1"/>
  <c r="D233" i="1"/>
  <c r="D232" i="1"/>
  <c r="D231" i="1"/>
  <c r="D230" i="1"/>
  <c r="D229" i="1"/>
  <c r="D228" i="1"/>
  <c r="D227" i="1"/>
  <c r="D226" i="1"/>
  <c r="D225" i="1"/>
  <c r="D224" i="1"/>
  <c r="D223" i="1"/>
  <c r="D222" i="1"/>
  <c r="D221" i="1"/>
  <c r="D220" i="1"/>
  <c r="D219" i="1"/>
  <c r="M218" i="1"/>
  <c r="L218" i="1"/>
  <c r="D218" i="1"/>
  <c r="D217" i="1"/>
  <c r="M151" i="1" l="1"/>
  <c r="L151" i="1"/>
  <c r="D151" i="1"/>
  <c r="M150" i="1"/>
  <c r="L150" i="1"/>
  <c r="D150" i="1"/>
  <c r="M149" i="1"/>
  <c r="L149" i="1"/>
  <c r="D149" i="1"/>
  <c r="M148" i="1"/>
  <c r="L148" i="1"/>
  <c r="D148" i="1"/>
  <c r="M147" i="1"/>
  <c r="L147" i="1"/>
  <c r="D147" i="1"/>
  <c r="M146" i="1"/>
  <c r="L146" i="1"/>
  <c r="D146" i="1"/>
  <c r="M145" i="1"/>
  <c r="L145" i="1"/>
  <c r="D145" i="1"/>
  <c r="M144" i="1"/>
  <c r="L144" i="1"/>
  <c r="D144" i="1"/>
  <c r="M143" i="1"/>
  <c r="L143" i="1"/>
  <c r="D143" i="1"/>
  <c r="M142" i="1"/>
  <c r="L142" i="1"/>
  <c r="D142" i="1"/>
  <c r="M141" i="1"/>
  <c r="L141" i="1"/>
  <c r="D141" i="1"/>
  <c r="M140" i="1"/>
  <c r="L140" i="1"/>
  <c r="D140" i="1"/>
  <c r="M139" i="1"/>
  <c r="L139" i="1"/>
  <c r="D139" i="1"/>
  <c r="M138" i="1"/>
  <c r="L138" i="1"/>
  <c r="D138" i="1"/>
  <c r="M137" i="1"/>
  <c r="L137" i="1"/>
  <c r="D137" i="1"/>
  <c r="M136" i="1"/>
  <c r="L136" i="1"/>
  <c r="D136" i="1"/>
  <c r="M135" i="1"/>
  <c r="L135" i="1"/>
  <c r="D135" i="1"/>
  <c r="M134" i="1"/>
  <c r="L134" i="1"/>
  <c r="D134" i="1"/>
  <c r="M133" i="1"/>
  <c r="L133" i="1"/>
  <c r="D133" i="1"/>
  <c r="M132" i="1"/>
  <c r="L132" i="1"/>
  <c r="D132" i="1"/>
  <c r="M131" i="1"/>
  <c r="L131" i="1"/>
  <c r="D131" i="1"/>
  <c r="M130" i="1"/>
  <c r="L130" i="1"/>
  <c r="D130" i="1"/>
  <c r="M129" i="1"/>
  <c r="L129" i="1"/>
  <c r="D129" i="1"/>
  <c r="M128" i="1"/>
  <c r="L128" i="1"/>
  <c r="D128" i="1"/>
  <c r="M127" i="1"/>
  <c r="L127" i="1"/>
  <c r="D127" i="1"/>
  <c r="M126" i="1"/>
  <c r="L126" i="1"/>
  <c r="D126" i="1"/>
  <c r="M125" i="1"/>
  <c r="L125" i="1"/>
  <c r="D125" i="1"/>
  <c r="M124" i="1"/>
  <c r="L124" i="1"/>
  <c r="D124" i="1"/>
  <c r="M123" i="1"/>
  <c r="L123" i="1"/>
  <c r="D123" i="1"/>
  <c r="M122" i="1"/>
  <c r="L122" i="1"/>
  <c r="D122" i="1"/>
  <c r="M121" i="1"/>
  <c r="L121" i="1"/>
  <c r="D121" i="1"/>
  <c r="M120" i="1"/>
  <c r="L120" i="1"/>
  <c r="D120" i="1"/>
  <c r="M119" i="1"/>
  <c r="L119" i="1"/>
  <c r="D119" i="1"/>
  <c r="M118" i="1"/>
  <c r="L118" i="1"/>
  <c r="D118" i="1"/>
  <c r="M117" i="1"/>
  <c r="L117" i="1"/>
  <c r="D117" i="1"/>
  <c r="M116" i="1"/>
  <c r="L116" i="1"/>
  <c r="D116" i="1"/>
  <c r="M115" i="1"/>
  <c r="L115" i="1"/>
  <c r="D115" i="1"/>
  <c r="M114" i="1"/>
  <c r="L114" i="1"/>
  <c r="D114" i="1"/>
  <c r="M113" i="1"/>
  <c r="L113" i="1"/>
  <c r="D113" i="1"/>
  <c r="M112" i="1"/>
  <c r="L112" i="1"/>
  <c r="D112" i="1"/>
  <c r="M111" i="1"/>
  <c r="L111" i="1"/>
  <c r="D111" i="1"/>
  <c r="M110" i="1"/>
  <c r="L110" i="1"/>
  <c r="D110" i="1"/>
  <c r="M109" i="1"/>
  <c r="L109" i="1"/>
  <c r="D109" i="1"/>
  <c r="M108" i="1"/>
  <c r="L108" i="1"/>
  <c r="D108" i="1"/>
  <c r="M107" i="1"/>
  <c r="L107" i="1"/>
  <c r="D107" i="1"/>
  <c r="M106" i="1"/>
  <c r="L106" i="1"/>
  <c r="D106" i="1"/>
  <c r="M105" i="1"/>
  <c r="L105" i="1"/>
  <c r="D105" i="1"/>
  <c r="M104" i="1"/>
  <c r="L104" i="1"/>
  <c r="D104" i="1"/>
  <c r="M103" i="1"/>
  <c r="L103" i="1"/>
  <c r="D103" i="1"/>
  <c r="M102" i="1"/>
  <c r="L102" i="1"/>
  <c r="D102" i="1"/>
  <c r="M101" i="1"/>
  <c r="L101" i="1"/>
  <c r="D101" i="1"/>
  <c r="M318" i="1"/>
  <c r="L318" i="1"/>
  <c r="D318" i="1"/>
  <c r="M317" i="1"/>
  <c r="L317" i="1"/>
  <c r="D317" i="1"/>
  <c r="M316" i="1"/>
  <c r="L316" i="1"/>
  <c r="D316" i="1"/>
  <c r="M315" i="1"/>
  <c r="L315" i="1"/>
  <c r="D315" i="1"/>
  <c r="M309" i="1"/>
  <c r="L309" i="1"/>
  <c r="D309" i="1"/>
  <c r="M320" i="1"/>
  <c r="L320" i="1"/>
  <c r="D320" i="1"/>
  <c r="M319" i="1"/>
  <c r="L319" i="1"/>
  <c r="D319" i="1"/>
  <c r="M314" i="1"/>
  <c r="L314" i="1"/>
  <c r="D314" i="1"/>
  <c r="M313" i="1"/>
  <c r="L313" i="1"/>
  <c r="D313" i="1"/>
  <c r="M312" i="1"/>
  <c r="L312" i="1"/>
  <c r="D312" i="1"/>
  <c r="M311" i="1"/>
  <c r="L311" i="1"/>
  <c r="D311" i="1"/>
  <c r="M310" i="1"/>
  <c r="L310" i="1"/>
  <c r="D310" i="1"/>
  <c r="M308" i="1"/>
  <c r="L308" i="1"/>
  <c r="D308" i="1"/>
  <c r="M307" i="1"/>
  <c r="L307" i="1"/>
  <c r="D307" i="1"/>
  <c r="M306" i="1"/>
  <c r="L306" i="1"/>
  <c r="D306" i="1"/>
  <c r="M305" i="1"/>
  <c r="L305" i="1"/>
  <c r="D305" i="1"/>
  <c r="M304" i="1"/>
  <c r="L304" i="1"/>
  <c r="D304" i="1"/>
  <c r="M303" i="1"/>
  <c r="L303" i="1"/>
  <c r="D303" i="1"/>
  <c r="M302" i="1"/>
  <c r="L302" i="1"/>
  <c r="D302" i="1"/>
  <c r="D183" i="1"/>
  <c r="M184" i="1"/>
  <c r="L184" i="1"/>
  <c r="D184" i="1"/>
  <c r="D216" i="1"/>
  <c r="D215" i="1"/>
  <c r="D214" i="1"/>
  <c r="D213" i="1"/>
  <c r="D212" i="1"/>
  <c r="D211" i="1"/>
  <c r="D210" i="1"/>
  <c r="D209" i="1"/>
  <c r="D208" i="1"/>
  <c r="D207" i="1"/>
  <c r="D206" i="1"/>
  <c r="D205" i="1"/>
  <c r="D204" i="1"/>
  <c r="D203" i="1"/>
  <c r="D202" i="1"/>
  <c r="D201" i="1"/>
  <c r="D200" i="1"/>
  <c r="D199" i="1"/>
  <c r="D198" i="1"/>
  <c r="D197" i="1"/>
  <c r="D196" i="1"/>
  <c r="D195" i="1"/>
  <c r="D194" i="1"/>
  <c r="D193" i="1"/>
  <c r="D192" i="1"/>
  <c r="D191" i="1"/>
  <c r="D190" i="1"/>
  <c r="D189" i="1"/>
  <c r="D188" i="1"/>
  <c r="D187" i="1"/>
  <c r="D186" i="1"/>
  <c r="D185" i="1"/>
  <c r="M182" i="1"/>
  <c r="L182" i="1"/>
  <c r="D182" i="1"/>
  <c r="M181" i="1"/>
  <c r="L181" i="1"/>
  <c r="D181" i="1"/>
  <c r="M180" i="1"/>
  <c r="L180" i="1"/>
  <c r="D180" i="1"/>
  <c r="M179" i="1"/>
  <c r="L179" i="1"/>
  <c r="D179" i="1"/>
  <c r="M178" i="1"/>
  <c r="L178" i="1"/>
  <c r="D178" i="1"/>
  <c r="M177" i="1"/>
  <c r="L177" i="1"/>
  <c r="D177" i="1"/>
  <c r="M176" i="1"/>
  <c r="L176" i="1"/>
  <c r="D176" i="1"/>
  <c r="M175" i="1"/>
  <c r="L175" i="1"/>
  <c r="D175" i="1"/>
  <c r="D159" i="1"/>
  <c r="M99" i="1"/>
  <c r="L99" i="1"/>
  <c r="D99" i="1"/>
  <c r="M97" i="1"/>
  <c r="L97" i="1"/>
  <c r="D97" i="1"/>
  <c r="M95" i="1"/>
  <c r="L95" i="1"/>
  <c r="D95" i="1"/>
  <c r="M94" i="1"/>
  <c r="L94" i="1"/>
  <c r="D94" i="1"/>
  <c r="M96" i="1"/>
  <c r="L96" i="1"/>
  <c r="D96" i="1"/>
  <c r="M98" i="1"/>
  <c r="L98" i="1"/>
  <c r="D98" i="1"/>
  <c r="M100" i="1"/>
  <c r="L100" i="1"/>
  <c r="D100" i="1"/>
  <c r="D4" i="1"/>
  <c r="D5" i="1"/>
  <c r="D6" i="1"/>
  <c r="D7" i="1"/>
  <c r="D8" i="1"/>
  <c r="D9" i="1"/>
  <c r="D10" i="1"/>
  <c r="D11" i="1"/>
  <c r="D12" i="1"/>
  <c r="D13" i="1"/>
  <c r="D14" i="1"/>
  <c r="D15" i="1"/>
  <c r="D17" i="1"/>
  <c r="D18" i="1"/>
  <c r="D19" i="1"/>
  <c r="D20" i="1"/>
  <c r="D21" i="1"/>
  <c r="D22" i="1"/>
  <c r="D23" i="1"/>
  <c r="D24" i="1"/>
  <c r="D25" i="1"/>
  <c r="D27" i="1"/>
  <c r="D28" i="1"/>
  <c r="D29" i="1"/>
  <c r="D30" i="1"/>
  <c r="D31" i="1"/>
  <c r="D32" i="1"/>
  <c r="D33" i="1"/>
  <c r="D34" i="1"/>
  <c r="D35" i="1"/>
  <c r="D36" i="1"/>
  <c r="D37" i="1"/>
  <c r="D38" i="1"/>
  <c r="D39" i="1"/>
  <c r="D40" i="1"/>
  <c r="D41" i="1"/>
  <c r="D42" i="1"/>
  <c r="D43" i="1"/>
  <c r="D44" i="1"/>
  <c r="D45" i="1"/>
  <c r="D46" i="1"/>
  <c r="D47" i="1"/>
  <c r="D48" i="1"/>
  <c r="D49" i="1"/>
  <c r="D50" i="1"/>
  <c r="D51" i="1"/>
  <c r="D52" i="1"/>
  <c r="D53" i="1"/>
  <c r="D54" i="1"/>
  <c r="D55" i="1"/>
  <c r="D56" i="1"/>
  <c r="D57" i="1"/>
  <c r="D58" i="1"/>
  <c r="D59" i="1"/>
  <c r="D60" i="1"/>
  <c r="D61" i="1"/>
  <c r="D62" i="1"/>
  <c r="D63" i="1"/>
  <c r="D64" i="1"/>
  <c r="D65" i="1"/>
  <c r="D66" i="1"/>
  <c r="D67" i="1"/>
  <c r="D68" i="1"/>
  <c r="D69" i="1"/>
  <c r="D70" i="1"/>
  <c r="D71" i="1"/>
  <c r="D72" i="1"/>
  <c r="D73" i="1"/>
  <c r="D74" i="1"/>
  <c r="D75" i="1"/>
  <c r="D76" i="1"/>
  <c r="D77" i="1"/>
  <c r="D78" i="1"/>
  <c r="D79" i="1"/>
  <c r="D80" i="1"/>
  <c r="D81" i="1"/>
  <c r="D82" i="1"/>
  <c r="D83" i="1"/>
  <c r="D84" i="1"/>
  <c r="D85" i="1"/>
  <c r="D86" i="1"/>
  <c r="D87" i="1"/>
  <c r="D88" i="1"/>
  <c r="D89" i="1"/>
  <c r="D90" i="1"/>
  <c r="D91" i="1"/>
  <c r="D92" i="1"/>
  <c r="D93" i="1"/>
  <c r="D161" i="1"/>
  <c r="D162" i="1"/>
  <c r="D163" i="1"/>
  <c r="D164" i="1"/>
  <c r="D165" i="1"/>
  <c r="D166" i="1"/>
  <c r="D167" i="1"/>
  <c r="D168" i="1"/>
  <c r="D169" i="1"/>
  <c r="D170" i="1"/>
  <c r="D171" i="1"/>
  <c r="D172" i="1"/>
  <c r="D173" i="1"/>
  <c r="D174" i="1"/>
  <c r="D321" i="1"/>
  <c r="D152" i="1"/>
  <c r="D153" i="1"/>
  <c r="D154" i="1"/>
  <c r="D155" i="1"/>
  <c r="D156" i="1"/>
  <c r="D157" i="1"/>
  <c r="D158" i="1"/>
  <c r="D160" i="1"/>
  <c r="M174" i="1"/>
  <c r="L174" i="1"/>
  <c r="M173" i="1"/>
  <c r="L173" i="1"/>
  <c r="M172" i="1"/>
  <c r="L172" i="1"/>
  <c r="M171" i="1"/>
  <c r="L171" i="1"/>
  <c r="M170" i="1"/>
  <c r="L170" i="1"/>
  <c r="M169" i="1"/>
  <c r="L169" i="1"/>
  <c r="M168" i="1"/>
  <c r="L168" i="1"/>
  <c r="M167" i="1"/>
  <c r="L167" i="1"/>
  <c r="M183" i="1"/>
  <c r="L183" i="1"/>
  <c r="M166" i="1"/>
  <c r="L166" i="1"/>
  <c r="M165" i="1"/>
  <c r="L165" i="1"/>
  <c r="M164" i="1"/>
  <c r="L164" i="1"/>
  <c r="M163" i="1"/>
  <c r="L163" i="1"/>
  <c r="M162" i="1"/>
  <c r="L162" i="1"/>
  <c r="M161" i="1"/>
  <c r="L161" i="1"/>
  <c r="M160" i="1"/>
  <c r="L160" i="1"/>
  <c r="L5" i="1" l="1"/>
  <c r="L6" i="1"/>
  <c r="L7" i="1"/>
  <c r="L8" i="1"/>
  <c r="L9" i="1"/>
  <c r="L10" i="1"/>
  <c r="L11" i="1"/>
  <c r="L12" i="1"/>
  <c r="L13" i="1"/>
  <c r="L14" i="1"/>
  <c r="L15" i="1"/>
  <c r="L17" i="1"/>
  <c r="L18" i="1"/>
  <c r="L19" i="1"/>
  <c r="L20" i="1"/>
  <c r="L21" i="1"/>
  <c r="L22" i="1"/>
  <c r="L23" i="1"/>
  <c r="L24" i="1"/>
  <c r="L25" i="1"/>
  <c r="L26" i="1"/>
  <c r="L27" i="1"/>
  <c r="L28" i="1"/>
  <c r="L29" i="1"/>
  <c r="L30" i="1"/>
  <c r="L31" i="1"/>
  <c r="L32" i="1"/>
  <c r="L33" i="1"/>
  <c r="L34" i="1"/>
  <c r="L35" i="1"/>
  <c r="L36" i="1"/>
  <c r="L37" i="1"/>
  <c r="L38" i="1"/>
  <c r="L39" i="1"/>
  <c r="L40" i="1"/>
  <c r="L41" i="1"/>
  <c r="L42" i="1"/>
  <c r="L43" i="1"/>
  <c r="L44" i="1"/>
  <c r="L45" i="1"/>
  <c r="L46" i="1"/>
  <c r="L47" i="1"/>
  <c r="L48" i="1"/>
  <c r="L49" i="1"/>
  <c r="L50" i="1"/>
  <c r="L51" i="1"/>
  <c r="L52" i="1"/>
  <c r="L53" i="1"/>
  <c r="L54" i="1"/>
  <c r="L55" i="1"/>
  <c r="L56" i="1"/>
  <c r="L57" i="1"/>
  <c r="L58" i="1"/>
  <c r="L59" i="1"/>
  <c r="L60" i="1"/>
  <c r="L61" i="1"/>
  <c r="L62" i="1"/>
  <c r="L63" i="1"/>
  <c r="L64" i="1"/>
  <c r="L65" i="1"/>
  <c r="L66" i="1"/>
  <c r="L67" i="1"/>
  <c r="L68" i="1"/>
  <c r="L69" i="1"/>
  <c r="L70" i="1"/>
  <c r="L71" i="1"/>
  <c r="L72" i="1"/>
  <c r="L73" i="1"/>
  <c r="L74" i="1"/>
  <c r="L75" i="1"/>
  <c r="L76" i="1"/>
  <c r="L77" i="1"/>
  <c r="L78" i="1"/>
  <c r="L79" i="1"/>
  <c r="L80" i="1"/>
  <c r="L81" i="1"/>
  <c r="L82" i="1"/>
  <c r="L83" i="1"/>
  <c r="L84" i="1"/>
  <c r="L85" i="1"/>
  <c r="L86" i="1"/>
  <c r="L87" i="1"/>
  <c r="L88" i="1"/>
  <c r="L89" i="1"/>
  <c r="L90" i="1"/>
  <c r="L91" i="1"/>
  <c r="L92" i="1"/>
  <c r="L93" i="1"/>
  <c r="L152" i="1"/>
  <c r="L153" i="1"/>
  <c r="L154" i="1"/>
  <c r="L155" i="1"/>
  <c r="L156" i="1"/>
  <c r="L157" i="1"/>
  <c r="L158" i="1"/>
  <c r="L159" i="1"/>
  <c r="L321" i="1"/>
  <c r="L4" i="1"/>
  <c r="M152" i="1"/>
  <c r="M93" i="1"/>
  <c r="M159" i="1"/>
  <c r="M158" i="1"/>
  <c r="M157" i="1"/>
  <c r="M156" i="1"/>
  <c r="M155" i="1"/>
  <c r="M154" i="1"/>
  <c r="M153" i="1"/>
  <c r="M92" i="1" l="1"/>
  <c r="M91" i="1"/>
  <c r="M90" i="1"/>
  <c r="M89" i="1"/>
  <c r="M88" i="1"/>
  <c r="M87" i="1"/>
  <c r="M86" i="1"/>
  <c r="M85" i="1"/>
  <c r="M84" i="1"/>
  <c r="M83" i="1"/>
  <c r="M82" i="1"/>
  <c r="M81" i="1"/>
  <c r="M80" i="1"/>
  <c r="M79" i="1"/>
  <c r="M78" i="1"/>
  <c r="M77" i="1"/>
  <c r="M76" i="1"/>
  <c r="M75" i="1"/>
  <c r="M74" i="1"/>
  <c r="M73" i="1"/>
  <c r="M71" i="1"/>
  <c r="M70" i="1"/>
  <c r="M69" i="1"/>
  <c r="M68" i="1"/>
  <c r="M67" i="1"/>
  <c r="M66" i="1"/>
  <c r="M65" i="1"/>
  <c r="M64" i="1"/>
  <c r="M63" i="1"/>
  <c r="M62" i="1"/>
  <c r="M61" i="1"/>
  <c r="M60" i="1"/>
  <c r="M59" i="1"/>
  <c r="M58" i="1"/>
  <c r="M57" i="1"/>
  <c r="M56" i="1"/>
  <c r="M55" i="1"/>
  <c r="M54" i="1"/>
  <c r="M53" i="1"/>
  <c r="M52" i="1"/>
  <c r="M51" i="1"/>
  <c r="M49" i="1"/>
  <c r="M48" i="1"/>
  <c r="M47" i="1"/>
  <c r="M46" i="1"/>
  <c r="M45" i="1"/>
  <c r="M44" i="1"/>
  <c r="M43" i="1"/>
  <c r="M42" i="1"/>
  <c r="M41" i="1"/>
  <c r="M40" i="1"/>
  <c r="M39" i="1"/>
  <c r="M38" i="1"/>
  <c r="M37" i="1"/>
  <c r="M36" i="1"/>
  <c r="M35" i="1"/>
  <c r="M34" i="1"/>
  <c r="M33" i="1"/>
  <c r="M32" i="1"/>
  <c r="M31" i="1"/>
  <c r="M30" i="1"/>
  <c r="M29" i="1"/>
  <c r="M27" i="1"/>
  <c r="M15" i="1"/>
  <c r="M14" i="1"/>
  <c r="M13" i="1"/>
  <c r="M12" i="1"/>
  <c r="M11" i="1"/>
  <c r="M10" i="1"/>
  <c r="M9" i="1"/>
  <c r="M8" i="1"/>
  <c r="M7" i="1"/>
  <c r="M6" i="1"/>
  <c r="M4" i="1"/>
  <c r="M50" i="1"/>
  <c r="M28" i="1"/>
  <c r="M5" i="1"/>
  <c r="M17" i="1"/>
  <c r="M18" i="1"/>
  <c r="M19" i="1"/>
  <c r="M20" i="1"/>
  <c r="M21" i="1"/>
  <c r="M22" i="1"/>
  <c r="M23" i="1"/>
  <c r="M24" i="1"/>
  <c r="M25" i="1"/>
  <c r="M26" i="1"/>
  <c r="M321" i="1"/>
  <c r="G21" i="16" l="1"/>
  <c r="M72" i="1" l="1"/>
  <c r="C1" i="1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tc={0525F1E2-9F64-4F2D-9C2F-41966089911F}</author>
    <author>tc={24570B84-A4A5-4FA1-8F50-23755B4FEC4B}</author>
    <author>tc={C354A7D6-B6F7-47C7-8100-C4E881C79697}</author>
  </authors>
  <commentList>
    <comment ref="B2" authorId="0" shapeId="0" xr:uid="{00000000-0006-0000-0300-000001000000}">
      <text>
        <t>[Threaded comment]
Your version of Excel allows you to read this threaded comment; however, any edits to it will get removed if the file is opened in a newer version of Excel. Learn more: https://go.microsoft.com/fwlink/?linkid=870924
Comment:
    Use [Control]+[Colon] to insert current timestamp</t>
      </text>
    </comment>
    <comment ref="D2" authorId="1" shapeId="0" xr:uid="{24570B84-A4A5-4FA1-8F50-23755B4FEC4B}">
      <text>
        <t>[Threaded comment]
Your version of Excel allows you to read this threaded comment; however, any edits to it will get removed if the file is opened in a newer version of Excel. Learn more: https://go.microsoft.com/fwlink/?linkid=870924
Comment:
    Used for setting automatic timer
Also useful to estimate total wait duration and planning</t>
      </text>
    </comment>
    <comment ref="W2" authorId="2" shapeId="0" xr:uid="{C354A7D6-B6F7-47C7-8100-C4E881C79697}">
      <text>
        <t>[Threaded comment]
Your version of Excel allows you to read this threaded comment; however, any edits to it will get removed if the file is opened in a newer version of Excel. Learn more: https://go.microsoft.com/fwlink/?linkid=870924
Comment:
    Ven flow shown on Spectrum ultrasound monitor when unclamped and at corresponding baseline pump speed. Used primarily for documentation and bookkeeping when running the experiment.</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tc={49765626-446A-4F50-9BB3-8A7D82610262}</author>
    <author>tc={400F11C9-C1AB-4ED8-8F2A-7B88A7A0F916}</author>
    <author>tc={CF058BFF-9261-4043-8883-E8389BFCD255}</author>
    <author>tc={6C5ADDAA-3943-41FD-9E3E-D34F5A781692}</author>
    <author>tc={6B459902-F0B5-49D1-A3B7-A6DE5DE8C258}</author>
  </authors>
  <commentList>
    <comment ref="B3" authorId="0" shapeId="0" xr:uid="{49765626-446A-4F50-9BB3-8A7D82610262}">
      <text>
        <t>[Threaded comment]
Your version of Excel allows you to read this threaded comment; however, any edits to it will get removed if the file is opened in a newer version of Excel. Learn more: https://go.microsoft.com/fwlink/?linkid=870924
Comment:
    Use [Control]+[Colon] to insert current timestamp</t>
      </text>
    </comment>
    <comment ref="E3" authorId="1" shapeId="0" xr:uid="{400F11C9-C1AB-4ED8-8F2A-7B88A7A0F916}">
      <text>
        <t>[Threaded comment]
Your version of Excel allows you to read this threaded comment; however, any edits to it will get removed if the file is opened in a newer version of Excel. Learn more: https://go.microsoft.com/fwlink/?linkid=870924
Comment:
    Ven flow shown on Spectrum ultrasound monitor when unclamped and at corresponding baseline pump speed. Used primarily for documentation and bookkeeping when running the experiment.</t>
      </text>
    </comment>
    <comment ref="J3" authorId="2" shapeId="0" xr:uid="{CF058BFF-9261-4043-8883-E8389BFCD255}">
      <text>
        <t>[Threaded comment]
Your version of Excel allows you to read this threaded comment; however, any edits to it will get removed if the file is opened in a newer version of Excel. Learn more: https://go.microsoft.com/fwlink/?linkid=870924
Comment:
    Ven flow shown on Spectrum ultrasound monitor when unclamped and at corresponding baseline pump speed. Used primarily for documentation and bookkeeping when running the experiment.</t>
      </text>
    </comment>
    <comment ref="K3" authorId="3" shapeId="0" xr:uid="{6C5ADDAA-3943-41FD-9E3E-D34F5A781692}">
      <text>
        <t>[Threaded comment]
Your version of Excel allows you to read this threaded comment; however, any edits to it will get removed if the file is opened in a newer version of Excel. Learn more: https://go.microsoft.com/fwlink/?linkid=870924
Comment:
    Ven flow shown on Spectrum ultrasound monitor when unclamped and at corresponding baseline pump speed. Used primarily for documentation and bookkeeping when running the experiment.</t>
      </text>
    </comment>
    <comment ref="L3" authorId="4" shapeId="0" xr:uid="{6B459902-F0B5-49D1-A3B7-A6DE5DE8C258}">
      <text>
        <t>[Threaded comment]
Your version of Excel allows you to read this threaded comment; however, any edits to it will get removed if the file is opened in a newer version of Excel. Learn more: https://go.microsoft.com/fwlink/?linkid=870924
Comment:
    Ven flow shown on Spectrum ultrasound monitor when unclamped and at corresponding baseline pump speed. Used primarily for documentation and bookkeeping when running the experiment.</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Didrik</author>
    <author>tc={72CEC2E4-9845-4F0B-B33C-C0F30A34EE09}</author>
  </authors>
  <commentList>
    <comment ref="A2" authorId="0" shapeId="0" xr:uid="{1C5269D3-091D-4020-A01C-A3DC69EAB86C}">
      <text>
        <r>
          <rPr>
            <b/>
            <sz val="9"/>
            <color indexed="81"/>
            <rFont val="Tahoma"/>
            <family val="2"/>
          </rPr>
          <t>Didrik:</t>
        </r>
        <r>
          <rPr>
            <sz val="9"/>
            <color indexed="81"/>
            <rFont val="Tahoma"/>
            <family val="2"/>
          </rPr>
          <t xml:space="preserve">
Generic categories used for split/exclude/include data according to different phases</t>
        </r>
      </text>
    </comment>
    <comment ref="E2" authorId="0" shapeId="0" xr:uid="{543AFDA2-08D7-4D20-A3D8-6620792A76B9}">
      <text>
        <r>
          <rPr>
            <b/>
            <sz val="9"/>
            <color indexed="81"/>
            <rFont val="Tahoma"/>
            <family val="2"/>
          </rPr>
          <t>Didrik:</t>
        </r>
        <r>
          <rPr>
            <sz val="9"/>
            <color indexed="81"/>
            <rFont val="Tahoma"/>
            <family val="2"/>
          </rPr>
          <t xml:space="preserve">
Categorical variable to represent interventions in data analysis and other events used for sensor calibration. Intervention categories iinfo willl be fused with signal data.
Events/interventions will be considered as ongoing until next row in 'Notes', unless it is an events/interventions that is running in parallell over several rows (timestamps). Such parallell events/interventions must constain the word 'start' to be identidfied. They will run until end of experiement or until a corresponding event containing the word 'end' (instead of 'start').
Note that 'pause', 'unknown' and 'other' will not make sence for the analytical use of these information, thus these words should be avoided.</t>
        </r>
      </text>
    </comment>
    <comment ref="I2" authorId="0" shapeId="0" xr:uid="{696A21A4-2309-4D54-8717-3B8B9CCE121E}">
      <text>
        <r>
          <rPr>
            <b/>
            <sz val="9"/>
            <color indexed="81"/>
            <rFont val="Tahoma"/>
            <family val="2"/>
          </rPr>
          <t>Didrik:</t>
        </r>
        <r>
          <rPr>
            <sz val="9"/>
            <color indexed="81"/>
            <rFont val="Tahoma"/>
            <family val="2"/>
          </rPr>
          <t xml:space="preserve">
Metadata categories, just to keep track of data files/ data sets</t>
        </r>
      </text>
    </comment>
    <comment ref="X2" authorId="0" shapeId="0" xr:uid="{EA61473F-1F40-42FC-9244-840302B5D7C4}">
      <text>
        <r>
          <rPr>
            <b/>
            <sz val="9"/>
            <color indexed="81"/>
            <rFont val="Tahoma"/>
            <family val="2"/>
          </rPr>
          <t>Didrik:</t>
        </r>
        <r>
          <rPr>
            <sz val="9"/>
            <color indexed="81"/>
            <rFont val="Tahoma"/>
            <family val="2"/>
          </rPr>
          <t xml:space="preserve">
Metadata categories, just to keep track of data files/ data sets</t>
        </r>
      </text>
    </comment>
    <comment ref="C12" authorId="1" shapeId="0" xr:uid="{72CEC2E4-9845-4F0B-B33C-C0F30A34EE09}">
      <text>
        <t>[Threaded comment]
Your version of Excel allows you to read this threaded comment; however, any edits to it will get removed if the file is opened in a newer version of Excel. Learn more: https://go.microsoft.com/fwlink/?linkid=870924
Comment:
    See Events timer</t>
      </text>
    </comment>
  </commentList>
</comments>
</file>

<file path=xl/sharedStrings.xml><?xml version="1.0" encoding="utf-8"?>
<sst xmlns="http://schemas.openxmlformats.org/spreadsheetml/2006/main" count="2207" uniqueCount="311">
  <si>
    <t>-</t>
  </si>
  <si>
    <t>Baseline</t>
  </si>
  <si>
    <t>Pump speed change</t>
  </si>
  <si>
    <t>Pause</t>
  </si>
  <si>
    <t>Description</t>
  </si>
  <si>
    <t>Category</t>
  </si>
  <si>
    <t>System flush</t>
  </si>
  <si>
    <t>Thrombus injection</t>
  </si>
  <si>
    <t>ID</t>
  </si>
  <si>
    <t xml:space="preserve">Save this file </t>
  </si>
  <si>
    <t>Notes tab</t>
  </si>
  <si>
    <t>Categories tab</t>
  </si>
  <si>
    <t>Review and modify/expand the category definitions to include all interventions and events from the protocol tab</t>
  </si>
  <si>
    <t>Event</t>
  </si>
  <si>
    <t>(RPM)</t>
  </si>
  <si>
    <t>(mmHg)</t>
  </si>
  <si>
    <t>(W)</t>
  </si>
  <si>
    <t>Power</t>
  </si>
  <si>
    <t>Pump speed</t>
  </si>
  <si>
    <t>Afferent pressure</t>
  </si>
  <si>
    <t>Effenrent pressure</t>
  </si>
  <si>
    <t xml:space="preserve">Date </t>
  </si>
  <si>
    <t>(dd-mm-yyyy)</t>
  </si>
  <si>
    <t>Timestamp</t>
  </si>
  <si>
    <t>(hh:mm:ss)</t>
  </si>
  <si>
    <t>(ml)</t>
  </si>
  <si>
    <t>Elapsed time</t>
  </si>
  <si>
    <t>(sec)</t>
  </si>
  <si>
    <t>Type</t>
  </si>
  <si>
    <t>LVAD</t>
  </si>
  <si>
    <t>Pressure transducer</t>
  </si>
  <si>
    <t>LVAD monitor</t>
  </si>
  <si>
    <t>LVAD controller</t>
  </si>
  <si>
    <t>Hide/unhide the parameter columns as needed for the experiement</t>
  </si>
  <si>
    <t>Comments</t>
  </si>
  <si>
    <t>Tips</t>
  </si>
  <si>
    <t>[Control] + [colon key] is a shortcut for inserting current timestamp</t>
  </si>
  <si>
    <t xml:space="preserve">Hide/unhide the time format you want to use (either timestamp or as elapsed time) </t>
  </si>
  <si>
    <t xml:space="preserve">Remark 1: The rule of thumb is that categories will be used for all data rows until next next timestamp is given, while meassured parameters are time instants. </t>
  </si>
  <si>
    <t>Remark 3: Categoric variables have dropdown lists relying on the Categories tab. During the experiment one may type free text and e.g. one can e.g. refer to a category number with a hard copy of the cateogory definitions at hand.</t>
  </si>
  <si>
    <r>
      <t xml:space="preserve">Remark 2: Use '-' for </t>
    </r>
    <r>
      <rPr>
        <i/>
        <sz val="12"/>
        <color theme="1"/>
        <rFont val="Calibri"/>
        <family val="2"/>
        <scheme val="minor"/>
      </rPr>
      <t>not applicable</t>
    </r>
    <r>
      <rPr>
        <sz val="12"/>
        <color theme="1"/>
        <rFont val="Calibri"/>
        <family val="2"/>
        <scheme val="minor"/>
      </rPr>
      <t xml:space="preserve"> (while empty cells are regarded as </t>
    </r>
    <r>
      <rPr>
        <i/>
        <sz val="12"/>
        <color theme="1"/>
        <rFont val="Calibri"/>
        <family val="2"/>
        <scheme val="minor"/>
      </rPr>
      <t>missing value)</t>
    </r>
    <r>
      <rPr>
        <sz val="12"/>
        <color theme="1"/>
        <rFont val="Calibri"/>
        <family val="2"/>
        <scheme val="minor"/>
      </rPr>
      <t>.</t>
    </r>
  </si>
  <si>
    <t>Part</t>
  </si>
  <si>
    <t>No.</t>
  </si>
  <si>
    <t>Hands on</t>
  </si>
  <si>
    <t>Steady-state</t>
  </si>
  <si>
    <t>Sequence end</t>
  </si>
  <si>
    <t>Unintentional</t>
  </si>
  <si>
    <t>(mm)</t>
  </si>
  <si>
    <t>Balloon level</t>
  </si>
  <si>
    <t>Catheter type</t>
  </si>
  <si>
    <t>Balloon offset</t>
  </si>
  <si>
    <t>Events</t>
  </si>
  <si>
    <t>Catheters</t>
  </si>
  <si>
    <t>PCI, 4.5mm x 12mm</t>
  </si>
  <si>
    <t>Catheter position change</t>
  </si>
  <si>
    <t>PCI, 2mm x 28mm</t>
  </si>
  <si>
    <t>PCI, 2.5mm x 8mm</t>
  </si>
  <si>
    <t>Ultrasound</t>
  </si>
  <si>
    <t>PCI, 6mm x 39mm</t>
  </si>
  <si>
    <t>PCI, 8mm x 30mm</t>
  </si>
  <si>
    <t>Preload change</t>
  </si>
  <si>
    <t>Afterload change</t>
  </si>
  <si>
    <t>Catheter extraction</t>
  </si>
  <si>
    <t>Catheter insertion</t>
  </si>
  <si>
    <t>PCI, 4.5mm x 15mm</t>
  </si>
  <si>
    <t>Protocol parameters</t>
  </si>
  <si>
    <t>Nihon Coden monitor</t>
  </si>
  <si>
    <t>Swan-Ganz</t>
  </si>
  <si>
    <t>Text notes</t>
  </si>
  <si>
    <t>Timer</t>
  </si>
  <si>
    <t>Injected thrombus vol.</t>
  </si>
  <si>
    <t>Balloon diam.</t>
  </si>
  <si>
    <t>Clamp flow red.</t>
  </si>
  <si>
    <t>Baseline flow red.</t>
  </si>
  <si>
    <t>Flow est.</t>
  </si>
  <si>
    <t>Flow</t>
  </si>
  <si>
    <r>
      <t xml:space="preserve">Max art. </t>
    </r>
    <r>
      <rPr>
        <i/>
        <sz val="13"/>
        <color theme="1"/>
        <rFont val="Calibri"/>
        <family val="2"/>
        <scheme val="minor"/>
      </rPr>
      <t>P</t>
    </r>
  </si>
  <si>
    <r>
      <t xml:space="preserve">Min art. </t>
    </r>
    <r>
      <rPr>
        <i/>
        <sz val="13"/>
        <color theme="1"/>
        <rFont val="Calibri"/>
        <family val="2"/>
        <scheme val="minor"/>
      </rPr>
      <t>P</t>
    </r>
  </si>
  <si>
    <r>
      <t xml:space="preserve">Mean art. </t>
    </r>
    <r>
      <rPr>
        <i/>
        <sz val="13"/>
        <color theme="1"/>
        <rFont val="Calibri"/>
        <family val="2"/>
        <scheme val="minor"/>
      </rPr>
      <t>P</t>
    </r>
  </si>
  <si>
    <r>
      <t xml:space="preserve">Max pulm. </t>
    </r>
    <r>
      <rPr>
        <i/>
        <sz val="13"/>
        <color theme="1"/>
        <rFont val="Calibri"/>
        <family val="2"/>
        <scheme val="minor"/>
      </rPr>
      <t>P</t>
    </r>
  </si>
  <si>
    <r>
      <t xml:space="preserve">Min pulm. </t>
    </r>
    <r>
      <rPr>
        <i/>
        <sz val="13"/>
        <color theme="1"/>
        <rFont val="Calibri"/>
        <family val="2"/>
        <scheme val="minor"/>
      </rPr>
      <t>P</t>
    </r>
  </si>
  <si>
    <r>
      <t xml:space="preserve">Mean pulm. </t>
    </r>
    <r>
      <rPr>
        <i/>
        <sz val="13"/>
        <color theme="1"/>
        <rFont val="Calibri"/>
        <family val="2"/>
        <scheme val="minor"/>
      </rPr>
      <t>P</t>
    </r>
  </si>
  <si>
    <t>HR</t>
  </si>
  <si>
    <t>CVP</t>
  </si>
  <si>
    <t xml:space="preserve">Cardiac output </t>
  </si>
  <si>
    <t>SVO2</t>
  </si>
  <si>
    <t>Plan and preparations</t>
  </si>
  <si>
    <t>Experiment</t>
  </si>
  <si>
    <t>Quality control</t>
  </si>
  <si>
    <t>(#)</t>
  </si>
  <si>
    <t>(L/min)</t>
  </si>
  <si>
    <t>(beat/min)</t>
  </si>
  <si>
    <t>(cmH2O2)</t>
  </si>
  <si>
    <t>Copy M3 data to laptop</t>
  </si>
  <si>
    <t>Copy LabChart data to laptop</t>
  </si>
  <si>
    <t>Caused by drift</t>
  </si>
  <si>
    <t>Note ultrasound time offset in notes tab</t>
  </si>
  <si>
    <t>Copy LabChart-data to USB</t>
  </si>
  <si>
    <t>Save data recording in LabChart</t>
  </si>
  <si>
    <t>Note</t>
  </si>
  <si>
    <t>What</t>
  </si>
  <si>
    <t>Measurement</t>
  </si>
  <si>
    <t>Check</t>
  </si>
  <si>
    <t>Procedures</t>
  </si>
  <si>
    <t>Sign</t>
  </si>
  <si>
    <t>Page</t>
  </si>
  <si>
    <t>Tag or timestamp</t>
  </si>
  <si>
    <t>Arterial pressure</t>
  </si>
  <si>
    <t>Pulmunory pressure</t>
  </si>
  <si>
    <t xml:space="preserve"> (# or hh:mm:ss)</t>
  </si>
  <si>
    <t>max/min, avg (mmHg)</t>
  </si>
  <si>
    <t>3-component accelerometer</t>
  </si>
  <si>
    <t>Afterload end</t>
  </si>
  <si>
    <t>Preload end</t>
  </si>
  <si>
    <t>RHC, 11mm</t>
  </si>
  <si>
    <t>PCI, 6mm x 8mm</t>
  </si>
  <si>
    <t>PCI, 8mm x 20mm</t>
  </si>
  <si>
    <t>PCI, 4.5mm x 20mm</t>
  </si>
  <si>
    <t>Thrombosis</t>
  </si>
  <si>
    <t>Model name</t>
  </si>
  <si>
    <t>Model ID</t>
  </si>
  <si>
    <t>Experiment ID</t>
  </si>
  <si>
    <t>Experiment types</t>
  </si>
  <si>
    <t>Ex-vivo, human</t>
  </si>
  <si>
    <t>In-silico</t>
  </si>
  <si>
    <t>In-vitro, 5% glucose solution</t>
  </si>
  <si>
    <t>In-vitro, human blood</t>
  </si>
  <si>
    <t>In-vitro, porcine blood</t>
  </si>
  <si>
    <t>In-vitro, saltwater</t>
  </si>
  <si>
    <t>Ex-vivo, porcine</t>
  </si>
  <si>
    <t>In-vivo, porcine</t>
  </si>
  <si>
    <t>Model type</t>
  </si>
  <si>
    <t>When/part of</t>
  </si>
  <si>
    <t>Documentation</t>
  </si>
  <si>
    <t>Fill in as much as possible before the experiment</t>
  </si>
  <si>
    <t>Save with filename on the format: [Experiment ID] - Notes ver[main version].[sub-version]- Rev[revision no]</t>
  </si>
  <si>
    <t>[Control] + [q|t] is a shortcut for inserting current timestamp, and start timer if standing in timestamp column of the Recording notes tab</t>
  </si>
  <si>
    <t>Text note</t>
  </si>
  <si>
    <t>Nihon Coden</t>
  </si>
  <si>
    <t>PowerLab</t>
  </si>
  <si>
    <t>LabChart</t>
  </si>
  <si>
    <t>Location on model</t>
  </si>
  <si>
    <t>Serial no.</t>
  </si>
  <si>
    <t>Recording equipment in use</t>
  </si>
  <si>
    <t>Driveline, 20 cm away from LVAD</t>
  </si>
  <si>
    <t>X-ray</t>
  </si>
  <si>
    <t>Signal isolation box</t>
  </si>
  <si>
    <t>Ultrasound, clip-on, monitor</t>
  </si>
  <si>
    <t>R-01.1</t>
  </si>
  <si>
    <t>R-01.2</t>
  </si>
  <si>
    <t>R-01.3</t>
  </si>
  <si>
    <t>R-09</t>
  </si>
  <si>
    <t>Camera, action</t>
  </si>
  <si>
    <t>R-07.1</t>
  </si>
  <si>
    <t>Ultrasound, clip-on, probe</t>
  </si>
  <si>
    <t>R-07.2</t>
  </si>
  <si>
    <t>DAC for CS1 accelerometer</t>
  </si>
  <si>
    <t>R-03.4</t>
  </si>
  <si>
    <t>R-03.2</t>
  </si>
  <si>
    <t>R-03.1</t>
  </si>
  <si>
    <t>Matlab</t>
  </si>
  <si>
    <t>Monitor for CS1 accelerometer</t>
  </si>
  <si>
    <t>R-03.3</t>
  </si>
  <si>
    <t>R-08.1</t>
  </si>
  <si>
    <t>R-14.1</t>
  </si>
  <si>
    <t>R-08.2</t>
  </si>
  <si>
    <t>R-04</t>
  </si>
  <si>
    <t>Nihon Cohden monitor</t>
  </si>
  <si>
    <t>R-16</t>
  </si>
  <si>
    <t>Inflow tube</t>
  </si>
  <si>
    <t>(%)</t>
  </si>
  <si>
    <t>Manometer control</t>
  </si>
  <si>
    <t>Lev. 1</t>
  </si>
  <si>
    <t>Lev. 2</t>
  </si>
  <si>
    <t>Lev. 3</t>
  </si>
  <si>
    <t>Lev. 4</t>
  </si>
  <si>
    <t>Lev. 5</t>
  </si>
  <si>
    <t>Balloon diameters</t>
  </si>
  <si>
    <t>1.0 rev.</t>
  </si>
  <si>
    <t>1.5 rev.</t>
  </si>
  <si>
    <t>2.0 rev.</t>
  </si>
  <si>
    <t>2.5 rev.</t>
  </si>
  <si>
    <t>0 rev.</t>
  </si>
  <si>
    <t>8 ATM</t>
  </si>
  <si>
    <t>17 ATM</t>
  </si>
  <si>
    <t>0 ATM</t>
  </si>
  <si>
    <t>PCI, 6mm x 20mm</t>
  </si>
  <si>
    <t>2 ATM</t>
  </si>
  <si>
    <t>13 ATM</t>
  </si>
  <si>
    <t>9 ATM</t>
  </si>
  <si>
    <t>19 ATM</t>
  </si>
  <si>
    <t>6 ATM</t>
  </si>
  <si>
    <t>18 ATM</t>
  </si>
  <si>
    <t>3 ATM</t>
  </si>
  <si>
    <t>Manometer (applied pressure or revolutions)</t>
  </si>
  <si>
    <t>* RBP</t>
  </si>
  <si>
    <t>4 ATM</t>
  </si>
  <si>
    <t>14 ATM</t>
  </si>
  <si>
    <t>~9</t>
  </si>
  <si>
    <t>~10</t>
  </si>
  <si>
    <t>~11</t>
  </si>
  <si>
    <t>~12</t>
  </si>
  <si>
    <t>** Max listed pressure, &gt;RBP</t>
  </si>
  <si>
    <t>PCI, 2mm x 28mm**</t>
  </si>
  <si>
    <t>20 ATM**</t>
  </si>
  <si>
    <t>C-1</t>
  </si>
  <si>
    <t>C-2</t>
  </si>
  <si>
    <t>C-6</t>
  </si>
  <si>
    <t>C-8</t>
  </si>
  <si>
    <t>C-11</t>
  </si>
  <si>
    <t>C-3</t>
  </si>
  <si>
    <t>C-5</t>
  </si>
  <si>
    <t>C-7</t>
  </si>
  <si>
    <t>C-10</t>
  </si>
  <si>
    <t>C-12</t>
  </si>
  <si>
    <t>C-13</t>
  </si>
  <si>
    <t>PCI, 4mm x 20mm*</t>
  </si>
  <si>
    <t>7 ATM</t>
  </si>
  <si>
    <t>16 ATM*</t>
  </si>
  <si>
    <t>C-15</t>
  </si>
  <si>
    <t>System M</t>
  </si>
  <si>
    <t>Bedside monitors</t>
  </si>
  <si>
    <t>Check if baseline is sustained</t>
  </si>
  <si>
    <t>Non-developing</t>
  </si>
  <si>
    <t>Other, text note</t>
  </si>
  <si>
    <t>Start of recording interval</t>
  </si>
  <si>
    <t>End of recording interval</t>
  </si>
  <si>
    <t>Correction, text note</t>
  </si>
  <si>
    <t>Interval annotation</t>
  </si>
  <si>
    <t>Possible manual disturbances</t>
  </si>
  <si>
    <t>Developing phase from event</t>
  </si>
  <si>
    <t>Paused/meaningless recording</t>
  </si>
  <si>
    <t>Recording, start</t>
  </si>
  <si>
    <t>Recording, end</t>
  </si>
  <si>
    <t>Calibration, text note</t>
  </si>
  <si>
    <t>Baseline, steady or transient state</t>
  </si>
  <si>
    <t>Described as text note</t>
  </si>
  <si>
    <t>Interval</t>
  </si>
  <si>
    <t>Intervals</t>
  </si>
  <si>
    <t>Thombolysis</t>
  </si>
  <si>
    <t>Developing phase until end-event</t>
  </si>
  <si>
    <t>End of parallell interval</t>
  </si>
  <si>
    <t>Transitional, parallell</t>
  </si>
  <si>
    <t>Transitional</t>
  </si>
  <si>
    <t>A note, within same interval</t>
  </si>
  <si>
    <t>Baseline, control</t>
  </si>
  <si>
    <t>N/A; steady/baseline interval</t>
  </si>
  <si>
    <t>Steady-state, control</t>
  </si>
  <si>
    <t>Not applicable</t>
  </si>
  <si>
    <t>Balloon inflation</t>
  </si>
  <si>
    <t>Balloon deflation</t>
  </si>
  <si>
    <t>Baseline with no catheter</t>
  </si>
  <si>
    <t>Baseline, in vitro</t>
  </si>
  <si>
    <t>New LabChart file</t>
  </si>
  <si>
    <t>IV2</t>
  </si>
  <si>
    <t>Sequence No</t>
  </si>
  <si>
    <t>Pilot</t>
  </si>
  <si>
    <t>Sequence type</t>
  </si>
  <si>
    <t>Sequence types</t>
  </si>
  <si>
    <t>Retake</t>
  </si>
  <si>
    <t>Regular</t>
  </si>
  <si>
    <t>Infill</t>
  </si>
  <si>
    <t>Pressure port on inflow tube</t>
  </si>
  <si>
    <t>Record on film</t>
  </si>
  <si>
    <t>Check and note System M clock drift</t>
  </si>
  <si>
    <t>System M time:  sec ahead</t>
  </si>
  <si>
    <t>Preparations, before data recording</t>
  </si>
  <si>
    <t>Round up</t>
  </si>
  <si>
    <t>Sync System M time to be the same as notes computer (laptop)</t>
  </si>
  <si>
    <t>Sync LabChart time to be the same as notes computer (laptop)</t>
  </si>
  <si>
    <t>Sync System M and LabChart
Set hematocrit to 20 and start LVAD</t>
  </si>
  <si>
    <t>Put in USB stick in each Teguar monitor</t>
  </si>
  <si>
    <t>Recording protocol</t>
  </si>
  <si>
    <t>Sequence folder</t>
  </si>
  <si>
    <t>Simulated pre-pump thrombosis in glucose solution</t>
  </si>
  <si>
    <t>Trombolytics administrated*</t>
  </si>
  <si>
    <t>Coagulant administrated*</t>
  </si>
  <si>
    <t>* May be regarded as parallell events</t>
  </si>
  <si>
    <t>Balloon diam. est.</t>
  </si>
  <si>
    <t>File tag: F1</t>
  </si>
  <si>
    <t xml:space="preserve">File tag: </t>
  </si>
  <si>
    <t>File tag</t>
  </si>
  <si>
    <t>16 ATM</t>
  </si>
  <si>
    <t>Tag</t>
  </si>
  <si>
    <t>20 ATM</t>
  </si>
  <si>
    <t>Set parameters in HeartWare monitor:
* hematocrit to 20
* Date and patient ID (= LVAD no.)
* VAD ID</t>
  </si>
  <si>
    <t>Measure and note down time difference for Cardibox/Teguar monitor</t>
  </si>
  <si>
    <t>Zero-calibrate pressure sensors</t>
  </si>
  <si>
    <t>Empty air from reservoar bag with syringe and close the port</t>
  </si>
  <si>
    <t>Check  for signal in LabChart</t>
  </si>
  <si>
    <t xml:space="preserve">Put Nihon Kohden display(s) to charge </t>
  </si>
  <si>
    <t>Empty circuit for water, mount LVAD and refill with 500 ml 5% glucose water.</t>
  </si>
  <si>
    <t>Bottom of loop</t>
  </si>
  <si>
    <t>LVAD, flat part on the outlet</t>
  </si>
  <si>
    <t>LVAD, 90 deg from outlet</t>
  </si>
  <si>
    <t>Comment</t>
  </si>
  <si>
    <t>Optional Teguar reference data</t>
  </si>
  <si>
    <t>Pressure port on outflow tube</t>
  </si>
  <si>
    <t>Outflow tube</t>
  </si>
  <si>
    <t>Backup against manual note error</t>
  </si>
  <si>
    <t>Directed against LVAD monitor</t>
  </si>
  <si>
    <t>afterload incr.</t>
  </si>
  <si>
    <t>~20% Q red.</t>
  </si>
  <si>
    <t>BL @ 2000 RPM</t>
  </si>
  <si>
    <t>Teguar driveline monitor time: 3 min and 53 sec behind</t>
  </si>
  <si>
    <t>Store RHC in water</t>
  </si>
  <si>
    <t xml:space="preserve">To </t>
  </si>
  <si>
    <t>~40% Q red.</t>
  </si>
  <si>
    <t>~60% Q red.</t>
  </si>
  <si>
    <t>~80% Q red.</t>
  </si>
  <si>
    <t>afterload decr.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</si>
</sst>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yyyy\-mm\-dd;@"/>
    <numFmt numFmtId="166" formatCode="hh:mm:ss"/>
  </numFmts>
  <fonts count="34" x14ac:knownFonts="1">
    <font>
      <sz val="11"/>
      <color theme="1"/>
      <name val="Calibri"/>
      <family val="2"/>
      <scheme val="minor"/>
    </font>
    <font>
      <b/>
      <sz val="11"/>
      <color theme="1"/>
      <name val="Calibri"/>
      <family val="2"/>
      <scheme val="minor"/>
    </font>
    <font>
      <sz val="12"/>
      <color theme="1"/>
      <name val="Calibri"/>
      <family val="2"/>
      <scheme val="minor"/>
    </font>
    <font>
      <sz val="9"/>
      <color indexed="81"/>
      <name val="Tahoma"/>
      <family val="2"/>
    </font>
    <font>
      <b/>
      <sz val="9"/>
      <color indexed="81"/>
      <name val="Tahoma"/>
      <family val="2"/>
    </font>
    <font>
      <b/>
      <sz val="12"/>
      <color theme="1"/>
      <name val="Calibri"/>
      <family val="2"/>
      <scheme val="minor"/>
    </font>
    <font>
      <i/>
      <sz val="12"/>
      <color theme="1"/>
      <name val="Calibri"/>
      <family val="2"/>
      <scheme val="minor"/>
    </font>
    <font>
      <sz val="16"/>
      <color theme="1"/>
      <name val="Calibri"/>
      <family val="2"/>
      <scheme val="minor"/>
    </font>
    <font>
      <b/>
      <sz val="16"/>
      <color theme="1"/>
      <name val="Calibri"/>
      <family val="2"/>
      <scheme val="minor"/>
    </font>
    <font>
      <sz val="13"/>
      <color theme="1"/>
      <name val="Calibri"/>
      <family val="2"/>
      <scheme val="minor"/>
    </font>
    <font>
      <b/>
      <sz val="13"/>
      <color theme="1"/>
      <name val="Calibri"/>
      <family val="2"/>
      <scheme val="minor"/>
    </font>
    <font>
      <sz val="14"/>
      <color theme="1"/>
      <name val="Calibri"/>
      <family val="2"/>
      <scheme val="minor"/>
    </font>
    <font>
      <b/>
      <sz val="14"/>
      <color theme="1"/>
      <name val="Calibri"/>
      <family val="2"/>
      <scheme val="minor"/>
    </font>
    <font>
      <b/>
      <sz val="11"/>
      <name val="Calibri"/>
      <family val="2"/>
      <scheme val="minor"/>
    </font>
    <font>
      <sz val="16"/>
      <color theme="0" tint="-0.34998626667073579"/>
      <name val="Calibri"/>
      <family val="2"/>
      <scheme val="minor"/>
    </font>
    <font>
      <sz val="14"/>
      <color theme="0"/>
      <name val="Calibri"/>
      <family val="2"/>
      <scheme val="minor"/>
    </font>
    <font>
      <sz val="13"/>
      <name val="Calibri"/>
      <family val="2"/>
      <scheme val="minor"/>
    </font>
    <font>
      <i/>
      <sz val="13"/>
      <color theme="1"/>
      <name val="Calibri"/>
      <family val="2"/>
      <scheme val="minor"/>
    </font>
    <font>
      <sz val="9.5"/>
      <color theme="1"/>
      <name val="Calibri"/>
      <family val="2"/>
      <scheme val="minor"/>
    </font>
    <font>
      <sz val="9.5"/>
      <name val="Calibri"/>
      <family val="2"/>
      <scheme val="minor"/>
    </font>
    <font>
      <sz val="14"/>
      <name val="Calibri"/>
      <family val="2"/>
      <scheme val="minor"/>
    </font>
    <font>
      <sz val="14"/>
      <color theme="3"/>
      <name val="Calibri"/>
      <family val="2"/>
      <scheme val="minor"/>
    </font>
    <font>
      <sz val="14"/>
      <color theme="5" tint="-0.249977111117893"/>
      <name val="Calibri"/>
      <family val="2"/>
      <scheme val="minor"/>
    </font>
    <font>
      <sz val="10"/>
      <color theme="1"/>
      <name val="Calibri"/>
      <family val="2"/>
      <scheme val="minor"/>
    </font>
    <font>
      <sz val="16"/>
      <color theme="3"/>
      <name val="Calibri"/>
      <family val="2"/>
      <scheme val="minor"/>
    </font>
    <font>
      <sz val="16"/>
      <color theme="5" tint="-0.249977111117893"/>
      <name val="Calibri"/>
      <family val="2"/>
      <scheme val="minor"/>
    </font>
    <font>
      <sz val="16"/>
      <name val="Calibri"/>
      <family val="2"/>
      <scheme val="minor"/>
    </font>
    <font>
      <b/>
      <sz val="16"/>
      <name val="Calibri"/>
      <family val="2"/>
      <scheme val="minor"/>
    </font>
    <font>
      <b/>
      <sz val="14"/>
      <color theme="0"/>
      <name val="Calibri"/>
      <family val="2"/>
      <scheme val="minor"/>
    </font>
    <font>
      <b/>
      <sz val="9.5"/>
      <color theme="1"/>
      <name val="Calibri"/>
      <family val="2"/>
      <scheme val="minor"/>
    </font>
    <font>
      <sz val="12"/>
      <name val="Calibri"/>
      <family val="2"/>
      <scheme val="minor"/>
    </font>
    <font>
      <sz val="8"/>
      <name val="Calibri"/>
      <family val="2"/>
      <scheme val="minor"/>
    </font>
    <font>
      <sz val="10"/>
      <color theme="0"/>
      <name val="Calibri"/>
      <family val="2"/>
      <scheme val="minor"/>
    </font>
    <font>
      <b/>
      <sz val="10"/>
      <color theme="1"/>
      <name val="Calibri"/>
      <family val="2"/>
      <scheme val="minor"/>
    </font>
  </fonts>
  <fills count="12">
    <fill>
      <patternFill patternType="none"/>
    </fill>
    <fill>
      <patternFill patternType="gray125"/>
    </fill>
    <fill>
      <patternFill patternType="solid">
        <fgColor theme="6" tint="0.79998168889431442"/>
        <bgColor indexed="64"/>
      </patternFill>
    </fill>
    <fill>
      <patternFill patternType="solid">
        <fgColor theme="3" tint="0.79998168889431442"/>
        <bgColor indexed="64"/>
      </patternFill>
    </fill>
    <fill>
      <patternFill patternType="solid">
        <fgColor theme="0"/>
        <bgColor indexed="64"/>
      </patternFill>
    </fill>
    <fill>
      <patternFill patternType="solid">
        <fgColor theme="0" tint="-4.9989318521683403E-2"/>
        <bgColor indexed="64"/>
      </patternFill>
    </fill>
    <fill>
      <patternFill patternType="solid">
        <fgColor theme="3"/>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1" tint="0.499984740745262"/>
        <bgColor indexed="64"/>
      </patternFill>
    </fill>
    <fill>
      <patternFill patternType="solid">
        <fgColor theme="5" tint="-0.249977111117893"/>
        <bgColor indexed="64"/>
      </patternFill>
    </fill>
  </fills>
  <borders count="55">
    <border>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style="medium">
        <color theme="0" tint="-0.249977111117893"/>
      </bottom>
      <diagonal/>
    </border>
    <border>
      <left style="thin">
        <color theme="0" tint="-0.499984740745262"/>
      </left>
      <right style="thin">
        <color theme="0" tint="-0.249977111117893"/>
      </right>
      <top style="thin">
        <color theme="0" tint="-0.499984740745262"/>
      </top>
      <bottom/>
      <diagonal/>
    </border>
    <border>
      <left style="thin">
        <color theme="0" tint="-0.249977111117893"/>
      </left>
      <right style="thin">
        <color theme="0" tint="-0.249977111117893"/>
      </right>
      <top style="thin">
        <color theme="0" tint="-0.499984740745262"/>
      </top>
      <bottom/>
      <diagonal/>
    </border>
    <border>
      <left style="thin">
        <color theme="0" tint="-0.499984740745262"/>
      </left>
      <right style="thin">
        <color theme="0" tint="-0.249977111117893"/>
      </right>
      <top style="thin">
        <color theme="0" tint="-0.249977111117893"/>
      </top>
      <bottom style="thin">
        <color theme="0" tint="-0.249977111117893"/>
      </bottom>
      <diagonal/>
    </border>
    <border>
      <left style="thin">
        <color theme="0" tint="-0.249977111117893"/>
      </left>
      <right/>
      <top style="thin">
        <color theme="0" tint="-0.499984740745262"/>
      </top>
      <bottom/>
      <diagonal/>
    </border>
    <border>
      <left style="thin">
        <color theme="0" tint="-0.249977111117893"/>
      </left>
      <right/>
      <top/>
      <bottom style="medium">
        <color theme="0" tint="-0.249977111117893"/>
      </bottom>
      <diagonal/>
    </border>
    <border>
      <left style="thin">
        <color theme="0" tint="-0.249977111117893"/>
      </left>
      <right/>
      <top style="thin">
        <color theme="0" tint="-0.249977111117893"/>
      </top>
      <bottom style="thin">
        <color theme="0" tint="-0.249977111117893"/>
      </bottom>
      <diagonal/>
    </border>
    <border>
      <left/>
      <right/>
      <top/>
      <bottom style="thin">
        <color theme="0" tint="-0.499984740745262"/>
      </bottom>
      <diagonal/>
    </border>
    <border>
      <left/>
      <right style="thin">
        <color theme="0" tint="-0.249977111117893"/>
      </right>
      <top style="thin">
        <color theme="0" tint="-0.249977111117893"/>
      </top>
      <bottom style="thin">
        <color theme="0" tint="-0.249977111117893"/>
      </bottom>
      <diagonal/>
    </border>
    <border>
      <left style="thin">
        <color theme="0" tint="-0.249977111117893"/>
      </left>
      <right/>
      <top/>
      <bottom style="thin">
        <color theme="0" tint="-0.249977111117893"/>
      </bottom>
      <diagonal/>
    </border>
    <border>
      <left style="thin">
        <color indexed="64"/>
      </left>
      <right/>
      <top/>
      <bottom style="thin">
        <color theme="0" tint="-0.499984740745262"/>
      </bottom>
      <diagonal/>
    </border>
    <border>
      <left/>
      <right/>
      <top style="thin">
        <color theme="3"/>
      </top>
      <bottom style="thin">
        <color theme="0" tint="-0.499984740745262"/>
      </bottom>
      <diagonal/>
    </border>
    <border>
      <left style="thin">
        <color theme="0" tint="-0.249977111117893"/>
      </left>
      <right style="thin">
        <color theme="0" tint="-0.249977111117893"/>
      </right>
      <top style="thin">
        <color theme="0" tint="-0.249977111117893"/>
      </top>
      <bottom/>
      <diagonal/>
    </border>
    <border>
      <left style="thin">
        <color indexed="64"/>
      </left>
      <right/>
      <top style="thin">
        <color theme="0" tint="-0.499984740745262"/>
      </top>
      <bottom/>
      <diagonal/>
    </border>
    <border>
      <left style="thin">
        <color indexed="64"/>
      </left>
      <right/>
      <top/>
      <bottom style="medium">
        <color theme="0" tint="-0.249977111117893"/>
      </bottom>
      <diagonal/>
    </border>
    <border>
      <left style="thin">
        <color indexed="64"/>
      </left>
      <right style="thin">
        <color theme="0" tint="-0.249977111117893"/>
      </right>
      <top style="thin">
        <color theme="0" tint="-0.249977111117893"/>
      </top>
      <bottom style="thin">
        <color theme="0" tint="-0.249977111117893"/>
      </bottom>
      <diagonal/>
    </border>
    <border>
      <left/>
      <right/>
      <top style="thin">
        <color theme="0" tint="-0.249977111117893"/>
      </top>
      <bottom style="thin">
        <color theme="0" tint="-0.249977111117893"/>
      </bottom>
      <diagonal/>
    </border>
    <border>
      <left style="thin">
        <color theme="0" tint="-0.249977111117893"/>
      </left>
      <right style="thin">
        <color theme="0" tint="-0.249977111117893"/>
      </right>
      <top/>
      <bottom style="thin">
        <color theme="0" tint="-0.249977111117893"/>
      </bottom>
      <diagonal/>
    </border>
    <border>
      <left/>
      <right/>
      <top/>
      <bottom style="thin">
        <color theme="0" tint="-0.249977111117893"/>
      </bottom>
      <diagonal/>
    </border>
    <border>
      <left style="thin">
        <color theme="1" tint="0.34998626667073579"/>
      </left>
      <right style="thin">
        <color theme="1" tint="0.34998626667073579"/>
      </right>
      <top style="thin">
        <color theme="1" tint="0.34998626667073579"/>
      </top>
      <bottom style="thin">
        <color theme="1" tint="0.34998626667073579"/>
      </bottom>
      <diagonal/>
    </border>
    <border>
      <left/>
      <right style="thin">
        <color theme="1" tint="0.34998626667073579"/>
      </right>
      <top style="thin">
        <color theme="1" tint="0.34998626667073579"/>
      </top>
      <bottom/>
      <diagonal/>
    </border>
    <border>
      <left style="thin">
        <color theme="1" tint="0.34998626667073579"/>
      </left>
      <right style="thin">
        <color theme="1" tint="0.34998626667073579"/>
      </right>
      <top style="thin">
        <color theme="1" tint="0.34998626667073579"/>
      </top>
      <bottom/>
      <diagonal/>
    </border>
    <border>
      <left style="thin">
        <color theme="1" tint="0.34998626667073579"/>
      </left>
      <right/>
      <top style="thin">
        <color theme="1" tint="0.34998626667073579"/>
      </top>
      <bottom/>
      <diagonal/>
    </border>
    <border>
      <left style="thin">
        <color theme="1" tint="0.34998626667073579"/>
      </left>
      <right/>
      <top/>
      <bottom/>
      <diagonal/>
    </border>
    <border>
      <left/>
      <right/>
      <top/>
      <bottom style="thin">
        <color theme="1" tint="0.34998626667073579"/>
      </bottom>
      <diagonal/>
    </border>
    <border>
      <left/>
      <right style="thin">
        <color theme="1" tint="0.34998626667073579"/>
      </right>
      <top/>
      <bottom style="thin">
        <color theme="1" tint="0.34998626667073579"/>
      </bottom>
      <diagonal/>
    </border>
    <border>
      <left style="thin">
        <color theme="1" tint="0.34998626667073579"/>
      </left>
      <right style="thin">
        <color theme="1" tint="0.34998626667073579"/>
      </right>
      <top/>
      <bottom style="thin">
        <color theme="1" tint="0.34998626667073579"/>
      </bottom>
      <diagonal/>
    </border>
    <border>
      <left style="thin">
        <color theme="1" tint="0.34998626667073579"/>
      </left>
      <right/>
      <top/>
      <bottom style="thin">
        <color theme="1" tint="0.34998626667073579"/>
      </bottom>
      <diagonal/>
    </border>
    <border>
      <left/>
      <right/>
      <top style="thin">
        <color theme="1" tint="0.34998626667073579"/>
      </top>
      <bottom style="thin">
        <color theme="1" tint="0.34998626667073579"/>
      </bottom>
      <diagonal/>
    </border>
    <border>
      <left style="thin">
        <color theme="1" tint="0.34998626667073579"/>
      </left>
      <right/>
      <top style="thin">
        <color theme="1" tint="0.34998626667073579"/>
      </top>
      <bottom style="thin">
        <color theme="1" tint="0.34998626667073579"/>
      </bottom>
      <diagonal/>
    </border>
    <border>
      <left style="thin">
        <color indexed="64"/>
      </left>
      <right/>
      <top style="thin">
        <color indexed="64"/>
      </top>
      <bottom/>
      <diagonal/>
    </border>
    <border>
      <left style="thin">
        <color theme="0" tint="-0.249977111117893"/>
      </left>
      <right style="thin">
        <color theme="0" tint="-0.249977111117893"/>
      </right>
      <top/>
      <bottom/>
      <diagonal/>
    </border>
    <border>
      <left style="thin">
        <color theme="1" tint="0.34998626667073579"/>
      </left>
      <right/>
      <top style="thin">
        <color theme="3"/>
      </top>
      <bottom style="thin">
        <color theme="1" tint="0.34998626667073579"/>
      </bottom>
      <diagonal/>
    </border>
    <border>
      <left/>
      <right/>
      <top style="thin">
        <color theme="3"/>
      </top>
      <bottom style="thin">
        <color theme="1" tint="0.34998626667073579"/>
      </bottom>
      <diagonal/>
    </border>
    <border>
      <left style="thin">
        <color theme="0" tint="-0.249977111117893"/>
      </left>
      <right/>
      <top/>
      <bottom/>
      <diagonal/>
    </border>
    <border>
      <left/>
      <right style="thin">
        <color theme="0" tint="-0.249977111117893"/>
      </right>
      <top/>
      <bottom/>
      <diagonal/>
    </border>
    <border>
      <left style="thin">
        <color theme="0"/>
      </left>
      <right/>
      <top/>
      <bottom/>
      <diagonal/>
    </border>
    <border>
      <left style="thin">
        <color indexed="64"/>
      </left>
      <right/>
      <top style="thin">
        <color indexed="64"/>
      </top>
      <bottom style="thin">
        <color theme="0" tint="-0.249977111117893"/>
      </bottom>
      <diagonal/>
    </border>
    <border>
      <left/>
      <right/>
      <top style="thin">
        <color indexed="64"/>
      </top>
      <bottom style="thin">
        <color theme="0" tint="-0.249977111117893"/>
      </bottom>
      <diagonal/>
    </border>
    <border>
      <left style="thin">
        <color indexed="64"/>
      </left>
      <right/>
      <top/>
      <bottom style="thin">
        <color theme="0" tint="-0.249977111117893"/>
      </bottom>
      <diagonal/>
    </border>
    <border>
      <left/>
      <right style="thin">
        <color indexed="64"/>
      </right>
      <top/>
      <bottom/>
      <diagonal/>
    </border>
    <border>
      <left style="thin">
        <color indexed="64"/>
      </left>
      <right/>
      <top style="thin">
        <color theme="0" tint="-0.249977111117893"/>
      </top>
      <bottom style="thin">
        <color theme="0" tint="-0.249977111117893"/>
      </bottom>
      <diagonal/>
    </border>
    <border>
      <left style="thin">
        <color theme="0" tint="-0.249977111117893"/>
      </left>
      <right style="thin">
        <color indexed="64"/>
      </right>
      <top style="thin">
        <color theme="0" tint="-0.499984740745262"/>
      </top>
      <bottom/>
      <diagonal/>
    </border>
    <border>
      <left style="thin">
        <color theme="0" tint="-0.249977111117893"/>
      </left>
      <right style="thin">
        <color indexed="64"/>
      </right>
      <top/>
      <bottom style="medium">
        <color theme="0" tint="-0.249977111117893"/>
      </bottom>
      <diagonal/>
    </border>
    <border>
      <left style="thin">
        <color theme="0" tint="-0.249977111117893"/>
      </left>
      <right style="thin">
        <color indexed="64"/>
      </right>
      <top style="thin">
        <color theme="0" tint="-0.249977111117893"/>
      </top>
      <bottom style="thin">
        <color theme="0" tint="-0.249977111117893"/>
      </bottom>
      <diagonal/>
    </border>
    <border>
      <left style="thin">
        <color indexed="64"/>
      </left>
      <right style="thin">
        <color theme="0" tint="-0.249977111117893"/>
      </right>
      <top style="thin">
        <color theme="0" tint="-0.249977111117893"/>
      </top>
      <bottom/>
      <diagonal/>
    </border>
    <border>
      <left style="thin">
        <color theme="0" tint="-0.249977111117893"/>
      </left>
      <right style="thin">
        <color indexed="64"/>
      </right>
      <top style="thin">
        <color theme="0" tint="-0.249977111117893"/>
      </top>
      <bottom/>
      <diagonal/>
    </border>
    <border>
      <left style="thin">
        <color indexed="64"/>
      </left>
      <right style="thin">
        <color theme="0" tint="-0.249977111117893"/>
      </right>
      <top/>
      <bottom style="thin">
        <color theme="0" tint="-0.249977111117893"/>
      </bottom>
      <diagonal/>
    </border>
    <border>
      <left style="thin">
        <color theme="0" tint="-0.249977111117893"/>
      </left>
      <right style="thin">
        <color indexed="64"/>
      </right>
      <top/>
      <bottom style="thin">
        <color theme="0" tint="-0.249977111117893"/>
      </bottom>
      <diagonal/>
    </border>
    <border>
      <left/>
      <right style="thin">
        <color indexed="64"/>
      </right>
      <top style="thin">
        <color indexed="64"/>
      </top>
      <bottom style="thin">
        <color theme="0" tint="-0.249977111117893"/>
      </bottom>
      <diagonal/>
    </border>
    <border>
      <left/>
      <right style="thin">
        <color theme="0" tint="-0.249977111117893"/>
      </right>
      <top/>
      <bottom style="thin">
        <color theme="0" tint="-0.249977111117893"/>
      </bottom>
      <diagonal/>
    </border>
    <border>
      <left style="thin">
        <color theme="0" tint="-0.499984740745262"/>
      </left>
      <right style="thin">
        <color theme="0" tint="-0.249977111117893"/>
      </right>
      <top/>
      <bottom style="thin">
        <color theme="0" tint="-0.249977111117893"/>
      </bottom>
      <diagonal/>
    </border>
    <border>
      <left style="medium">
        <color theme="5" tint="-0.499984740745262"/>
      </left>
      <right style="medium">
        <color theme="5" tint="-0.499984740745262"/>
      </right>
      <top style="medium">
        <color theme="5" tint="-0.499984740745262"/>
      </top>
      <bottom style="medium">
        <color theme="5" tint="-0.499984740745262"/>
      </bottom>
      <diagonal/>
    </border>
  </borders>
  <cellStyleXfs count="1">
    <xf numFmtId="0" fontId="0" fillId="0" borderId="0"/>
  </cellStyleXfs>
  <cellXfs count="236">
    <xf numFmtId="0" fontId="0" fillId="0" borderId="0" xfId="0"/>
    <xf numFmtId="0" fontId="2" fillId="0" borderId="0" xfId="0" applyFont="1" applyAlignment="1">
      <alignment horizontal="left" vertical="center"/>
    </xf>
    <xf numFmtId="0" fontId="2" fillId="0" borderId="0" xfId="0" applyFont="1" applyAlignment="1">
      <alignment horizontal="left" vertical="center" wrapText="1"/>
    </xf>
    <xf numFmtId="0" fontId="2" fillId="0" borderId="1" xfId="0" applyFont="1" applyBorder="1" applyAlignment="1">
      <alignment horizontal="left" vertical="center" wrapText="1" indent="1"/>
    </xf>
    <xf numFmtId="0" fontId="2" fillId="0" borderId="1" xfId="0" applyFont="1" applyBorder="1" applyAlignment="1">
      <alignment horizontal="left" vertical="center" indent="1"/>
    </xf>
    <xf numFmtId="0" fontId="1" fillId="0" borderId="1" xfId="0" applyFont="1" applyBorder="1" applyAlignment="1">
      <alignment horizontal="left" vertical="center" wrapText="1" indent="1"/>
    </xf>
    <xf numFmtId="0" fontId="2" fillId="0" borderId="0" xfId="0" applyFont="1" applyAlignment="1">
      <alignment horizontal="right" vertical="top" wrapText="1" indent="1"/>
    </xf>
    <xf numFmtId="0" fontId="5" fillId="0" borderId="0" xfId="0" applyFont="1" applyAlignment="1">
      <alignment wrapText="1"/>
    </xf>
    <xf numFmtId="0" fontId="2" fillId="0" borderId="0" xfId="0" applyFont="1"/>
    <xf numFmtId="0" fontId="2" fillId="0" borderId="0" xfId="0" applyFont="1" applyAlignment="1">
      <alignment wrapText="1"/>
    </xf>
    <xf numFmtId="0" fontId="5" fillId="3" borderId="0" xfId="0" applyFont="1" applyFill="1" applyAlignment="1">
      <alignment wrapText="1"/>
    </xf>
    <xf numFmtId="0" fontId="2" fillId="3" borderId="0" xfId="0" applyFont="1" applyFill="1" applyAlignment="1">
      <alignment wrapText="1"/>
    </xf>
    <xf numFmtId="165" fontId="7" fillId="0" borderId="5" xfId="0" applyNumberFormat="1" applyFont="1" applyBorder="1" applyAlignment="1">
      <alignment horizontal="center" vertical="center"/>
    </xf>
    <xf numFmtId="0" fontId="7" fillId="0" borderId="0" xfId="0" applyFont="1" applyBorder="1" applyAlignment="1">
      <alignment horizontal="center" vertical="center"/>
    </xf>
    <xf numFmtId="0" fontId="7" fillId="0" borderId="0" xfId="0" applyFont="1" applyAlignment="1">
      <alignment horizontal="center" vertical="center"/>
    </xf>
    <xf numFmtId="1" fontId="7" fillId="0" borderId="0" xfId="0" applyNumberFormat="1" applyFont="1" applyAlignment="1">
      <alignment horizontal="center" vertical="center"/>
    </xf>
    <xf numFmtId="2" fontId="7" fillId="0" borderId="0" xfId="0" applyNumberFormat="1" applyFont="1" applyAlignment="1">
      <alignment horizontal="center" vertical="center"/>
    </xf>
    <xf numFmtId="0" fontId="10" fillId="0" borderId="0" xfId="0" applyFont="1" applyBorder="1" applyAlignment="1">
      <alignment horizontal="center" wrapText="1"/>
    </xf>
    <xf numFmtId="0" fontId="10" fillId="0" borderId="0" xfId="0" applyFont="1" applyBorder="1" applyAlignment="1">
      <alignment horizontal="center" vertical="center" wrapText="1"/>
    </xf>
    <xf numFmtId="2" fontId="11" fillId="0" borderId="0" xfId="0" applyNumberFormat="1" applyFont="1" applyAlignment="1">
      <alignment horizontal="left" vertical="center" wrapText="1" indent="1"/>
    </xf>
    <xf numFmtId="0" fontId="11" fillId="0" borderId="0" xfId="0" applyFont="1" applyAlignment="1">
      <alignment horizontal="left" vertical="center" wrapText="1" indent="1"/>
    </xf>
    <xf numFmtId="0" fontId="11" fillId="0" borderId="1" xfId="0" applyFont="1" applyBorder="1" applyAlignment="1">
      <alignment horizontal="left" vertical="center" wrapText="1" indent="1"/>
    </xf>
    <xf numFmtId="2" fontId="13" fillId="3" borderId="6" xfId="0" applyNumberFormat="1" applyFont="1" applyFill="1" applyBorder="1" applyAlignment="1">
      <alignment horizontal="center" wrapText="1"/>
    </xf>
    <xf numFmtId="2" fontId="13" fillId="3" borderId="6" xfId="0" applyNumberFormat="1" applyFont="1" applyFill="1" applyBorder="1" applyAlignment="1">
      <alignment horizontal="left" wrapText="1" indent="1"/>
    </xf>
    <xf numFmtId="0" fontId="2" fillId="0" borderId="1" xfId="0" applyFont="1" applyBorder="1" applyAlignment="1">
      <alignment horizontal="center" vertical="center" wrapText="1"/>
    </xf>
    <xf numFmtId="0" fontId="2" fillId="0" borderId="0" xfId="0" applyFont="1" applyAlignment="1">
      <alignment horizontal="left" vertical="center" wrapText="1" indent="1"/>
    </xf>
    <xf numFmtId="0" fontId="0" fillId="0" borderId="0" xfId="0" applyAlignment="1">
      <alignment horizontal="left" indent="1"/>
    </xf>
    <xf numFmtId="21" fontId="7" fillId="0" borderId="10" xfId="0" applyNumberFormat="1" applyFont="1" applyBorder="1" applyAlignment="1">
      <alignment horizontal="center" vertical="center"/>
    </xf>
    <xf numFmtId="3" fontId="11" fillId="0" borderId="0" xfId="0" applyNumberFormat="1" applyFont="1" applyAlignment="1">
      <alignment horizontal="center" vertical="center"/>
    </xf>
    <xf numFmtId="3" fontId="9" fillId="2" borderId="4" xfId="0" applyNumberFormat="1" applyFont="1" applyFill="1" applyBorder="1" applyAlignment="1">
      <alignment horizontal="center" wrapText="1"/>
    </xf>
    <xf numFmtId="0" fontId="9" fillId="2" borderId="4" xfId="0" applyFont="1" applyFill="1" applyBorder="1" applyAlignment="1">
      <alignment horizontal="center" wrapText="1"/>
    </xf>
    <xf numFmtId="0" fontId="9" fillId="2" borderId="6" xfId="0" applyFont="1" applyFill="1" applyBorder="1" applyAlignment="1">
      <alignment horizontal="center" wrapText="1"/>
    </xf>
    <xf numFmtId="0" fontId="9" fillId="2" borderId="14" xfId="0" applyFont="1" applyFill="1" applyBorder="1" applyAlignment="1">
      <alignment horizontal="center" wrapText="1"/>
    </xf>
    <xf numFmtId="0" fontId="16" fillId="5" borderId="4" xfId="0" applyFont="1" applyFill="1" applyBorder="1" applyAlignment="1">
      <alignment horizontal="center" wrapText="1"/>
    </xf>
    <xf numFmtId="1" fontId="16" fillId="5" borderId="6" xfId="0" applyNumberFormat="1" applyFont="1" applyFill="1" applyBorder="1" applyAlignment="1">
      <alignment horizontal="center" wrapText="1"/>
    </xf>
    <xf numFmtId="2" fontId="16" fillId="5" borderId="6" xfId="0" applyNumberFormat="1" applyFont="1" applyFill="1" applyBorder="1" applyAlignment="1">
      <alignment horizontal="center" wrapText="1"/>
    </xf>
    <xf numFmtId="3" fontId="18" fillId="2" borderId="2" xfId="0" applyNumberFormat="1" applyFont="1" applyFill="1" applyBorder="1" applyAlignment="1">
      <alignment horizontal="center" vertical="center" wrapText="1"/>
    </xf>
    <xf numFmtId="0" fontId="18" fillId="2" borderId="2" xfId="0" applyFont="1" applyFill="1" applyBorder="1" applyAlignment="1">
      <alignment horizontal="center" vertical="center" wrapText="1"/>
    </xf>
    <xf numFmtId="0" fontId="18" fillId="2" borderId="7" xfId="0" applyFont="1" applyFill="1" applyBorder="1" applyAlignment="1">
      <alignment horizontal="center" vertical="center" wrapText="1"/>
    </xf>
    <xf numFmtId="0" fontId="19" fillId="5" borderId="2" xfId="0" applyFont="1" applyFill="1" applyBorder="1" applyAlignment="1">
      <alignment horizontal="center" vertical="center" wrapText="1"/>
    </xf>
    <xf numFmtId="1" fontId="19" fillId="5" borderId="7" xfId="0" applyNumberFormat="1" applyFont="1" applyFill="1" applyBorder="1" applyAlignment="1">
      <alignment horizontal="center" vertical="center" wrapText="1"/>
    </xf>
    <xf numFmtId="2" fontId="19" fillId="5" borderId="7" xfId="0" applyNumberFormat="1" applyFont="1" applyFill="1" applyBorder="1" applyAlignment="1">
      <alignment horizontal="center" vertical="center" wrapText="1"/>
    </xf>
    <xf numFmtId="2" fontId="19" fillId="5" borderId="7" xfId="0" applyNumberFormat="1" applyFont="1" applyFill="1" applyBorder="1" applyAlignment="1">
      <alignment horizontal="left" vertical="center" wrapText="1" indent="1"/>
    </xf>
    <xf numFmtId="3" fontId="11" fillId="0" borderId="1" xfId="0" applyNumberFormat="1" applyFont="1" applyBorder="1" applyAlignment="1">
      <alignment horizontal="center" vertical="center"/>
    </xf>
    <xf numFmtId="1" fontId="11" fillId="5" borderId="1" xfId="0" applyNumberFormat="1" applyFont="1" applyFill="1" applyBorder="1" applyAlignment="1">
      <alignment horizontal="center" vertical="center"/>
    </xf>
    <xf numFmtId="0" fontId="11" fillId="0" borderId="8" xfId="0" applyFont="1" applyBorder="1" applyAlignment="1">
      <alignment horizontal="left" vertical="center" wrapText="1" indent="1"/>
    </xf>
    <xf numFmtId="2" fontId="11" fillId="4" borderId="1" xfId="0" applyNumberFormat="1" applyFont="1" applyFill="1" applyBorder="1" applyAlignment="1">
      <alignment horizontal="center" vertical="center"/>
    </xf>
    <xf numFmtId="2" fontId="21" fillId="0" borderId="1" xfId="0" applyNumberFormat="1" applyFont="1" applyBorder="1" applyAlignment="1">
      <alignment horizontal="center" vertical="center"/>
    </xf>
    <xf numFmtId="2" fontId="23" fillId="0" borderId="8" xfId="0" applyNumberFormat="1" applyFont="1" applyBorder="1" applyAlignment="1">
      <alignment horizontal="left" vertical="center" wrapText="1" indent="1"/>
    </xf>
    <xf numFmtId="3" fontId="11" fillId="0" borderId="19" xfId="0" applyNumberFormat="1" applyFont="1" applyBorder="1" applyAlignment="1">
      <alignment horizontal="center" vertical="center"/>
    </xf>
    <xf numFmtId="0" fontId="11" fillId="4" borderId="19" xfId="0" applyFont="1" applyFill="1" applyBorder="1" applyAlignment="1">
      <alignment horizontal="left" vertical="center" wrapText="1" indent="1"/>
    </xf>
    <xf numFmtId="0" fontId="11" fillId="4" borderId="11" xfId="0" applyFont="1" applyFill="1" applyBorder="1" applyAlignment="1">
      <alignment horizontal="left" vertical="center" wrapText="1" indent="1"/>
    </xf>
    <xf numFmtId="2" fontId="11" fillId="4" borderId="19" xfId="0" applyNumberFormat="1" applyFont="1" applyFill="1" applyBorder="1" applyAlignment="1">
      <alignment horizontal="center" vertical="center"/>
    </xf>
    <xf numFmtId="1" fontId="11" fillId="0" borderId="11" xfId="0" applyNumberFormat="1" applyFont="1" applyBorder="1" applyAlignment="1">
      <alignment horizontal="center" vertical="center"/>
    </xf>
    <xf numFmtId="2" fontId="11" fillId="4" borderId="11" xfId="0" applyNumberFormat="1" applyFont="1" applyFill="1" applyBorder="1" applyAlignment="1">
      <alignment horizontal="center" vertical="center"/>
    </xf>
    <xf numFmtId="2" fontId="11" fillId="0" borderId="11" xfId="0" applyNumberFormat="1" applyFont="1" applyBorder="1" applyAlignment="1">
      <alignment horizontal="left" vertical="center" wrapText="1" indent="1"/>
    </xf>
    <xf numFmtId="2" fontId="23" fillId="0" borderId="11" xfId="0" applyNumberFormat="1" applyFont="1" applyBorder="1" applyAlignment="1">
      <alignment horizontal="left" vertical="center" wrapText="1" indent="1"/>
    </xf>
    <xf numFmtId="1" fontId="11" fillId="0" borderId="0" xfId="0" applyNumberFormat="1" applyFont="1" applyAlignment="1">
      <alignment horizontal="center" vertical="center"/>
    </xf>
    <xf numFmtId="2" fontId="11" fillId="0" borderId="0" xfId="0" applyNumberFormat="1" applyFont="1" applyAlignment="1">
      <alignment horizontal="center" vertical="center"/>
    </xf>
    <xf numFmtId="1" fontId="11" fillId="0" borderId="0" xfId="0" applyNumberFormat="1" applyFont="1" applyAlignment="1">
      <alignment horizontal="left" vertical="center" wrapText="1" indent="1"/>
    </xf>
    <xf numFmtId="9" fontId="11" fillId="0" borderId="0" xfId="0" applyNumberFormat="1" applyFont="1" applyAlignment="1">
      <alignment horizontal="center" vertical="center"/>
    </xf>
    <xf numFmtId="2" fontId="21" fillId="0" borderId="0" xfId="0" applyNumberFormat="1" applyFont="1" applyAlignment="1">
      <alignment horizontal="center" vertical="center"/>
    </xf>
    <xf numFmtId="2" fontId="22" fillId="0" borderId="0" xfId="0" applyNumberFormat="1" applyFont="1" applyAlignment="1">
      <alignment horizontal="center" vertical="center"/>
    </xf>
    <xf numFmtId="1" fontId="24" fillId="0" borderId="0" xfId="0" applyNumberFormat="1" applyFont="1" applyAlignment="1">
      <alignment horizontal="center" vertical="center"/>
    </xf>
    <xf numFmtId="2" fontId="25" fillId="0" borderId="0" xfId="0" applyNumberFormat="1" applyFont="1" applyAlignment="1">
      <alignment horizontal="center" vertical="center"/>
    </xf>
    <xf numFmtId="1" fontId="25" fillId="0" borderId="0" xfId="0" applyNumberFormat="1" applyFont="1" applyAlignment="1">
      <alignment horizontal="center" vertical="center"/>
    </xf>
    <xf numFmtId="2" fontId="18" fillId="0" borderId="0" xfId="0" applyNumberFormat="1" applyFont="1" applyAlignment="1">
      <alignment horizontal="left" vertical="center" wrapText="1" indent="1"/>
    </xf>
    <xf numFmtId="0" fontId="18" fillId="0" borderId="0" xfId="0" applyFont="1" applyAlignment="1">
      <alignment horizontal="left" vertical="center" wrapText="1" indent="1"/>
    </xf>
    <xf numFmtId="2" fontId="18" fillId="0" borderId="8" xfId="0" applyNumberFormat="1" applyFont="1" applyBorder="1" applyAlignment="1">
      <alignment horizontal="left" vertical="center" wrapText="1" indent="1"/>
    </xf>
    <xf numFmtId="2" fontId="18" fillId="0" borderId="18" xfId="0" applyNumberFormat="1" applyFont="1" applyBorder="1" applyAlignment="1">
      <alignment horizontal="left" vertical="center" wrapText="1" indent="1"/>
    </xf>
    <xf numFmtId="0" fontId="0" fillId="0" borderId="1" xfId="0" applyBorder="1"/>
    <xf numFmtId="0" fontId="26" fillId="0" borderId="1" xfId="0" applyFont="1" applyBorder="1" applyAlignment="1">
      <alignment horizontal="center" vertical="center"/>
    </xf>
    <xf numFmtId="0" fontId="27" fillId="0" borderId="1" xfId="0" applyFont="1" applyBorder="1" applyAlignment="1">
      <alignment horizontal="center" vertical="center"/>
    </xf>
    <xf numFmtId="0" fontId="0" fillId="0" borderId="0" xfId="0" applyAlignment="1">
      <alignment vertical="center"/>
    </xf>
    <xf numFmtId="0" fontId="7" fillId="0" borderId="0" xfId="0" applyFont="1" applyAlignment="1">
      <alignment horizontal="left" vertical="top"/>
    </xf>
    <xf numFmtId="1" fontId="7" fillId="0" borderId="0" xfId="0" applyNumberFormat="1" applyFont="1" applyAlignment="1">
      <alignment vertical="top"/>
    </xf>
    <xf numFmtId="1" fontId="8" fillId="0" borderId="0" xfId="0" applyNumberFormat="1" applyFont="1" applyAlignment="1">
      <alignment vertical="top"/>
    </xf>
    <xf numFmtId="0" fontId="8" fillId="0" borderId="0" xfId="0" applyFont="1" applyAlignment="1">
      <alignment horizontal="center" vertical="center"/>
    </xf>
    <xf numFmtId="0" fontId="29" fillId="0" borderId="0" xfId="0" applyFont="1" applyAlignment="1">
      <alignment horizontal="center" vertical="center"/>
    </xf>
    <xf numFmtId="0" fontId="12" fillId="0" borderId="0" xfId="0" applyFont="1" applyAlignment="1">
      <alignment horizontal="center" vertical="center"/>
    </xf>
    <xf numFmtId="0" fontId="8" fillId="2" borderId="0" xfId="0" applyFont="1" applyFill="1" applyAlignment="1">
      <alignment horizontal="center" wrapText="1"/>
    </xf>
    <xf numFmtId="2" fontId="27" fillId="3" borderId="22" xfId="0" applyNumberFormat="1" applyFont="1" applyFill="1" applyBorder="1" applyAlignment="1">
      <alignment horizontal="center" wrapText="1"/>
    </xf>
    <xf numFmtId="2" fontId="27" fillId="3" borderId="23" xfId="0" applyNumberFormat="1" applyFont="1" applyFill="1" applyBorder="1" applyAlignment="1">
      <alignment horizontal="center" wrapText="1"/>
    </xf>
    <xf numFmtId="2" fontId="27" fillId="7" borderId="23" xfId="0" applyNumberFormat="1" applyFont="1" applyFill="1" applyBorder="1" applyAlignment="1">
      <alignment horizontal="center" wrapText="1"/>
    </xf>
    <xf numFmtId="164" fontId="27" fillId="3" borderId="23" xfId="0" applyNumberFormat="1" applyFont="1" applyFill="1" applyBorder="1" applyAlignment="1">
      <alignment horizontal="center" wrapText="1"/>
    </xf>
    <xf numFmtId="1" fontId="27" fillId="3" borderId="23" xfId="0" applyNumberFormat="1" applyFont="1" applyFill="1" applyBorder="1" applyAlignment="1">
      <alignment horizontal="center" wrapText="1"/>
    </xf>
    <xf numFmtId="1" fontId="27" fillId="7" borderId="24" xfId="0" applyNumberFormat="1" applyFont="1" applyFill="1" applyBorder="1" applyAlignment="1">
      <alignment horizontal="center" wrapText="1"/>
    </xf>
    <xf numFmtId="0" fontId="8" fillId="2" borderId="25" xfId="0" applyFont="1" applyFill="1" applyBorder="1" applyAlignment="1">
      <alignment horizontal="center" wrapText="1"/>
    </xf>
    <xf numFmtId="0" fontId="8" fillId="0" borderId="0" xfId="0" applyFont="1" applyAlignment="1">
      <alignment horizontal="center" wrapText="1"/>
    </xf>
    <xf numFmtId="0" fontId="2" fillId="2" borderId="26" xfId="0" applyFont="1" applyFill="1" applyBorder="1" applyAlignment="1">
      <alignment horizontal="center" vertical="center" wrapText="1"/>
    </xf>
    <xf numFmtId="2" fontId="30" fillId="8" borderId="27" xfId="0" applyNumberFormat="1" applyFont="1" applyFill="1" applyBorder="1" applyAlignment="1">
      <alignment horizontal="center" vertical="center" wrapText="1"/>
    </xf>
    <xf numFmtId="2" fontId="30" fillId="8" borderId="28" xfId="0" applyNumberFormat="1" applyFont="1" applyFill="1" applyBorder="1" applyAlignment="1">
      <alignment horizontal="center" vertical="center" wrapText="1"/>
    </xf>
    <xf numFmtId="2" fontId="30" fillId="7" borderId="28" xfId="0" applyNumberFormat="1" applyFont="1" applyFill="1" applyBorder="1" applyAlignment="1">
      <alignment horizontal="center" vertical="center" wrapText="1"/>
    </xf>
    <xf numFmtId="164" fontId="30" fillId="8" borderId="28" xfId="0" applyNumberFormat="1" applyFont="1" applyFill="1" applyBorder="1" applyAlignment="1">
      <alignment horizontal="center" vertical="center" wrapText="1"/>
    </xf>
    <xf numFmtId="1" fontId="30" fillId="8" borderId="28" xfId="0" applyNumberFormat="1" applyFont="1" applyFill="1" applyBorder="1" applyAlignment="1">
      <alignment horizontal="center" vertical="center" wrapText="1"/>
    </xf>
    <xf numFmtId="1" fontId="30" fillId="7" borderId="29" xfId="0" applyNumberFormat="1" applyFont="1" applyFill="1" applyBorder="1" applyAlignment="1">
      <alignment horizontal="center" vertical="center" wrapText="1"/>
    </xf>
    <xf numFmtId="0" fontId="2" fillId="2" borderId="25" xfId="0" applyFont="1" applyFill="1" applyBorder="1" applyAlignment="1">
      <alignment horizontal="center" vertical="center" wrapText="1"/>
    </xf>
    <xf numFmtId="0" fontId="2" fillId="0" borderId="0" xfId="0" applyFont="1" applyAlignment="1">
      <alignment horizontal="center" vertical="center" wrapText="1"/>
    </xf>
    <xf numFmtId="21" fontId="7" fillId="0" borderId="26" xfId="0" applyNumberFormat="1" applyFont="1" applyBorder="1" applyAlignment="1">
      <alignment horizontal="center" vertical="center"/>
    </xf>
    <xf numFmtId="2" fontId="7" fillId="0" borderId="21" xfId="0" applyNumberFormat="1" applyFont="1" applyBorder="1" applyAlignment="1">
      <alignment horizontal="center" vertical="center"/>
    </xf>
    <xf numFmtId="2" fontId="7" fillId="0" borderId="28" xfId="0" applyNumberFormat="1" applyFont="1" applyBorder="1" applyAlignment="1">
      <alignment horizontal="center" vertical="center"/>
    </xf>
    <xf numFmtId="1" fontId="7" fillId="0" borderId="28" xfId="0" applyNumberFormat="1" applyFont="1" applyBorder="1" applyAlignment="1">
      <alignment horizontal="center" vertical="center"/>
    </xf>
    <xf numFmtId="1" fontId="7" fillId="0" borderId="29" xfId="0" applyNumberFormat="1" applyFont="1" applyBorder="1" applyAlignment="1">
      <alignment horizontal="center" vertical="center"/>
    </xf>
    <xf numFmtId="2" fontId="7" fillId="0" borderId="29" xfId="0" applyNumberFormat="1" applyFont="1" applyBorder="1" applyAlignment="1">
      <alignment horizontal="center" vertical="center"/>
    </xf>
    <xf numFmtId="21" fontId="7" fillId="4" borderId="30" xfId="0" applyNumberFormat="1" applyFont="1" applyFill="1" applyBorder="1" applyAlignment="1">
      <alignment horizontal="center" vertical="center"/>
    </xf>
    <xf numFmtId="1" fontId="7" fillId="0" borderId="21" xfId="0" applyNumberFormat="1" applyFont="1" applyBorder="1" applyAlignment="1">
      <alignment horizontal="center" vertical="center"/>
    </xf>
    <xf numFmtId="1" fontId="7" fillId="0" borderId="31" xfId="0" applyNumberFormat="1" applyFont="1" applyBorder="1" applyAlignment="1">
      <alignment horizontal="center" vertical="center"/>
    </xf>
    <xf numFmtId="2" fontId="7" fillId="0" borderId="31" xfId="0" applyNumberFormat="1" applyFont="1" applyBorder="1" applyAlignment="1">
      <alignment horizontal="center" vertical="center"/>
    </xf>
    <xf numFmtId="21" fontId="7" fillId="4" borderId="26" xfId="0" applyNumberFormat="1" applyFont="1" applyFill="1" applyBorder="1" applyAlignment="1">
      <alignment horizontal="center" vertical="center"/>
    </xf>
    <xf numFmtId="2" fontId="14" fillId="0" borderId="21" xfId="0" applyNumberFormat="1" applyFont="1" applyBorder="1" applyAlignment="1">
      <alignment horizontal="center" vertical="center"/>
    </xf>
    <xf numFmtId="1" fontId="14" fillId="0" borderId="21" xfId="0" applyNumberFormat="1" applyFont="1" applyBorder="1" applyAlignment="1">
      <alignment horizontal="center" vertical="center"/>
    </xf>
    <xf numFmtId="1" fontId="14" fillId="0" borderId="31" xfId="0" applyNumberFormat="1" applyFont="1" applyBorder="1" applyAlignment="1">
      <alignment horizontal="center" vertical="center"/>
    </xf>
    <xf numFmtId="0" fontId="14" fillId="0" borderId="0" xfId="0" applyFont="1" applyAlignment="1">
      <alignment horizontal="center" vertical="center"/>
    </xf>
    <xf numFmtId="0" fontId="30" fillId="0" borderId="1" xfId="0" applyFont="1" applyBorder="1" applyAlignment="1">
      <alignment horizontal="left" vertical="center" wrapText="1" indent="1"/>
    </xf>
    <xf numFmtId="0" fontId="2" fillId="0" borderId="0" xfId="0" applyFont="1" applyAlignment="1">
      <alignment vertical="center"/>
    </xf>
    <xf numFmtId="0" fontId="2" fillId="0" borderId="0" xfId="0" applyFont="1" applyAlignment="1">
      <alignment vertical="center" wrapText="1"/>
    </xf>
    <xf numFmtId="0" fontId="1" fillId="0" borderId="0" xfId="0" applyFont="1" applyAlignment="1">
      <alignment horizontal="left" vertical="center" wrapText="1" indent="1"/>
    </xf>
    <xf numFmtId="0" fontId="0" fillId="0" borderId="0" xfId="0" applyFont="1"/>
    <xf numFmtId="0" fontId="2" fillId="0" borderId="0" xfId="0" applyFont="1" applyAlignment="1">
      <alignment horizontal="left" indent="1"/>
    </xf>
    <xf numFmtId="2" fontId="30" fillId="3" borderId="1" xfId="0" applyNumberFormat="1" applyFont="1" applyFill="1" applyBorder="1" applyAlignment="1">
      <alignment horizontal="center" vertical="center" wrapText="1"/>
    </xf>
    <xf numFmtId="0" fontId="11" fillId="0" borderId="0" xfId="0" applyFont="1"/>
    <xf numFmtId="0" fontId="9" fillId="2" borderId="3" xfId="0" applyFont="1" applyFill="1" applyBorder="1" applyAlignment="1">
      <alignment horizontal="center" wrapText="1"/>
    </xf>
    <xf numFmtId="21" fontId="7" fillId="0" borderId="1" xfId="0" applyNumberFormat="1" applyFont="1" applyBorder="1" applyAlignment="1">
      <alignment horizontal="center" vertical="center"/>
    </xf>
    <xf numFmtId="14" fontId="0" fillId="0" borderId="0" xfId="0" applyNumberFormat="1"/>
    <xf numFmtId="164" fontId="28" fillId="11" borderId="13" xfId="0" applyNumberFormat="1" applyFont="1" applyFill="1" applyBorder="1" applyAlignment="1">
      <alignment horizontal="center" vertical="center"/>
    </xf>
    <xf numFmtId="2" fontId="18" fillId="0" borderId="1" xfId="0" applyNumberFormat="1" applyFont="1" applyBorder="1" applyAlignment="1">
      <alignment horizontal="left" vertical="center" wrapText="1" indent="1"/>
    </xf>
    <xf numFmtId="21" fontId="11" fillId="4" borderId="8" xfId="0" applyNumberFormat="1" applyFont="1" applyFill="1" applyBorder="1" applyAlignment="1">
      <alignment horizontal="center" vertical="center"/>
    </xf>
    <xf numFmtId="2" fontId="19" fillId="0" borderId="1" xfId="0" applyNumberFormat="1" applyFont="1" applyBorder="1" applyAlignment="1">
      <alignment horizontal="left" vertical="center" wrapText="1" indent="1"/>
    </xf>
    <xf numFmtId="21" fontId="11" fillId="4" borderId="8" xfId="0" applyNumberFormat="1" applyFont="1" applyFill="1" applyBorder="1" applyAlignment="1">
      <alignment horizontal="center" vertical="center"/>
    </xf>
    <xf numFmtId="0" fontId="2" fillId="3" borderId="33" xfId="0" applyFont="1" applyFill="1" applyBorder="1" applyAlignment="1">
      <alignment horizontal="center" vertical="center" wrapText="1"/>
    </xf>
    <xf numFmtId="1" fontId="11" fillId="4" borderId="19" xfId="0" applyNumberFormat="1" applyFont="1" applyFill="1" applyBorder="1" applyAlignment="1">
      <alignment horizontal="center" vertical="center"/>
    </xf>
    <xf numFmtId="0" fontId="30" fillId="0" borderId="1" xfId="0" applyFont="1" applyBorder="1" applyAlignment="1">
      <alignment horizontal="center" vertical="center" wrapText="1"/>
    </xf>
    <xf numFmtId="0" fontId="2" fillId="4" borderId="1" xfId="0" applyFont="1" applyFill="1" applyBorder="1" applyAlignment="1">
      <alignment horizontal="center" vertical="center" wrapText="1"/>
    </xf>
    <xf numFmtId="0" fontId="30" fillId="4" borderId="1" xfId="0" applyFont="1" applyFill="1" applyBorder="1" applyAlignment="1">
      <alignment horizontal="center" vertical="center" wrapText="1"/>
    </xf>
    <xf numFmtId="164" fontId="15" fillId="6" borderId="32" xfId="0" applyNumberFormat="1" applyFont="1" applyFill="1" applyBorder="1" applyAlignment="1">
      <alignment horizontal="center" vertical="center"/>
    </xf>
    <xf numFmtId="0" fontId="30" fillId="9" borderId="1" xfId="0" applyFont="1" applyFill="1" applyBorder="1" applyAlignment="1">
      <alignment horizontal="left" vertical="center" wrapText="1" indent="1"/>
    </xf>
    <xf numFmtId="1" fontId="30" fillId="3" borderId="1" xfId="0" applyNumberFormat="1" applyFont="1" applyFill="1" applyBorder="1" applyAlignment="1">
      <alignment horizontal="center" vertical="center" wrapText="1"/>
    </xf>
    <xf numFmtId="1" fontId="22" fillId="0" borderId="8" xfId="0" applyNumberFormat="1" applyFont="1" applyBorder="1" applyAlignment="1">
      <alignment horizontal="center" vertical="center"/>
    </xf>
    <xf numFmtId="2" fontId="16" fillId="5" borderId="15" xfId="0" applyNumberFormat="1" applyFont="1" applyFill="1" applyBorder="1" applyAlignment="1">
      <alignment horizontal="center" wrapText="1"/>
    </xf>
    <xf numFmtId="2" fontId="19" fillId="5" borderId="16" xfId="0" applyNumberFormat="1" applyFont="1" applyFill="1" applyBorder="1" applyAlignment="1">
      <alignment horizontal="center" vertical="center" wrapText="1"/>
    </xf>
    <xf numFmtId="2" fontId="23" fillId="0" borderId="43" xfId="0" applyNumberFormat="1" applyFont="1" applyBorder="1" applyAlignment="1">
      <alignment horizontal="left" vertical="center" wrapText="1" indent="1"/>
    </xf>
    <xf numFmtId="2" fontId="23" fillId="0" borderId="41" xfId="0" applyNumberFormat="1" applyFont="1" applyBorder="1" applyAlignment="1">
      <alignment horizontal="left" vertical="center" wrapText="1" indent="1"/>
    </xf>
    <xf numFmtId="1" fontId="7" fillId="0" borderId="1" xfId="0" applyNumberFormat="1" applyFont="1" applyBorder="1" applyAlignment="1">
      <alignment horizontal="center" vertical="center"/>
    </xf>
    <xf numFmtId="2" fontId="22" fillId="0" borderId="1" xfId="0" applyNumberFormat="1" applyFont="1" applyBorder="1" applyAlignment="1">
      <alignment horizontal="center" vertical="center"/>
    </xf>
    <xf numFmtId="1" fontId="21" fillId="0" borderId="1" xfId="0" applyNumberFormat="1" applyFont="1" applyBorder="1" applyAlignment="1">
      <alignment horizontal="center" vertical="center"/>
    </xf>
    <xf numFmtId="2" fontId="21" fillId="4" borderId="1" xfId="0" applyNumberFormat="1" applyFont="1" applyFill="1" applyBorder="1" applyAlignment="1">
      <alignment horizontal="center" vertical="center"/>
    </xf>
    <xf numFmtId="2" fontId="22" fillId="4" borderId="1" xfId="0" applyNumberFormat="1" applyFont="1" applyFill="1" applyBorder="1" applyAlignment="1">
      <alignment horizontal="center" vertical="center"/>
    </xf>
    <xf numFmtId="1" fontId="21" fillId="4" borderId="1" xfId="0" applyNumberFormat="1" applyFont="1" applyFill="1" applyBorder="1" applyAlignment="1">
      <alignment horizontal="center" vertical="center"/>
    </xf>
    <xf numFmtId="1" fontId="22" fillId="4" borderId="8" xfId="0" applyNumberFormat="1" applyFont="1" applyFill="1" applyBorder="1" applyAlignment="1">
      <alignment horizontal="center" vertical="center"/>
    </xf>
    <xf numFmtId="1" fontId="11" fillId="0" borderId="10" xfId="0" applyNumberFormat="1" applyFont="1" applyBorder="1" applyAlignment="1">
      <alignment horizontal="center" vertical="center"/>
    </xf>
    <xf numFmtId="9" fontId="16" fillId="5" borderId="44" xfId="0" applyNumberFormat="1" applyFont="1" applyFill="1" applyBorder="1" applyAlignment="1">
      <alignment horizontal="center" wrapText="1"/>
    </xf>
    <xf numFmtId="9" fontId="19" fillId="5" borderId="45" xfId="0" applyNumberFormat="1" applyFont="1" applyFill="1" applyBorder="1" applyAlignment="1">
      <alignment horizontal="center" vertical="center" wrapText="1"/>
    </xf>
    <xf numFmtId="2" fontId="30" fillId="3" borderId="8" xfId="0" applyNumberFormat="1" applyFont="1" applyFill="1" applyBorder="1" applyAlignment="1">
      <alignment horizontal="center" vertical="center" wrapText="1"/>
    </xf>
    <xf numFmtId="0" fontId="30" fillId="0" borderId="8" xfId="0" applyFont="1" applyBorder="1" applyAlignment="1">
      <alignment horizontal="left" vertical="center" wrapText="1" indent="1"/>
    </xf>
    <xf numFmtId="1" fontId="30" fillId="3" borderId="17" xfId="0" applyNumberFormat="1" applyFont="1" applyFill="1" applyBorder="1" applyAlignment="1">
      <alignment horizontal="center" vertical="center" wrapText="1"/>
    </xf>
    <xf numFmtId="0" fontId="30" fillId="0" borderId="17" xfId="0" applyFont="1" applyBorder="1" applyAlignment="1">
      <alignment horizontal="left" vertical="center" wrapText="1" indent="1"/>
    </xf>
    <xf numFmtId="1" fontId="30" fillId="3" borderId="8" xfId="0" applyNumberFormat="1" applyFont="1" applyFill="1" applyBorder="1" applyAlignment="1">
      <alignment horizontal="center" vertical="center" wrapText="1"/>
    </xf>
    <xf numFmtId="2" fontId="30" fillId="0" borderId="17" xfId="0" applyNumberFormat="1" applyFont="1" applyBorder="1" applyAlignment="1">
      <alignment horizontal="left" vertical="center" wrapText="1" indent="1"/>
    </xf>
    <xf numFmtId="2" fontId="30" fillId="0" borderId="1" xfId="0" applyNumberFormat="1" applyFont="1" applyBorder="1" applyAlignment="1">
      <alignment horizontal="left" vertical="center" wrapText="1" indent="1"/>
    </xf>
    <xf numFmtId="2" fontId="30" fillId="0" borderId="8" xfId="0" applyNumberFormat="1" applyFont="1" applyBorder="1" applyAlignment="1">
      <alignment horizontal="left" vertical="center" wrapText="1" indent="1"/>
    </xf>
    <xf numFmtId="2" fontId="30" fillId="9" borderId="17" xfId="0" applyNumberFormat="1" applyFont="1" applyFill="1" applyBorder="1" applyAlignment="1">
      <alignment horizontal="left" vertical="center" wrapText="1" indent="1"/>
    </xf>
    <xf numFmtId="2" fontId="30" fillId="9" borderId="1" xfId="0" applyNumberFormat="1" applyFont="1" applyFill="1" applyBorder="1" applyAlignment="1">
      <alignment horizontal="left" vertical="center" wrapText="1" indent="1"/>
    </xf>
    <xf numFmtId="2" fontId="30" fillId="9" borderId="8" xfId="0" applyNumberFormat="1" applyFont="1" applyFill="1" applyBorder="1" applyAlignment="1">
      <alignment horizontal="left" vertical="center" wrapText="1" indent="1"/>
    </xf>
    <xf numFmtId="0" fontId="23" fillId="0" borderId="0" xfId="0" applyFont="1" applyAlignment="1">
      <alignment horizontal="center" vertical="center"/>
    </xf>
    <xf numFmtId="3" fontId="23" fillId="0" borderId="0" xfId="0" applyNumberFormat="1" applyFont="1" applyAlignment="1">
      <alignment horizontal="center" vertical="center"/>
    </xf>
    <xf numFmtId="164" fontId="32" fillId="6" borderId="10" xfId="0" applyNumberFormat="1" applyFont="1" applyFill="1" applyBorder="1" applyAlignment="1">
      <alignment horizontal="center" vertical="center"/>
    </xf>
    <xf numFmtId="164" fontId="32" fillId="11" borderId="1" xfId="0" applyNumberFormat="1" applyFont="1" applyFill="1" applyBorder="1" applyAlignment="1">
      <alignment horizontal="center" vertical="center"/>
    </xf>
    <xf numFmtId="0" fontId="23" fillId="0" borderId="0" xfId="0" applyFont="1" applyBorder="1" applyAlignment="1">
      <alignment horizontal="center" vertical="center"/>
    </xf>
    <xf numFmtId="2" fontId="9" fillId="3" borderId="47" xfId="0" applyNumberFormat="1" applyFont="1" applyFill="1" applyBorder="1" applyAlignment="1">
      <alignment horizontal="center" wrapText="1"/>
    </xf>
    <xf numFmtId="2" fontId="9" fillId="7" borderId="14" xfId="0" applyNumberFormat="1" applyFont="1" applyFill="1" applyBorder="1" applyAlignment="1">
      <alignment horizontal="center" wrapText="1"/>
    </xf>
    <xf numFmtId="2" fontId="9" fillId="3" borderId="14" xfId="0" applyNumberFormat="1" applyFont="1" applyFill="1" applyBorder="1" applyAlignment="1">
      <alignment horizontal="center" wrapText="1"/>
    </xf>
    <xf numFmtId="1" fontId="9" fillId="3" borderId="14" xfId="0" applyNumberFormat="1" applyFont="1" applyFill="1" applyBorder="1" applyAlignment="1">
      <alignment horizontal="center" wrapText="1"/>
    </xf>
    <xf numFmtId="2" fontId="16" fillId="7" borderId="14" xfId="0" applyNumberFormat="1" applyFont="1" applyFill="1" applyBorder="1" applyAlignment="1">
      <alignment horizontal="center" wrapText="1"/>
    </xf>
    <xf numFmtId="1" fontId="16" fillId="7" borderId="48" xfId="0" applyNumberFormat="1" applyFont="1" applyFill="1" applyBorder="1" applyAlignment="1">
      <alignment horizontal="center" wrapText="1"/>
    </xf>
    <xf numFmtId="2" fontId="18" fillId="3" borderId="49" xfId="0" applyNumberFormat="1" applyFont="1" applyFill="1" applyBorder="1" applyAlignment="1">
      <alignment horizontal="center" vertical="center" wrapText="1"/>
    </xf>
    <xf numFmtId="2" fontId="18" fillId="7" borderId="19" xfId="0" applyNumberFormat="1" applyFont="1" applyFill="1" applyBorder="1" applyAlignment="1">
      <alignment horizontal="center" vertical="center" wrapText="1"/>
    </xf>
    <xf numFmtId="2" fontId="18" fillId="3" borderId="19" xfId="0" applyNumberFormat="1" applyFont="1" applyFill="1" applyBorder="1" applyAlignment="1">
      <alignment horizontal="center" vertical="center" wrapText="1"/>
    </xf>
    <xf numFmtId="1" fontId="18" fillId="3" borderId="19" xfId="0" applyNumberFormat="1" applyFont="1" applyFill="1" applyBorder="1" applyAlignment="1">
      <alignment horizontal="center" vertical="center" wrapText="1"/>
    </xf>
    <xf numFmtId="2" fontId="19" fillId="7" borderId="19" xfId="0" applyNumberFormat="1" applyFont="1" applyFill="1" applyBorder="1" applyAlignment="1">
      <alignment horizontal="center" vertical="center" wrapText="1"/>
    </xf>
    <xf numFmtId="1" fontId="19" fillId="7" borderId="50" xfId="0" applyNumberFormat="1" applyFont="1" applyFill="1" applyBorder="1" applyAlignment="1">
      <alignment horizontal="center" vertical="center" wrapText="1"/>
    </xf>
    <xf numFmtId="0" fontId="0" fillId="0" borderId="0" xfId="0" applyAlignment="1">
      <alignment horizontal="left" vertical="center" indent="1"/>
    </xf>
    <xf numFmtId="2" fontId="30" fillId="3" borderId="1" xfId="0" applyNumberFormat="1" applyFont="1" applyFill="1" applyBorder="1" applyAlignment="1">
      <alignment horizontal="left" vertical="center" wrapText="1" indent="1"/>
    </xf>
    <xf numFmtId="0" fontId="2" fillId="0" borderId="0" xfId="0" applyFont="1" applyAlignment="1">
      <alignment horizontal="left" vertical="center" indent="1"/>
    </xf>
    <xf numFmtId="165" fontId="7" fillId="0" borderId="53" xfId="0" applyNumberFormat="1" applyFont="1" applyBorder="1" applyAlignment="1">
      <alignment horizontal="center" vertical="center"/>
    </xf>
    <xf numFmtId="21" fontId="7" fillId="0" borderId="19" xfId="0" applyNumberFormat="1" applyFont="1" applyBorder="1" applyAlignment="1">
      <alignment horizontal="center" vertical="center"/>
    </xf>
    <xf numFmtId="1" fontId="11" fillId="0" borderId="52" xfId="0" applyNumberFormat="1" applyFont="1" applyBorder="1" applyAlignment="1">
      <alignment horizontal="center" vertical="center"/>
    </xf>
    <xf numFmtId="1" fontId="7" fillId="0" borderId="19" xfId="0" applyNumberFormat="1" applyFont="1" applyBorder="1" applyAlignment="1">
      <alignment horizontal="center" vertical="center"/>
    </xf>
    <xf numFmtId="2" fontId="21" fillId="4" borderId="19" xfId="0" applyNumberFormat="1" applyFont="1" applyFill="1" applyBorder="1" applyAlignment="1">
      <alignment horizontal="center" vertical="center"/>
    </xf>
    <xf numFmtId="2" fontId="22" fillId="4" borderId="19" xfId="0" applyNumberFormat="1" applyFont="1" applyFill="1" applyBorder="1" applyAlignment="1">
      <alignment horizontal="center" vertical="center"/>
    </xf>
    <xf numFmtId="1" fontId="21" fillId="4" borderId="19" xfId="0" applyNumberFormat="1" applyFont="1" applyFill="1" applyBorder="1" applyAlignment="1">
      <alignment horizontal="center" vertical="center"/>
    </xf>
    <xf numFmtId="1" fontId="22" fillId="4" borderId="11" xfId="0" applyNumberFormat="1" applyFont="1" applyFill="1" applyBorder="1" applyAlignment="1">
      <alignment horizontal="center" vertical="center"/>
    </xf>
    <xf numFmtId="1" fontId="16" fillId="5" borderId="4" xfId="0" applyNumberFormat="1" applyFont="1" applyFill="1" applyBorder="1" applyAlignment="1">
      <alignment horizontal="center" wrapText="1"/>
    </xf>
    <xf numFmtId="1" fontId="19" fillId="5" borderId="2" xfId="0" applyNumberFormat="1" applyFont="1" applyFill="1" applyBorder="1" applyAlignment="1">
      <alignment horizontal="center" vertical="center" wrapText="1"/>
    </xf>
    <xf numFmtId="1" fontId="11" fillId="0" borderId="19" xfId="0" applyNumberFormat="1" applyFont="1" applyBorder="1" applyAlignment="1">
      <alignment horizontal="center" vertical="center"/>
    </xf>
    <xf numFmtId="1" fontId="11" fillId="0" borderId="1" xfId="0" applyNumberFormat="1" applyFont="1" applyBorder="1" applyAlignment="1">
      <alignment horizontal="center" vertical="center"/>
    </xf>
    <xf numFmtId="1" fontId="12" fillId="0" borderId="19" xfId="0" applyNumberFormat="1" applyFont="1" applyBorder="1" applyAlignment="1">
      <alignment horizontal="center" vertical="center"/>
    </xf>
    <xf numFmtId="2" fontId="21" fillId="4" borderId="11" xfId="0" applyNumberFormat="1" applyFont="1" applyFill="1" applyBorder="1" applyAlignment="1">
      <alignment horizontal="center" vertical="center"/>
    </xf>
    <xf numFmtId="2" fontId="21" fillId="4" borderId="8" xfId="0" applyNumberFormat="1" applyFont="1" applyFill="1" applyBorder="1" applyAlignment="1">
      <alignment horizontal="center" vertical="center"/>
    </xf>
    <xf numFmtId="1" fontId="21" fillId="4" borderId="52" xfId="0" applyNumberFormat="1" applyFont="1" applyFill="1" applyBorder="1" applyAlignment="1">
      <alignment horizontal="center" vertical="center"/>
    </xf>
    <xf numFmtId="1" fontId="21" fillId="4" borderId="10" xfId="0" applyNumberFormat="1" applyFont="1" applyFill="1" applyBorder="1" applyAlignment="1">
      <alignment horizontal="center" vertical="center"/>
    </xf>
    <xf numFmtId="2" fontId="22" fillId="4" borderId="14" xfId="0" applyNumberFormat="1" applyFont="1" applyFill="1" applyBorder="1" applyAlignment="1">
      <alignment horizontal="center" vertical="center"/>
    </xf>
    <xf numFmtId="2" fontId="22" fillId="4" borderId="54" xfId="0" applyNumberFormat="1" applyFont="1" applyFill="1" applyBorder="1" applyAlignment="1">
      <alignment horizontal="center" vertical="center"/>
    </xf>
    <xf numFmtId="2" fontId="20" fillId="4" borderId="46" xfId="0" applyNumberFormat="1" applyFont="1" applyFill="1" applyBorder="1" applyAlignment="1">
      <alignment horizontal="center" vertical="center"/>
    </xf>
    <xf numFmtId="21" fontId="7" fillId="0" borderId="1" xfId="0" applyNumberFormat="1" applyFont="1" applyBorder="1" applyAlignment="1">
      <alignment horizontal="center" vertical="center"/>
    </xf>
    <xf numFmtId="21" fontId="7" fillId="0" borderId="19" xfId="0" applyNumberFormat="1" applyFont="1" applyBorder="1" applyAlignment="1">
      <alignment horizontal="center" vertical="center"/>
    </xf>
    <xf numFmtId="2" fontId="33" fillId="0" borderId="11" xfId="0" applyNumberFormat="1" applyFont="1" applyBorder="1" applyAlignment="1">
      <alignment horizontal="left" vertical="center" wrapText="1" indent="1"/>
    </xf>
    <xf numFmtId="0" fontId="2" fillId="5" borderId="1" xfId="0" applyFont="1" applyFill="1" applyBorder="1" applyAlignment="1">
      <alignment horizontal="left" vertical="center" indent="1"/>
    </xf>
    <xf numFmtId="164" fontId="32" fillId="11" borderId="1" xfId="0" applyNumberFormat="1" applyFont="1" applyFill="1" applyBorder="1" applyAlignment="1">
      <alignment horizontal="center" vertical="center"/>
    </xf>
    <xf numFmtId="1" fontId="32" fillId="10" borderId="0" xfId="0" applyNumberFormat="1" applyFont="1" applyFill="1" applyBorder="1" applyAlignment="1">
      <alignment horizontal="center" vertical="center"/>
    </xf>
    <xf numFmtId="1" fontId="32" fillId="10" borderId="42" xfId="0" applyNumberFormat="1" applyFont="1" applyFill="1" applyBorder="1" applyAlignment="1">
      <alignment horizontal="center" vertical="center"/>
    </xf>
    <xf numFmtId="164" fontId="32" fillId="11" borderId="1" xfId="0" applyNumberFormat="1" applyFont="1" applyFill="1" applyBorder="1" applyAlignment="1">
      <alignment horizontal="center" vertical="center"/>
    </xf>
    <xf numFmtId="164" fontId="32" fillId="11" borderId="8" xfId="0" applyNumberFormat="1" applyFont="1" applyFill="1" applyBorder="1" applyAlignment="1">
      <alignment horizontal="center" vertical="center"/>
    </xf>
    <xf numFmtId="164" fontId="32" fillId="10" borderId="12" xfId="0" applyNumberFormat="1" applyFont="1" applyFill="1" applyBorder="1" applyAlignment="1">
      <alignment horizontal="center" vertical="center" wrapText="1"/>
    </xf>
    <xf numFmtId="164" fontId="32" fillId="10" borderId="9" xfId="0" applyNumberFormat="1" applyFont="1" applyFill="1" applyBorder="1" applyAlignment="1">
      <alignment horizontal="center" vertical="center" wrapText="1"/>
    </xf>
    <xf numFmtId="164" fontId="32" fillId="6" borderId="1" xfId="0" applyNumberFormat="1" applyFont="1" applyFill="1" applyBorder="1" applyAlignment="1">
      <alignment horizontal="center" vertical="center"/>
    </xf>
    <xf numFmtId="164" fontId="28" fillId="6" borderId="0" xfId="0" applyNumberFormat="1" applyFont="1" applyFill="1" applyBorder="1" applyAlignment="1">
      <alignment horizontal="center" vertical="center"/>
    </xf>
    <xf numFmtId="2" fontId="19" fillId="5" borderId="36" xfId="0" applyNumberFormat="1" applyFont="1" applyFill="1" applyBorder="1" applyAlignment="1">
      <alignment horizontal="left" wrapText="1" indent="1"/>
    </xf>
    <xf numFmtId="2" fontId="19" fillId="5" borderId="0" xfId="0" applyNumberFormat="1" applyFont="1" applyFill="1" applyBorder="1" applyAlignment="1">
      <alignment horizontal="left" wrapText="1" indent="1"/>
    </xf>
    <xf numFmtId="2" fontId="19" fillId="5" borderId="37" xfId="0" applyNumberFormat="1" applyFont="1" applyFill="1" applyBorder="1" applyAlignment="1">
      <alignment horizontal="left" wrapText="1" indent="1"/>
    </xf>
    <xf numFmtId="164" fontId="28" fillId="6" borderId="38" xfId="0" applyNumberFormat="1" applyFont="1" applyFill="1" applyBorder="1" applyAlignment="1">
      <alignment horizontal="center" vertical="center"/>
    </xf>
    <xf numFmtId="164" fontId="15" fillId="6" borderId="13" xfId="0" applyNumberFormat="1" applyFont="1" applyFill="1" applyBorder="1" applyAlignment="1">
      <alignment horizontal="center" vertical="center"/>
    </xf>
    <xf numFmtId="0" fontId="5" fillId="0" borderId="0" xfId="0" applyFont="1" applyAlignment="1">
      <alignment horizontal="center" vertical="top"/>
    </xf>
    <xf numFmtId="164" fontId="28" fillId="6" borderId="0" xfId="0" applyNumberFormat="1" applyFont="1" applyFill="1" applyAlignment="1">
      <alignment horizontal="center" vertical="center"/>
    </xf>
    <xf numFmtId="164" fontId="28" fillId="6" borderId="21" xfId="0" applyNumberFormat="1" applyFont="1" applyFill="1" applyBorder="1" applyAlignment="1">
      <alignment horizontal="center" vertical="center"/>
    </xf>
    <xf numFmtId="164" fontId="28" fillId="11" borderId="34" xfId="0" applyNumberFormat="1" applyFont="1" applyFill="1" applyBorder="1" applyAlignment="1">
      <alignment horizontal="center" vertical="center"/>
    </xf>
    <xf numFmtId="164" fontId="28" fillId="11" borderId="35" xfId="0" applyNumberFormat="1" applyFont="1" applyFill="1" applyBorder="1" applyAlignment="1">
      <alignment horizontal="center" vertical="center"/>
    </xf>
    <xf numFmtId="164" fontId="15" fillId="6" borderId="41" xfId="0" applyNumberFormat="1" applyFont="1" applyFill="1" applyBorder="1" applyAlignment="1">
      <alignment horizontal="center" vertical="center"/>
    </xf>
    <xf numFmtId="164" fontId="15" fillId="6" borderId="20" xfId="0" applyNumberFormat="1" applyFont="1" applyFill="1" applyBorder="1" applyAlignment="1">
      <alignment horizontal="center" vertical="center"/>
    </xf>
    <xf numFmtId="164" fontId="15" fillId="6" borderId="8" xfId="0" applyNumberFormat="1" applyFont="1" applyFill="1" applyBorder="1" applyAlignment="1">
      <alignment horizontal="center" vertical="center"/>
    </xf>
    <xf numFmtId="164" fontId="15" fillId="6" borderId="18" xfId="0" applyNumberFormat="1" applyFont="1" applyFill="1" applyBorder="1" applyAlignment="1">
      <alignment horizontal="center" vertical="center"/>
    </xf>
    <xf numFmtId="164" fontId="15" fillId="6" borderId="10" xfId="0" applyNumberFormat="1" applyFont="1" applyFill="1" applyBorder="1" applyAlignment="1">
      <alignment horizontal="center" vertical="center"/>
    </xf>
    <xf numFmtId="164" fontId="15" fillId="6" borderId="39" xfId="0" applyNumberFormat="1" applyFont="1" applyFill="1" applyBorder="1" applyAlignment="1">
      <alignment horizontal="center" vertical="center"/>
    </xf>
    <xf numFmtId="164" fontId="15" fillId="6" borderId="40" xfId="0" applyNumberFormat="1" applyFont="1" applyFill="1" applyBorder="1" applyAlignment="1">
      <alignment horizontal="center" vertical="center"/>
    </xf>
    <xf numFmtId="164" fontId="15" fillId="6" borderId="51" xfId="0" applyNumberFormat="1" applyFont="1" applyFill="1" applyBorder="1" applyAlignment="1">
      <alignment horizontal="center" vertical="center"/>
    </xf>
    <xf numFmtId="166" fontId="7" fillId="0" borderId="1" xfId="0" applyNumberFormat="1" applyFont="1" applyBorder="1" applyAlignment="1">
      <alignment horizontal="center" vertical="center"/>
    </xf>
    <xf numFmtId="166" fontId="7" fillId="0" borderId="19" xfId="0" applyNumberFormat="1" applyFont="1" applyBorder="1" applyAlignment="1">
      <alignment horizontal="center" vertical="center"/>
    </xf>
  </cellXfs>
  <cellStyles count="1">
    <cellStyle name="Normal" xfId="0" builtinId="0"/>
  </cellStyles>
  <dxfs count="591">
    <dxf>
      <fill>
        <patternFill>
          <bgColor theme="0" tint="-4.9989318521683403E-2"/>
        </patternFill>
      </fill>
    </dxf>
    <dxf>
      <fill>
        <patternFill>
          <bgColor theme="0"/>
        </patternFill>
      </fill>
    </dxf>
    <dxf>
      <font>
        <b/>
        <i val="0"/>
      </font>
    </dxf>
    <dxf>
      <fill>
        <patternFill>
          <bgColor theme="0" tint="-4.9989318521683403E-2"/>
        </patternFill>
      </fill>
    </dxf>
    <dxf>
      <font>
        <b/>
        <i val="0"/>
      </font>
    </dxf>
    <dxf>
      <font>
        <b/>
        <i val="0"/>
      </font>
    </dxf>
    <dxf>
      <fill>
        <patternFill>
          <bgColor theme="0" tint="-4.9989318521683403E-2"/>
        </patternFill>
      </fill>
    </dxf>
    <dxf>
      <fill>
        <patternFill>
          <bgColor theme="9" tint="0.79998168889431442"/>
        </patternFill>
      </fill>
    </dxf>
    <dxf>
      <fill>
        <patternFill>
          <bgColor theme="8" tint="0.79998168889431442"/>
        </patternFill>
      </fill>
    </dxf>
    <dxf>
      <fill>
        <patternFill>
          <bgColor theme="0"/>
        </patternFill>
      </fill>
    </dxf>
    <dxf>
      <fill>
        <patternFill>
          <bgColor theme="0" tint="-4.9989318521683403E-2"/>
        </patternFill>
      </fill>
    </dxf>
    <dxf>
      <fill>
        <patternFill>
          <bgColor theme="0"/>
        </patternFill>
      </fill>
    </dxf>
    <dxf>
      <font>
        <b/>
        <i val="0"/>
      </font>
    </dxf>
    <dxf>
      <fill>
        <patternFill>
          <bgColor theme="0" tint="-4.9989318521683403E-2"/>
        </patternFill>
      </fill>
    </dxf>
    <dxf>
      <fill>
        <patternFill>
          <bgColor theme="0" tint="-4.9989318521683403E-2"/>
        </patternFill>
      </fill>
    </dxf>
    <dxf>
      <font>
        <b/>
        <i val="0"/>
      </font>
    </dxf>
    <dxf>
      <fill>
        <patternFill>
          <bgColor theme="0" tint="-4.9989318521683403E-2"/>
        </patternFill>
      </fill>
    </dxf>
    <dxf>
      <font>
        <b/>
        <i val="0"/>
      </font>
    </dxf>
    <dxf>
      <font>
        <b/>
        <i val="0"/>
      </font>
    </dxf>
    <dxf>
      <fill>
        <patternFill>
          <bgColor theme="0" tint="-4.9989318521683403E-2"/>
        </patternFill>
      </fill>
    </dxf>
    <dxf>
      <fill>
        <patternFill>
          <bgColor theme="0" tint="-4.9989318521683403E-2"/>
        </patternFill>
      </fill>
    </dxf>
    <dxf>
      <font>
        <b/>
        <i val="0"/>
      </font>
    </dxf>
    <dxf>
      <font>
        <b/>
        <i val="0"/>
      </font>
    </dxf>
    <dxf>
      <fill>
        <patternFill>
          <bgColor theme="0" tint="-4.9989318521683403E-2"/>
        </patternFill>
      </fill>
    </dxf>
    <dxf>
      <font>
        <b/>
        <i val="0"/>
      </font>
    </dxf>
    <dxf>
      <fill>
        <patternFill>
          <bgColor theme="0" tint="-4.9989318521683403E-2"/>
        </patternFill>
      </fill>
    </dxf>
    <dxf>
      <font>
        <b/>
        <i val="0"/>
      </font>
    </dxf>
    <dxf>
      <fill>
        <patternFill>
          <bgColor theme="0" tint="-4.9989318521683403E-2"/>
        </patternFill>
      </fill>
    </dxf>
    <dxf>
      <font>
        <b/>
        <i val="0"/>
      </font>
    </dxf>
    <dxf>
      <fill>
        <patternFill>
          <bgColor theme="0" tint="-4.9989318521683403E-2"/>
        </patternFill>
      </fill>
    </dxf>
    <dxf>
      <font>
        <b/>
        <i val="0"/>
      </font>
    </dxf>
    <dxf>
      <fill>
        <patternFill>
          <bgColor theme="0" tint="-4.9989318521683403E-2"/>
        </patternFill>
      </fill>
    </dxf>
    <dxf>
      <font>
        <b/>
        <i val="0"/>
      </font>
    </dxf>
    <dxf>
      <fill>
        <patternFill>
          <bgColor theme="0" tint="-4.9989318521683403E-2"/>
        </patternFill>
      </fill>
    </dxf>
    <dxf>
      <font>
        <b/>
        <i val="0"/>
      </font>
    </dxf>
    <dxf>
      <font>
        <b/>
        <i val="0"/>
      </font>
    </dxf>
    <dxf>
      <fill>
        <patternFill>
          <bgColor theme="0" tint="-4.9989318521683403E-2"/>
        </patternFill>
      </fill>
    </dxf>
    <dxf>
      <font>
        <b/>
        <i val="0"/>
      </font>
    </dxf>
    <dxf>
      <fill>
        <patternFill>
          <bgColor theme="0" tint="-4.9989318521683403E-2"/>
        </patternFill>
      </fill>
    </dxf>
    <dxf>
      <font>
        <b/>
        <i val="0"/>
      </font>
    </dxf>
    <dxf>
      <fill>
        <patternFill>
          <bgColor theme="0" tint="-4.9989318521683403E-2"/>
        </patternFill>
      </fill>
    </dxf>
    <dxf>
      <font>
        <b/>
        <i val="0"/>
      </font>
    </dxf>
    <dxf>
      <font>
        <b/>
        <i val="0"/>
      </font>
    </dxf>
    <dxf>
      <font>
        <b/>
        <i val="0"/>
      </font>
    </dxf>
    <dxf>
      <fill>
        <patternFill>
          <bgColor theme="0" tint="-4.9989318521683403E-2"/>
        </patternFill>
      </fill>
    </dxf>
    <dxf>
      <fill>
        <patternFill>
          <bgColor theme="0" tint="-4.9989318521683403E-2"/>
        </patternFill>
      </fill>
    </dxf>
    <dxf>
      <fill>
        <patternFill>
          <bgColor theme="0" tint="-4.9989318521683403E-2"/>
        </patternFill>
      </fill>
    </dxf>
    <dxf>
      <font>
        <b/>
        <i val="0"/>
      </font>
    </dxf>
    <dxf>
      <font>
        <b/>
        <i val="0"/>
      </font>
    </dxf>
    <dxf>
      <font>
        <b/>
        <i val="0"/>
      </font>
    </dxf>
    <dxf>
      <font>
        <b/>
        <i val="0"/>
      </font>
    </dxf>
    <dxf>
      <fill>
        <patternFill>
          <bgColor theme="0" tint="-4.9989318521683403E-2"/>
        </patternFill>
      </fill>
    </dxf>
    <dxf>
      <fill>
        <patternFill>
          <bgColor theme="0" tint="-4.9989318521683403E-2"/>
        </patternFill>
      </fill>
    </dxf>
    <dxf>
      <font>
        <b/>
        <i val="0"/>
      </font>
    </dxf>
    <dxf>
      <font>
        <b/>
        <i val="0"/>
      </font>
    </dxf>
    <dxf>
      <font>
        <b/>
        <i val="0"/>
      </font>
    </dxf>
    <dxf>
      <font>
        <b/>
        <i val="0"/>
      </font>
    </dxf>
    <dxf>
      <fill>
        <patternFill>
          <bgColor theme="0" tint="-4.9989318521683403E-2"/>
        </patternFill>
      </fill>
    </dxf>
    <dxf>
      <fill>
        <patternFill>
          <bgColor theme="0" tint="-4.9989318521683403E-2"/>
        </patternFill>
      </fill>
    </dxf>
    <dxf>
      <font>
        <b/>
        <i val="0"/>
      </font>
    </dxf>
    <dxf>
      <font>
        <b/>
        <i val="0"/>
      </font>
    </dxf>
    <dxf>
      <font>
        <b/>
        <i val="0"/>
      </font>
    </dxf>
    <dxf>
      <font>
        <b/>
        <i val="0"/>
      </font>
    </dxf>
    <dxf>
      <fill>
        <patternFill>
          <bgColor theme="0" tint="-4.9989318521683403E-2"/>
        </patternFill>
      </fill>
    </dxf>
    <dxf>
      <font>
        <b/>
        <i val="0"/>
      </font>
    </dxf>
    <dxf>
      <font>
        <b/>
        <i val="0"/>
      </font>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ont>
        <b/>
        <i val="0"/>
      </font>
    </dxf>
    <dxf>
      <fill>
        <patternFill>
          <bgColor theme="0" tint="-4.9989318521683403E-2"/>
        </patternFill>
      </fill>
    </dxf>
    <dxf>
      <fill>
        <patternFill>
          <bgColor theme="0" tint="-4.9989318521683403E-2"/>
        </patternFill>
      </fill>
    </dxf>
    <dxf>
      <fill>
        <patternFill>
          <bgColor theme="0" tint="-4.9989318521683403E-2"/>
        </patternFill>
      </fill>
    </dxf>
    <dxf>
      <font>
        <b/>
        <i val="0"/>
      </font>
    </dxf>
    <dxf>
      <font>
        <b/>
        <i val="0"/>
      </font>
    </dxf>
    <dxf>
      <fill>
        <patternFill>
          <bgColor theme="0" tint="-4.9989318521683403E-2"/>
        </patternFill>
      </fill>
    </dxf>
    <dxf>
      <font>
        <b/>
        <i val="0"/>
      </font>
    </dxf>
    <dxf>
      <font>
        <b/>
        <i val="0"/>
      </font>
    </dxf>
    <dxf>
      <fill>
        <patternFill>
          <bgColor theme="0" tint="-4.9989318521683403E-2"/>
        </patternFill>
      </fill>
    </dxf>
    <dxf>
      <fill>
        <patternFill>
          <bgColor theme="0" tint="-4.9989318521683403E-2"/>
        </patternFill>
      </fill>
    </dxf>
    <dxf>
      <font>
        <b/>
        <i val="0"/>
      </font>
    </dxf>
    <dxf>
      <font>
        <b/>
        <i val="0"/>
      </font>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ont>
        <b/>
        <i val="0"/>
      </font>
    </dxf>
    <dxf>
      <font>
        <b/>
        <i val="0"/>
      </font>
    </dxf>
    <dxf>
      <fill>
        <patternFill>
          <bgColor theme="0" tint="-4.9989318521683403E-2"/>
        </patternFill>
      </fill>
    </dxf>
    <dxf>
      <fill>
        <patternFill>
          <bgColor theme="0"/>
        </patternFill>
      </fill>
    </dxf>
    <dxf>
      <fill>
        <patternFill>
          <bgColor theme="0" tint="-4.9989318521683403E-2"/>
        </patternFill>
      </fill>
    </dxf>
    <dxf>
      <fill>
        <patternFill>
          <bgColor theme="0"/>
        </patternFill>
      </fill>
    </dxf>
    <dxf>
      <font>
        <b/>
        <i val="0"/>
      </font>
    </dxf>
    <dxf>
      <fill>
        <patternFill>
          <bgColor theme="0" tint="-4.9989318521683403E-2"/>
        </patternFill>
      </fill>
    </dxf>
    <dxf>
      <font>
        <b/>
        <i val="0"/>
      </font>
    </dxf>
    <dxf>
      <font>
        <b/>
        <i val="0"/>
      </font>
    </dxf>
    <dxf>
      <fill>
        <patternFill>
          <bgColor theme="0" tint="-4.9989318521683403E-2"/>
        </patternFill>
      </fill>
    </dxf>
    <dxf>
      <fill>
        <patternFill>
          <bgColor theme="0" tint="-4.9989318521683403E-2"/>
        </patternFill>
      </fill>
    </dxf>
    <dxf>
      <font>
        <b/>
        <i val="0"/>
      </font>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ont>
        <b/>
        <i val="0"/>
      </font>
    </dxf>
    <dxf>
      <font>
        <b/>
        <i val="0"/>
      </font>
    </dxf>
    <dxf>
      <font>
        <b/>
        <i val="0"/>
      </font>
    </dxf>
    <dxf>
      <fill>
        <patternFill>
          <bgColor theme="0" tint="-4.9989318521683403E-2"/>
        </patternFill>
      </fill>
    </dxf>
    <dxf>
      <font>
        <b/>
        <i val="0"/>
      </font>
    </dxf>
    <dxf>
      <font>
        <b/>
        <i val="0"/>
      </font>
    </dxf>
    <dxf>
      <font>
        <b/>
        <i val="0"/>
      </font>
    </dxf>
    <dxf>
      <fill>
        <patternFill>
          <bgColor theme="0" tint="-4.9989318521683403E-2"/>
        </patternFill>
      </fill>
    </dxf>
    <dxf>
      <fill>
        <patternFill>
          <bgColor theme="0" tint="-4.9989318521683403E-2"/>
        </patternFill>
      </fill>
    </dxf>
    <dxf>
      <font>
        <b/>
        <i val="0"/>
      </font>
    </dxf>
    <dxf>
      <font>
        <b/>
        <i val="0"/>
      </font>
    </dxf>
    <dxf>
      <font>
        <b/>
        <i val="0"/>
      </font>
    </dxf>
    <dxf>
      <font>
        <b/>
        <i val="0"/>
      </font>
    </dxf>
    <dxf>
      <fill>
        <patternFill>
          <bgColor theme="0" tint="-4.9989318521683403E-2"/>
        </patternFill>
      </fill>
    </dxf>
    <dxf>
      <fill>
        <patternFill>
          <bgColor theme="0" tint="-4.9989318521683403E-2"/>
        </patternFill>
      </fill>
    </dxf>
    <dxf>
      <font>
        <b/>
        <i val="0"/>
      </font>
    </dxf>
    <dxf>
      <font>
        <b/>
        <i val="0"/>
      </font>
    </dxf>
    <dxf>
      <font>
        <b/>
        <i val="0"/>
      </font>
    </dxf>
    <dxf>
      <font>
        <b/>
        <i val="0"/>
      </font>
    </dxf>
    <dxf>
      <fill>
        <patternFill>
          <bgColor theme="0" tint="-4.9989318521683403E-2"/>
        </patternFill>
      </fill>
    </dxf>
    <dxf>
      <fill>
        <patternFill>
          <bgColor theme="0" tint="-4.9989318521683403E-2"/>
        </patternFill>
      </fill>
    </dxf>
    <dxf>
      <font>
        <b/>
        <i val="0"/>
      </font>
    </dxf>
    <dxf>
      <font>
        <b/>
        <i val="0"/>
      </font>
    </dxf>
    <dxf>
      <fill>
        <patternFill>
          <bgColor theme="0" tint="-4.9989318521683403E-2"/>
        </patternFill>
      </fill>
    </dxf>
    <dxf>
      <fill>
        <patternFill>
          <bgColor theme="0" tint="-4.9989318521683403E-2"/>
        </patternFill>
      </fill>
    </dxf>
    <dxf>
      <fill>
        <patternFill>
          <bgColor theme="0" tint="-4.9989318521683403E-2"/>
        </patternFill>
      </fill>
    </dxf>
    <dxf>
      <font>
        <b/>
        <i val="0"/>
      </font>
    </dxf>
    <dxf>
      <font>
        <b/>
        <i val="0"/>
      </font>
    </dxf>
    <dxf>
      <font>
        <b/>
        <i val="0"/>
      </font>
    </dxf>
    <dxf>
      <font>
        <b/>
        <i val="0"/>
      </font>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ont>
        <b/>
        <i val="0"/>
      </font>
    </dxf>
    <dxf>
      <fill>
        <patternFill>
          <bgColor theme="0" tint="-4.9989318521683403E-2"/>
        </patternFill>
      </fill>
    </dxf>
    <dxf>
      <fill>
        <patternFill>
          <bgColor theme="0" tint="-4.9989318521683403E-2"/>
        </patternFill>
      </fill>
    </dxf>
    <dxf>
      <fill>
        <patternFill>
          <bgColor theme="0" tint="-4.9989318521683403E-2"/>
        </patternFill>
      </fill>
    </dxf>
    <dxf>
      <font>
        <b/>
        <i val="0"/>
      </font>
    </dxf>
    <dxf>
      <fill>
        <patternFill>
          <bgColor theme="0" tint="-4.9989318521683403E-2"/>
        </patternFill>
      </fill>
    </dxf>
    <dxf>
      <fill>
        <patternFill>
          <bgColor theme="0" tint="-4.9989318521683403E-2"/>
        </patternFill>
      </fill>
    </dxf>
    <dxf>
      <font>
        <b/>
        <i val="0"/>
      </font>
    </dxf>
    <dxf>
      <font>
        <b/>
        <i val="0"/>
      </font>
    </dxf>
    <dxf>
      <fill>
        <patternFill>
          <bgColor theme="0" tint="-4.9989318521683403E-2"/>
        </patternFill>
      </fill>
    </dxf>
    <dxf>
      <font>
        <b/>
        <i val="0"/>
      </font>
    </dxf>
    <dxf>
      <fill>
        <patternFill>
          <bgColor theme="0" tint="-4.9989318521683403E-2"/>
        </patternFill>
      </fill>
    </dxf>
    <dxf>
      <fill>
        <patternFill>
          <bgColor theme="0" tint="-4.9989318521683403E-2"/>
        </patternFill>
      </fill>
    </dxf>
    <dxf>
      <font>
        <b/>
        <i val="0"/>
      </font>
    </dxf>
    <dxf>
      <font>
        <b/>
        <i val="0"/>
      </font>
    </dxf>
    <dxf>
      <fill>
        <patternFill>
          <bgColor theme="0" tint="-4.9989318521683403E-2"/>
        </patternFill>
      </fill>
    </dxf>
    <dxf>
      <font>
        <b/>
        <i val="0"/>
      </font>
    </dxf>
    <dxf>
      <fill>
        <patternFill>
          <bgColor theme="0" tint="-4.9989318521683403E-2"/>
        </patternFill>
      </fill>
    </dxf>
    <dxf>
      <font>
        <b/>
        <i val="0"/>
      </font>
    </dxf>
    <dxf>
      <fill>
        <patternFill>
          <bgColor theme="0" tint="-4.9989318521683403E-2"/>
        </patternFill>
      </fill>
    </dxf>
    <dxf>
      <font>
        <b/>
        <i val="0"/>
      </font>
    </dxf>
    <dxf>
      <fill>
        <patternFill>
          <bgColor theme="0" tint="-4.9989318521683403E-2"/>
        </patternFill>
      </fill>
    </dxf>
    <dxf>
      <font>
        <b/>
        <i val="0"/>
      </font>
    </dxf>
    <dxf>
      <fill>
        <patternFill>
          <bgColor theme="0" tint="-4.9989318521683403E-2"/>
        </patternFill>
      </fill>
    </dxf>
    <dxf>
      <font>
        <b/>
        <i val="0"/>
      </font>
    </dxf>
    <dxf>
      <fill>
        <patternFill>
          <bgColor theme="0" tint="-4.9989318521683403E-2"/>
        </patternFill>
      </fill>
    </dxf>
    <dxf>
      <font>
        <b/>
        <i val="0"/>
      </font>
    </dxf>
    <dxf>
      <font>
        <b/>
        <i val="0"/>
      </font>
    </dxf>
    <dxf>
      <fill>
        <patternFill>
          <bgColor theme="0" tint="-4.9989318521683403E-2"/>
        </patternFill>
      </fill>
    </dxf>
    <dxf>
      <font>
        <b/>
        <i val="0"/>
      </font>
    </dxf>
    <dxf>
      <fill>
        <patternFill>
          <bgColor theme="0" tint="-4.9989318521683403E-2"/>
        </patternFill>
      </fill>
    </dxf>
    <dxf>
      <font>
        <b/>
        <i val="0"/>
      </font>
    </dxf>
    <dxf>
      <fill>
        <patternFill>
          <bgColor theme="0" tint="-4.9989318521683403E-2"/>
        </patternFill>
      </fill>
    </dxf>
    <dxf>
      <font>
        <b/>
        <i val="0"/>
      </font>
    </dxf>
    <dxf>
      <font>
        <b/>
        <i val="0"/>
      </font>
    </dxf>
    <dxf>
      <font>
        <b/>
        <i val="0"/>
      </font>
    </dxf>
    <dxf>
      <fill>
        <patternFill>
          <bgColor theme="0" tint="-4.9989318521683403E-2"/>
        </patternFill>
      </fill>
    </dxf>
    <dxf>
      <fill>
        <patternFill>
          <bgColor theme="0" tint="-4.9989318521683403E-2"/>
        </patternFill>
      </fill>
    </dxf>
    <dxf>
      <fill>
        <patternFill>
          <bgColor theme="0" tint="-4.9989318521683403E-2"/>
        </patternFill>
      </fill>
    </dxf>
    <dxf>
      <font>
        <b/>
        <i val="0"/>
      </font>
    </dxf>
    <dxf>
      <font>
        <b/>
        <i val="0"/>
      </font>
    </dxf>
    <dxf>
      <font>
        <b/>
        <i val="0"/>
      </font>
    </dxf>
    <dxf>
      <font>
        <b/>
        <i val="0"/>
      </font>
    </dxf>
    <dxf>
      <fill>
        <patternFill>
          <bgColor theme="0" tint="-4.9989318521683403E-2"/>
        </patternFill>
      </fill>
    </dxf>
    <dxf>
      <fill>
        <patternFill>
          <bgColor theme="0" tint="-4.9989318521683403E-2"/>
        </patternFill>
      </fill>
    </dxf>
    <dxf>
      <font>
        <b/>
        <i val="0"/>
      </font>
    </dxf>
    <dxf>
      <font>
        <b/>
        <i val="0"/>
      </font>
    </dxf>
    <dxf>
      <font>
        <b/>
        <i val="0"/>
      </font>
    </dxf>
    <dxf>
      <font>
        <b/>
        <i val="0"/>
      </font>
    </dxf>
    <dxf>
      <fill>
        <patternFill>
          <bgColor theme="0" tint="-4.9989318521683403E-2"/>
        </patternFill>
      </fill>
    </dxf>
    <dxf>
      <fill>
        <patternFill>
          <bgColor theme="0" tint="-4.9989318521683403E-2"/>
        </patternFill>
      </fill>
    </dxf>
    <dxf>
      <font>
        <b/>
        <i val="0"/>
      </font>
    </dxf>
    <dxf>
      <font>
        <b/>
        <i val="0"/>
      </font>
    </dxf>
    <dxf>
      <font>
        <b/>
        <i val="0"/>
      </font>
    </dxf>
    <dxf>
      <font>
        <b/>
        <i val="0"/>
      </font>
    </dxf>
    <dxf>
      <fill>
        <patternFill>
          <bgColor theme="0" tint="-4.9989318521683403E-2"/>
        </patternFill>
      </fill>
    </dxf>
    <dxf>
      <font>
        <b/>
        <i val="0"/>
      </font>
    </dxf>
    <dxf>
      <font>
        <b/>
        <i val="0"/>
      </font>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ont>
        <b/>
        <i val="0"/>
      </font>
    </dxf>
    <dxf>
      <font>
        <b/>
        <i val="0"/>
      </font>
    </dxf>
    <dxf>
      <fill>
        <patternFill>
          <bgColor theme="0" tint="-4.9989318521683403E-2"/>
        </patternFill>
      </fill>
    </dxf>
    <dxf>
      <font>
        <b/>
        <i val="0"/>
      </font>
    </dxf>
    <dxf>
      <fill>
        <patternFill>
          <bgColor theme="0" tint="-4.9989318521683403E-2"/>
        </patternFill>
      </fill>
    </dxf>
    <dxf>
      <font>
        <b/>
        <i val="0"/>
      </font>
    </dxf>
    <dxf>
      <font>
        <b/>
        <i val="0"/>
      </font>
    </dxf>
    <dxf>
      <font>
        <b/>
        <i val="0"/>
      </font>
    </dxf>
    <dxf>
      <fill>
        <patternFill>
          <bgColor theme="0" tint="-4.9989318521683403E-2"/>
        </patternFill>
      </fill>
    </dxf>
    <dxf>
      <font>
        <b/>
        <i val="0"/>
      </font>
    </dxf>
    <dxf>
      <font>
        <b/>
        <i val="0"/>
      </font>
    </dxf>
    <dxf>
      <fill>
        <patternFill>
          <bgColor theme="0" tint="-4.9989318521683403E-2"/>
        </patternFill>
      </fill>
    </dxf>
    <dxf>
      <font>
        <b/>
        <i val="0"/>
      </font>
    </dxf>
    <dxf>
      <font>
        <b/>
        <i val="0"/>
      </font>
    </dxf>
    <dxf>
      <font>
        <b/>
        <i val="0"/>
      </font>
    </dxf>
    <dxf>
      <font>
        <b/>
        <i val="0"/>
      </font>
    </dxf>
    <dxf>
      <fill>
        <patternFill>
          <bgColor theme="0" tint="-4.9989318521683403E-2"/>
        </patternFill>
      </fill>
    </dxf>
    <dxf>
      <font>
        <b/>
        <i val="0"/>
      </font>
    </dxf>
    <dxf>
      <font>
        <b/>
        <i val="0"/>
      </font>
    </dxf>
    <dxf>
      <font>
        <b/>
        <i val="0"/>
      </font>
    </dxf>
    <dxf>
      <font>
        <b/>
        <i val="0"/>
      </font>
    </dxf>
    <dxf>
      <font>
        <b/>
        <i val="0"/>
      </font>
    </dxf>
    <dxf>
      <font>
        <b/>
        <i val="0"/>
      </font>
    </dxf>
    <dxf>
      <font>
        <b/>
        <i val="0"/>
      </font>
    </dxf>
    <dxf>
      <font>
        <b/>
        <i val="0"/>
      </font>
    </dxf>
    <dxf>
      <fill>
        <patternFill>
          <bgColor theme="0" tint="-4.9989318521683403E-2"/>
        </patternFill>
      </fill>
    </dxf>
    <dxf>
      <font>
        <b/>
        <i val="0"/>
      </font>
    </dxf>
    <dxf>
      <font>
        <b/>
        <i val="0"/>
      </font>
    </dxf>
    <dxf>
      <font>
        <b/>
        <i val="0"/>
      </font>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ont>
        <b/>
        <i val="0"/>
      </font>
    </dxf>
    <dxf>
      <font>
        <b/>
        <i val="0"/>
      </font>
    </dxf>
    <dxf>
      <font>
        <b/>
        <i val="0"/>
      </font>
    </dxf>
    <dxf>
      <font>
        <b/>
        <i val="0"/>
      </font>
    </dxf>
    <dxf>
      <fill>
        <patternFill>
          <bgColor theme="0" tint="-4.9989318521683403E-2"/>
        </patternFill>
      </fill>
    </dxf>
    <dxf>
      <font>
        <b/>
        <i val="0"/>
      </font>
    </dxf>
    <dxf>
      <font>
        <b/>
        <i val="0"/>
      </font>
    </dxf>
    <dxf>
      <font>
        <b/>
        <i val="0"/>
      </font>
    </dxf>
    <dxf>
      <fill>
        <patternFill>
          <bgColor theme="0" tint="-4.9989318521683403E-2"/>
        </patternFill>
      </fill>
    </dxf>
    <dxf>
      <fill>
        <patternFill>
          <bgColor theme="0" tint="-4.9989318521683403E-2"/>
        </patternFill>
      </fill>
    </dxf>
    <dxf>
      <font>
        <b/>
        <i val="0"/>
      </font>
    </dxf>
    <dxf>
      <font>
        <b/>
        <i val="0"/>
      </font>
    </dxf>
    <dxf>
      <font>
        <b/>
        <i val="0"/>
      </font>
    </dxf>
    <dxf>
      <font>
        <b/>
        <i val="0"/>
      </font>
    </dxf>
    <dxf>
      <fill>
        <patternFill>
          <bgColor theme="0" tint="-4.9989318521683403E-2"/>
        </patternFill>
      </fill>
    </dxf>
    <dxf>
      <fill>
        <patternFill>
          <bgColor theme="0" tint="-4.9989318521683403E-2"/>
        </patternFill>
      </fill>
    </dxf>
    <dxf>
      <font>
        <b/>
        <i val="0"/>
      </font>
    </dxf>
    <dxf>
      <font>
        <b/>
        <i val="0"/>
      </font>
    </dxf>
    <dxf>
      <font>
        <b/>
        <i val="0"/>
      </font>
    </dxf>
    <dxf>
      <font>
        <b/>
        <i val="0"/>
      </font>
    </dxf>
    <dxf>
      <fill>
        <patternFill>
          <bgColor theme="0" tint="-4.9989318521683403E-2"/>
        </patternFill>
      </fill>
    </dxf>
    <dxf>
      <fill>
        <patternFill>
          <bgColor theme="0" tint="-4.9989318521683403E-2"/>
        </patternFill>
      </fill>
    </dxf>
    <dxf>
      <font>
        <b/>
        <i val="0"/>
      </font>
    </dxf>
    <dxf>
      <font>
        <b/>
        <i val="0"/>
      </font>
    </dxf>
    <dxf>
      <fill>
        <patternFill>
          <bgColor theme="0" tint="-4.9989318521683403E-2"/>
        </patternFill>
      </fill>
    </dxf>
    <dxf>
      <fill>
        <patternFill>
          <bgColor theme="0" tint="-4.9989318521683403E-2"/>
        </patternFill>
      </fill>
    </dxf>
    <dxf>
      <font>
        <b/>
        <i val="0"/>
      </font>
    </dxf>
    <dxf>
      <font>
        <b/>
        <i val="0"/>
      </font>
    </dxf>
    <dxf>
      <font>
        <b/>
        <i val="0"/>
      </font>
    </dxf>
    <dxf>
      <fill>
        <patternFill>
          <bgColor theme="0" tint="-4.9989318521683403E-2"/>
        </patternFill>
      </fill>
    </dxf>
    <dxf>
      <fill>
        <patternFill>
          <bgColor theme="0" tint="-4.9989318521683403E-2"/>
        </patternFill>
      </fill>
    </dxf>
    <dxf>
      <font>
        <b/>
        <i val="0"/>
      </font>
    </dxf>
    <dxf>
      <font>
        <b/>
        <i val="0"/>
      </font>
    </dxf>
    <dxf>
      <fill>
        <patternFill>
          <bgColor theme="0" tint="-4.9989318521683403E-2"/>
        </patternFill>
      </fill>
    </dxf>
    <dxf>
      <font>
        <b/>
        <i val="0"/>
      </font>
    </dxf>
    <dxf>
      <fill>
        <patternFill>
          <bgColor theme="0" tint="-4.9989318521683403E-2"/>
        </patternFill>
      </fill>
    </dxf>
    <dxf>
      <font>
        <b/>
        <i val="0"/>
      </font>
    </dxf>
    <dxf>
      <fill>
        <patternFill>
          <bgColor theme="0" tint="-4.9989318521683403E-2"/>
        </patternFill>
      </fill>
    </dxf>
    <dxf>
      <font>
        <b/>
        <i val="0"/>
      </font>
    </dxf>
    <dxf>
      <fill>
        <patternFill>
          <bgColor theme="0" tint="-4.9989318521683403E-2"/>
        </patternFill>
      </fill>
    </dxf>
    <dxf>
      <font>
        <b/>
        <i val="0"/>
      </font>
    </dxf>
    <dxf>
      <fill>
        <patternFill>
          <bgColor theme="0" tint="-4.9989318521683403E-2"/>
        </patternFill>
      </fill>
    </dxf>
    <dxf>
      <font>
        <b/>
        <i val="0"/>
      </font>
    </dxf>
    <dxf>
      <fill>
        <patternFill>
          <bgColor theme="0" tint="-4.9989318521683403E-2"/>
        </patternFill>
      </fill>
    </dxf>
    <dxf>
      <font>
        <b/>
        <i val="0"/>
      </font>
    </dxf>
    <dxf>
      <font>
        <b/>
        <i val="0"/>
      </font>
    </dxf>
    <dxf>
      <font>
        <b/>
        <i val="0"/>
      </font>
    </dxf>
    <dxf>
      <font>
        <b/>
        <i val="0"/>
      </font>
    </dxf>
    <dxf>
      <fill>
        <patternFill>
          <bgColor theme="0" tint="-4.9989318521683403E-2"/>
        </patternFill>
      </fill>
    </dxf>
    <dxf>
      <fill>
        <patternFill>
          <bgColor theme="0" tint="-4.9989318521683403E-2"/>
        </patternFill>
      </fill>
    </dxf>
    <dxf>
      <font>
        <b/>
        <i val="0"/>
      </font>
    </dxf>
    <dxf>
      <fill>
        <patternFill>
          <bgColor theme="0" tint="-4.9989318521683403E-2"/>
        </patternFill>
      </fill>
    </dxf>
    <dxf>
      <fill>
        <patternFill>
          <bgColor theme="0" tint="-4.9989318521683403E-2"/>
        </patternFill>
      </fill>
    </dxf>
    <dxf>
      <font>
        <b/>
        <i val="0"/>
      </font>
    </dxf>
    <dxf>
      <font>
        <b/>
        <i val="0"/>
      </font>
    </dxf>
    <dxf>
      <font>
        <b/>
        <i val="0"/>
      </font>
    </dxf>
    <dxf>
      <fill>
        <patternFill>
          <bgColor theme="0" tint="-4.9989318521683403E-2"/>
        </patternFill>
      </fill>
    </dxf>
    <dxf>
      <fill>
        <patternFill>
          <bgColor theme="0" tint="-4.9989318521683403E-2"/>
        </patternFill>
      </fill>
    </dxf>
    <dxf>
      <font>
        <b/>
        <i val="0"/>
      </font>
    </dxf>
    <dxf>
      <font>
        <b/>
        <i val="0"/>
      </font>
    </dxf>
    <dxf>
      <font>
        <b/>
        <i val="0"/>
      </font>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0"/>
        </patternFill>
      </fill>
    </dxf>
    <dxf>
      <fill>
        <patternFill>
          <bgColor theme="9" tint="0.79998168889431442"/>
        </patternFill>
      </fill>
    </dxf>
    <dxf>
      <fill>
        <patternFill>
          <bgColor theme="8" tint="0.7999816888943144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17/10/relationships/person" Target="persons/perso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Didrik/Dropbox/Arbeid/OUS/Proc/Excel/GX_SeqX%20-%20Notes%20-%20Ver4.0%20-%20Rev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cording notes"/>
      <sheetName val="Procedures"/>
      <sheetName val="Hand notes scheme"/>
      <sheetName val="Equipment"/>
      <sheetName val="Categories"/>
      <sheetName val="Description"/>
      <sheetName val="Usage"/>
    </sheetNames>
    <sheetDataSet>
      <sheetData sheetId="0" refreshError="1"/>
      <sheetData sheetId="1" refreshError="1"/>
      <sheetData sheetId="2"/>
      <sheetData sheetId="3"/>
      <sheetData sheetId="4"/>
      <sheetData sheetId="5">
        <row r="3">
          <cell r="C3" t="str">
            <v>G1_Seq2</v>
          </cell>
        </row>
      </sheetData>
      <sheetData sheetId="6" refreshError="1"/>
    </sheetDataSet>
  </externalBook>
</externalLink>
</file>

<file path=xl/persons/person.xml><?xml version="1.0" encoding="utf-8"?>
<personList xmlns="http://schemas.microsoft.com/office/spreadsheetml/2018/threadedcomments" xmlns:x="http://schemas.openxmlformats.org/spreadsheetml/2006/main">
  <person displayName="Didrik Lilja" id="{01489622-67B5-4CAB-9B8B-F09804CE9929}" userId="4caef238d074ee50" providerId="Windows Live"/>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2" dT="2019-12-02T11:51:07.26" personId="{01489622-67B5-4CAB-9B8B-F09804CE9929}" id="{0525F1E2-9F64-4F2D-9C2F-41966089911F}">
    <text>Use [Control]+[Colon] to insert current timestamp</text>
  </threadedComment>
  <threadedComment ref="D2" dT="2019-12-02T11:50:31.61" personId="{01489622-67B5-4CAB-9B8B-F09804CE9929}" id="{24570B84-A4A5-4FA1-8F50-23755B4FEC4B}">
    <text>Used for setting automatic timer
Also useful to estimate total wait duration and planning</text>
  </threadedComment>
  <threadedComment ref="W2" dT="2020-01-16T11:14:41.49" personId="{01489622-67B5-4CAB-9B8B-F09804CE9929}" id="{C354A7D6-B6F7-47C7-8100-C4E881C79697}">
    <text>Ven flow shown on Spectrum ultrasound monitor when unclamped and at corresponding baseline pump speed. Used primarily for documentation and bookkeeping when running the experiment.</text>
  </threadedComment>
</ThreadedComments>
</file>

<file path=xl/threadedComments/threadedComment2.xml><?xml version="1.0" encoding="utf-8"?>
<ThreadedComments xmlns="http://schemas.microsoft.com/office/spreadsheetml/2018/threadedcomments" xmlns:x="http://schemas.openxmlformats.org/spreadsheetml/2006/main">
  <threadedComment ref="B3" dT="2019-12-02T11:51:07.26" personId="{01489622-67B5-4CAB-9B8B-F09804CE9929}" id="{49765626-446A-4F50-9BB3-8A7D82610262}">
    <text>Use [Control]+[Colon] to insert current timestamp</text>
  </threadedComment>
  <threadedComment ref="E3" dT="2020-01-16T11:14:41.49" personId="{01489622-67B5-4CAB-9B8B-F09804CE9929}" id="{400F11C9-C1AB-4ED8-8F2A-7B88A7A0F916}">
    <text>Ven flow shown on Spectrum ultrasound monitor when unclamped and at corresponding baseline pump speed. Used primarily for documentation and bookkeeping when running the experiment.</text>
  </threadedComment>
  <threadedComment ref="J3" dT="2020-01-16T11:14:41.49" personId="{01489622-67B5-4CAB-9B8B-F09804CE9929}" id="{CF058BFF-9261-4043-8883-E8389BFCD255}">
    <text>Ven flow shown on Spectrum ultrasound monitor when unclamped and at corresponding baseline pump speed. Used primarily for documentation and bookkeeping when running the experiment.</text>
  </threadedComment>
  <threadedComment ref="K3" dT="2020-01-16T11:14:41.49" personId="{01489622-67B5-4CAB-9B8B-F09804CE9929}" id="{6C5ADDAA-3943-41FD-9E3E-D34F5A781692}">
    <text>Ven flow shown on Spectrum ultrasound monitor when unclamped and at corresponding baseline pump speed. Used primarily for documentation and bookkeeping when running the experiment.</text>
  </threadedComment>
  <threadedComment ref="L3" dT="2020-01-16T11:14:41.49" personId="{01489622-67B5-4CAB-9B8B-F09804CE9929}" id="{6B459902-F0B5-49D1-A3B7-A6DE5DE8C258}">
    <text>Ven flow shown on Spectrum ultrasound monitor when unclamped and at corresponding baseline pump speed. Used primarily for documentation and bookkeeping when running the experiment.</text>
  </threadedComment>
</ThreadedComments>
</file>

<file path=xl/threadedComments/threadedComment3.xml><?xml version="1.0" encoding="utf-8"?>
<ThreadedComments xmlns="http://schemas.microsoft.com/office/spreadsheetml/2018/threadedcomments" xmlns:x="http://schemas.openxmlformats.org/spreadsheetml/2006/main">
  <threadedComment ref="C12" dT="2020-07-10T07:34:29.56" personId="{01489622-67B5-4CAB-9B8B-F09804CE9929}" id="{72CEC2E4-9845-4F0B-B33C-C0F30A34EE09}">
    <text>See Events timer</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microsoft.com/office/2017/10/relationships/threadedComment" Target="../threadedComments/threadedComment2.xml"/></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 Id="rId4" Type="http://schemas.microsoft.com/office/2017/10/relationships/threadedComment" Target="../threadedComments/threadedComment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AK321"/>
  <sheetViews>
    <sheetView showGridLines="0" tabSelected="1" zoomScale="70" zoomScaleNormal="70" workbookViewId="0">
      <pane ySplit="3" topLeftCell="A4" activePane="bottomLeft" state="frozen"/>
      <selection activeCell="D1" sqref="D1"/>
      <selection pane="bottomLeft" activeCell="AH18" sqref="AH18"/>
    </sheetView>
  </sheetViews>
  <sheetFormatPr defaultColWidth="8.88671875" defaultRowHeight="31.95" customHeight="1" x14ac:dyDescent="0.3"/>
  <cols>
    <col min="1" max="1" width="16.109375" style="14" bestFit="1" customWidth="1"/>
    <col min="2" max="2" width="12.6640625" style="14" bestFit="1" customWidth="1"/>
    <col min="3" max="3" width="8.88671875" style="28" hidden="1" customWidth="1"/>
    <col min="4" max="4" width="6.88671875" style="28" customWidth="1"/>
    <col min="5" max="5" width="6.88671875" style="28" hidden="1" customWidth="1"/>
    <col min="6" max="6" width="5.21875" style="57" bestFit="1" customWidth="1"/>
    <col min="7" max="7" width="24.33203125" style="20" bestFit="1" customWidth="1"/>
    <col min="8" max="8" width="23.33203125" style="20" bestFit="1" customWidth="1"/>
    <col min="9" max="9" width="14.88671875" style="58" hidden="1" customWidth="1"/>
    <col min="10" max="10" width="7.77734375" style="57" customWidth="1"/>
    <col min="11" max="11" width="8.33203125" style="59" customWidth="1"/>
    <col min="12" max="12" width="10" style="19" customWidth="1"/>
    <col min="13" max="13" width="12.6640625" style="19" customWidth="1"/>
    <col min="14" max="14" width="24" style="19" bestFit="1" customWidth="1"/>
    <col min="15" max="15" width="10.109375" style="57" bestFit="1" customWidth="1"/>
    <col min="16" max="16" width="10.109375" style="60" bestFit="1" customWidth="1"/>
    <col min="17" max="17" width="8.6640625" style="59" hidden="1" customWidth="1"/>
    <col min="18" max="18" width="9.88671875" style="15" hidden="1" customWidth="1"/>
    <col min="19" max="19" width="10.5546875" style="15" hidden="1" customWidth="1"/>
    <col min="20" max="20" width="11" style="15" hidden="1" customWidth="1"/>
    <col min="21" max="22" width="8.77734375" style="61" customWidth="1"/>
    <col min="23" max="23" width="8.77734375" style="62" customWidth="1"/>
    <col min="24" max="24" width="8.77734375" style="63" hidden="1" customWidth="1"/>
    <col min="25" max="25" width="8.109375" style="63" hidden="1" customWidth="1"/>
    <col min="26" max="29" width="8.77734375" style="63" hidden="1" customWidth="1"/>
    <col min="30" max="30" width="9.33203125" style="63" hidden="1" customWidth="1"/>
    <col min="31" max="31" width="9.44140625" style="63" hidden="1" customWidth="1"/>
    <col min="32" max="32" width="8.5546875" style="64" hidden="1" customWidth="1"/>
    <col min="33" max="33" width="6.33203125" style="65" hidden="1" customWidth="1"/>
    <col min="34" max="34" width="33.33203125" style="66" bestFit="1" customWidth="1"/>
    <col min="35" max="35" width="28.44140625" style="66" customWidth="1"/>
    <col min="36" max="37" width="28.44140625" style="67" customWidth="1"/>
    <col min="38" max="16384" width="8.88671875" style="13"/>
  </cols>
  <sheetData>
    <row r="1" spans="1:37" s="167" customFormat="1" ht="13.8" x14ac:dyDescent="0.3">
      <c r="A1" s="163"/>
      <c r="B1" s="163"/>
      <c r="C1" s="164"/>
      <c r="D1" s="164"/>
      <c r="E1" s="164"/>
      <c r="F1" s="164"/>
      <c r="G1" s="164"/>
      <c r="H1" s="164"/>
      <c r="I1" s="208" t="s">
        <v>65</v>
      </c>
      <c r="J1" s="208"/>
      <c r="K1" s="208"/>
      <c r="L1" s="208"/>
      <c r="M1" s="208"/>
      <c r="N1" s="208"/>
      <c r="O1" s="208"/>
      <c r="P1" s="209"/>
      <c r="Q1" s="165" t="s">
        <v>145</v>
      </c>
      <c r="R1" s="210" t="s">
        <v>221</v>
      </c>
      <c r="S1" s="210"/>
      <c r="T1" s="207" t="s">
        <v>145</v>
      </c>
      <c r="U1" s="214" t="s">
        <v>29</v>
      </c>
      <c r="V1" s="214"/>
      <c r="W1" s="166" t="s">
        <v>220</v>
      </c>
      <c r="X1" s="214" t="s">
        <v>138</v>
      </c>
      <c r="Y1" s="214"/>
      <c r="Z1" s="214"/>
      <c r="AA1" s="214"/>
      <c r="AB1" s="214"/>
      <c r="AC1" s="214"/>
      <c r="AD1" s="214"/>
      <c r="AE1" s="214"/>
      <c r="AF1" s="210" t="s">
        <v>67</v>
      </c>
      <c r="AG1" s="211"/>
      <c r="AH1" s="212" t="s">
        <v>68</v>
      </c>
      <c r="AI1" s="213"/>
      <c r="AJ1" s="213"/>
      <c r="AK1" s="213"/>
    </row>
    <row r="2" spans="1:37" s="17" customFormat="1" ht="34.799999999999997" customHeight="1" x14ac:dyDescent="0.35">
      <c r="A2" s="121" t="s">
        <v>21</v>
      </c>
      <c r="B2" s="30" t="s">
        <v>23</v>
      </c>
      <c r="C2" s="29" t="s">
        <v>26</v>
      </c>
      <c r="D2" s="29" t="s">
        <v>69</v>
      </c>
      <c r="E2" s="29" t="s">
        <v>283</v>
      </c>
      <c r="F2" s="30" t="s">
        <v>41</v>
      </c>
      <c r="G2" s="30" t="s">
        <v>237</v>
      </c>
      <c r="H2" s="31" t="s">
        <v>13</v>
      </c>
      <c r="I2" s="32" t="s">
        <v>70</v>
      </c>
      <c r="J2" s="33" t="s">
        <v>18</v>
      </c>
      <c r="K2" s="34" t="s">
        <v>48</v>
      </c>
      <c r="L2" s="35" t="s">
        <v>71</v>
      </c>
      <c r="M2" s="35" t="s">
        <v>171</v>
      </c>
      <c r="N2" s="34" t="s">
        <v>49</v>
      </c>
      <c r="O2" s="191" t="s">
        <v>72</v>
      </c>
      <c r="P2" s="150" t="s">
        <v>73</v>
      </c>
      <c r="Q2" s="168" t="s">
        <v>50</v>
      </c>
      <c r="R2" s="169" t="s">
        <v>19</v>
      </c>
      <c r="S2" s="169" t="s">
        <v>20</v>
      </c>
      <c r="T2" s="169" t="s">
        <v>278</v>
      </c>
      <c r="U2" s="170" t="s">
        <v>74</v>
      </c>
      <c r="V2" s="170" t="s">
        <v>17</v>
      </c>
      <c r="W2" s="169" t="s">
        <v>75</v>
      </c>
      <c r="X2" s="171" t="s">
        <v>76</v>
      </c>
      <c r="Y2" s="171" t="s">
        <v>77</v>
      </c>
      <c r="Z2" s="171" t="s">
        <v>78</v>
      </c>
      <c r="AA2" s="171" t="s">
        <v>79</v>
      </c>
      <c r="AB2" s="171" t="s">
        <v>80</v>
      </c>
      <c r="AC2" s="171" t="s">
        <v>81</v>
      </c>
      <c r="AD2" s="171" t="s">
        <v>82</v>
      </c>
      <c r="AE2" s="171" t="s">
        <v>83</v>
      </c>
      <c r="AF2" s="172" t="s">
        <v>84</v>
      </c>
      <c r="AG2" s="173" t="s">
        <v>85</v>
      </c>
      <c r="AH2" s="138" t="s">
        <v>86</v>
      </c>
      <c r="AI2" s="35" t="s">
        <v>87</v>
      </c>
      <c r="AJ2" s="35" t="s">
        <v>88</v>
      </c>
      <c r="AK2" s="35" t="s">
        <v>228</v>
      </c>
    </row>
    <row r="3" spans="1:37" s="18" customFormat="1" ht="18" thickBot="1" x14ac:dyDescent="0.35">
      <c r="A3" s="36" t="s">
        <v>22</v>
      </c>
      <c r="B3" s="36" t="s">
        <v>24</v>
      </c>
      <c r="C3" s="36" t="s">
        <v>27</v>
      </c>
      <c r="D3" s="36" t="s">
        <v>27</v>
      </c>
      <c r="E3" s="36" t="s">
        <v>89</v>
      </c>
      <c r="F3" s="37" t="s">
        <v>89</v>
      </c>
      <c r="G3" s="37"/>
      <c r="H3" s="38"/>
      <c r="I3" s="37" t="s">
        <v>25</v>
      </c>
      <c r="J3" s="39" t="s">
        <v>14</v>
      </c>
      <c r="K3" s="40"/>
      <c r="L3" s="41" t="s">
        <v>47</v>
      </c>
      <c r="M3" s="41"/>
      <c r="N3" s="40"/>
      <c r="O3" s="192" t="s">
        <v>170</v>
      </c>
      <c r="P3" s="151" t="s">
        <v>90</v>
      </c>
      <c r="Q3" s="174" t="s">
        <v>47</v>
      </c>
      <c r="R3" s="175" t="s">
        <v>15</v>
      </c>
      <c r="S3" s="175" t="s">
        <v>15</v>
      </c>
      <c r="T3" s="175"/>
      <c r="U3" s="176" t="s">
        <v>90</v>
      </c>
      <c r="V3" s="176" t="s">
        <v>16</v>
      </c>
      <c r="W3" s="175" t="s">
        <v>90</v>
      </c>
      <c r="X3" s="177" t="s">
        <v>15</v>
      </c>
      <c r="Y3" s="177" t="s">
        <v>15</v>
      </c>
      <c r="Z3" s="177" t="s">
        <v>15</v>
      </c>
      <c r="AA3" s="177" t="s">
        <v>15</v>
      </c>
      <c r="AB3" s="177" t="s">
        <v>15</v>
      </c>
      <c r="AC3" s="177" t="s">
        <v>15</v>
      </c>
      <c r="AD3" s="177" t="s">
        <v>91</v>
      </c>
      <c r="AE3" s="177" t="s">
        <v>92</v>
      </c>
      <c r="AF3" s="178" t="s">
        <v>90</v>
      </c>
      <c r="AG3" s="179" t="s">
        <v>170</v>
      </c>
      <c r="AH3" s="139"/>
      <c r="AI3" s="42"/>
      <c r="AJ3" s="42"/>
      <c r="AK3" s="42"/>
    </row>
    <row r="4" spans="1:37" ht="31.95" customHeight="1" thickBot="1" x14ac:dyDescent="0.35">
      <c r="A4" s="12">
        <v>44062</v>
      </c>
      <c r="B4" s="234">
        <v>0.49327546296296299</v>
      </c>
      <c r="C4" s="49"/>
      <c r="D4" s="49" t="str">
        <f>IF(H4=Categories!$E$4,VLOOKUP(G4,Categories!$A$4:$C$13,3,1),VLOOKUP(H4,Categories!$E$4:$G$24,3,1))</f>
        <v>-</v>
      </c>
      <c r="E4" s="49"/>
      <c r="F4" s="44" t="s">
        <v>0</v>
      </c>
      <c r="G4" s="50" t="s">
        <v>0</v>
      </c>
      <c r="H4" s="50" t="s">
        <v>232</v>
      </c>
      <c r="I4" s="52"/>
      <c r="J4" s="130">
        <v>2200</v>
      </c>
      <c r="K4" s="53" t="s">
        <v>0</v>
      </c>
      <c r="L4" s="54" t="str">
        <f>IFERROR(VLOOKUP(VLOOKUP(N4,N4,1,1),Categories!$K$4:$V$17,2+VLOOKUP(K4,K4,1,1)),"-"  )</f>
        <v>-</v>
      </c>
      <c r="M4" s="54" t="str">
        <f>IFERROR(VLOOKUP(VLOOKUP(N4,N4,1,1),Categories!$K$3:$V$17,7+VLOOKUP(K4,K4,1,1)),"-")</f>
        <v>-</v>
      </c>
      <c r="N4" s="55" t="s">
        <v>0</v>
      </c>
      <c r="O4" s="193" t="s">
        <v>0</v>
      </c>
      <c r="P4" s="202" t="s">
        <v>0</v>
      </c>
      <c r="Q4" s="149"/>
      <c r="R4" s="142"/>
      <c r="S4" s="142"/>
      <c r="T4" s="142"/>
      <c r="U4" s="145"/>
      <c r="V4" s="145"/>
      <c r="W4" s="200"/>
      <c r="X4" s="147"/>
      <c r="Y4" s="147"/>
      <c r="Z4" s="147"/>
      <c r="AA4" s="147"/>
      <c r="AB4" s="147"/>
      <c r="AC4" s="147"/>
      <c r="AD4" s="147"/>
      <c r="AE4" s="147"/>
      <c r="AF4" s="146"/>
      <c r="AG4" s="148"/>
      <c r="AH4" s="141" t="s">
        <v>270</v>
      </c>
      <c r="AI4" s="48" t="s">
        <v>304</v>
      </c>
      <c r="AJ4" s="56"/>
      <c r="AK4" s="56"/>
    </row>
    <row r="5" spans="1:37" ht="31.95" customHeight="1" thickBot="1" x14ac:dyDescent="0.35">
      <c r="A5" s="12">
        <v>44062</v>
      </c>
      <c r="B5" s="234">
        <v>0.49461805555555555</v>
      </c>
      <c r="C5" s="49"/>
      <c r="D5" s="49">
        <f>IF(H5=Categories!$E$4,VLOOKUP(G5,Categories!$A$4:$C$13,3,1),VLOOKUP(H5,Categories!$E$4:$G$24,3,1))</f>
        <v>120</v>
      </c>
      <c r="E5" s="49"/>
      <c r="F5" s="44">
        <v>1</v>
      </c>
      <c r="G5" s="50" t="s">
        <v>1</v>
      </c>
      <c r="H5" s="45" t="s">
        <v>0</v>
      </c>
      <c r="I5" s="52"/>
      <c r="J5" s="130">
        <v>2200</v>
      </c>
      <c r="K5" s="53" t="s">
        <v>0</v>
      </c>
      <c r="L5" s="54" t="str">
        <f>IFERROR(VLOOKUP(VLOOKUP(N5,N5,1,1),Categories!$K$4:$V$17,2+VLOOKUP(K5,K5,1,1)),"-"  )</f>
        <v>-</v>
      </c>
      <c r="M5" s="54" t="str">
        <f>IFERROR(VLOOKUP(VLOOKUP(N5,N5,1,1),Categories!$K$3:$V$17,7+VLOOKUP(K5,K5,1,1)),"-")</f>
        <v>-</v>
      </c>
      <c r="N5" s="55" t="s">
        <v>0</v>
      </c>
      <c r="O5" s="193" t="s">
        <v>0</v>
      </c>
      <c r="P5" s="202" t="s">
        <v>0</v>
      </c>
      <c r="Q5" s="149"/>
      <c r="R5" s="142"/>
      <c r="S5" s="142"/>
      <c r="T5" s="142"/>
      <c r="U5" s="145">
        <v>3.3</v>
      </c>
      <c r="V5" s="197">
        <v>2.1</v>
      </c>
      <c r="W5" s="201">
        <v>4.8499999999999996</v>
      </c>
      <c r="X5" s="199"/>
      <c r="Y5" s="147"/>
      <c r="Z5" s="147"/>
      <c r="AA5" s="147"/>
      <c r="AB5" s="147"/>
      <c r="AC5" s="147"/>
      <c r="AD5" s="147"/>
      <c r="AE5" s="147"/>
      <c r="AF5" s="146"/>
      <c r="AG5" s="148"/>
      <c r="AH5" s="141" t="s">
        <v>253</v>
      </c>
      <c r="AI5" s="56" t="s">
        <v>279</v>
      </c>
      <c r="AJ5" s="56"/>
      <c r="AK5" s="56" t="s">
        <v>303</v>
      </c>
    </row>
    <row r="6" spans="1:37" ht="31.95" customHeight="1" x14ac:dyDescent="0.3">
      <c r="A6" s="183">
        <v>44062</v>
      </c>
      <c r="B6" s="235">
        <v>0.49609953703703707</v>
      </c>
      <c r="C6" s="49"/>
      <c r="D6" s="49">
        <f>IF(H6=Categories!$E$4,VLOOKUP(G6,Categories!$A$4:$C$13,3,1),VLOOKUP(H6,Categories!$E$4:$G$24,3,1))</f>
        <v>60</v>
      </c>
      <c r="E6" s="49"/>
      <c r="F6" s="44">
        <v>1</v>
      </c>
      <c r="G6" s="50" t="s">
        <v>243</v>
      </c>
      <c r="H6" s="51" t="s">
        <v>61</v>
      </c>
      <c r="I6" s="52"/>
      <c r="J6" s="130">
        <v>2200</v>
      </c>
      <c r="K6" s="53" t="s">
        <v>0</v>
      </c>
      <c r="L6" s="54" t="str">
        <f>IFERROR(VLOOKUP(VLOOKUP(N6,N6,1,1),Categories!$K$4:$V$17,2+VLOOKUP(K6,K6,1,1)),"-"  )</f>
        <v>-</v>
      </c>
      <c r="M6" s="54" t="str">
        <f>IFERROR(VLOOKUP(VLOOKUP(N6,N6,1,1),Categories!$K$3:$V$17,7+VLOOKUP(K6,K6,1,1)),"-")</f>
        <v>-</v>
      </c>
      <c r="N6" s="55" t="s">
        <v>0</v>
      </c>
      <c r="O6" s="195">
        <v>20</v>
      </c>
      <c r="P6" s="202">
        <f>IF(O6="-","-",$W$5*(1-O6/100))</f>
        <v>3.88</v>
      </c>
      <c r="Q6" s="185"/>
      <c r="R6" s="186"/>
      <c r="S6" s="186"/>
      <c r="T6" s="186"/>
      <c r="U6" s="187"/>
      <c r="V6" s="187"/>
      <c r="W6" s="188"/>
      <c r="X6" s="189"/>
      <c r="Y6" s="189"/>
      <c r="Z6" s="189"/>
      <c r="AA6" s="189"/>
      <c r="AB6" s="189"/>
      <c r="AC6" s="189"/>
      <c r="AD6" s="189"/>
      <c r="AE6" s="189"/>
      <c r="AF6" s="188"/>
      <c r="AG6" s="190"/>
      <c r="AH6" s="141"/>
      <c r="AI6" s="56"/>
      <c r="AJ6" s="56"/>
      <c r="AK6" s="56" t="s">
        <v>301</v>
      </c>
    </row>
    <row r="7" spans="1:37" ht="31.95" customHeight="1" x14ac:dyDescent="0.3">
      <c r="A7" s="12">
        <v>44062</v>
      </c>
      <c r="B7" s="234">
        <v>0.49681712962962959</v>
      </c>
      <c r="C7" s="49"/>
      <c r="D7" s="49">
        <f>IF(H7=Categories!$E$4,VLOOKUP(G7,Categories!$A$4:$C$13,3,1),VLOOKUP(H7,Categories!$E$4:$G$24,3,1))</f>
        <v>120</v>
      </c>
      <c r="E7" s="49"/>
      <c r="F7" s="44">
        <v>1</v>
      </c>
      <c r="G7" s="50" t="s">
        <v>44</v>
      </c>
      <c r="H7" s="45" t="s">
        <v>0</v>
      </c>
      <c r="I7" s="52"/>
      <c r="J7" s="130">
        <v>2200</v>
      </c>
      <c r="K7" s="53" t="s">
        <v>0</v>
      </c>
      <c r="L7" s="54" t="str">
        <f>IFERROR(VLOOKUP(VLOOKUP(N7,N7,1,1),Categories!$K$4:$V$17,2+VLOOKUP(K7,K7,1,1)),"-"  )</f>
        <v>-</v>
      </c>
      <c r="M7" s="54" t="str">
        <f>IFERROR(VLOOKUP(VLOOKUP(N7,N7,1,1),Categories!$K$3:$V$17,7+VLOOKUP(K7,K7,1,1)),"-")</f>
        <v>-</v>
      </c>
      <c r="N7" s="55" t="s">
        <v>0</v>
      </c>
      <c r="O7" s="193">
        <v>20</v>
      </c>
      <c r="P7" s="202">
        <f t="shared" ref="P7:P71" si="0">IF(O7="-","-",$W$5*(1-O7/100))</f>
        <v>3.88</v>
      </c>
      <c r="Q7" s="149"/>
      <c r="R7" s="142"/>
      <c r="S7" s="142"/>
      <c r="T7" s="142"/>
      <c r="U7" s="145">
        <v>2.5</v>
      </c>
      <c r="V7" s="145">
        <v>1.9</v>
      </c>
      <c r="W7" s="146"/>
      <c r="X7" s="147"/>
      <c r="Y7" s="147"/>
      <c r="Z7" s="147"/>
      <c r="AA7" s="147"/>
      <c r="AB7" s="147"/>
      <c r="AC7" s="147"/>
      <c r="AD7" s="147"/>
      <c r="AE7" s="147"/>
      <c r="AF7" s="146"/>
      <c r="AG7" s="148"/>
      <c r="AH7" s="141"/>
      <c r="AI7" s="48"/>
      <c r="AJ7" s="56"/>
      <c r="AK7" s="56" t="s">
        <v>302</v>
      </c>
    </row>
    <row r="8" spans="1:37" ht="31.95" customHeight="1" x14ac:dyDescent="0.3">
      <c r="A8" s="12">
        <v>44062</v>
      </c>
      <c r="B8" s="234">
        <v>0.49833333333333335</v>
      </c>
      <c r="C8" s="49"/>
      <c r="D8" s="49">
        <f>IF(H8=Categories!$E$4,VLOOKUP(G8,Categories!$A$4:$C$13,3,1),VLOOKUP(H8,Categories!$E$4:$G$24,3,1))</f>
        <v>60</v>
      </c>
      <c r="E8" s="49"/>
      <c r="F8" s="44">
        <v>1</v>
      </c>
      <c r="G8" s="50" t="s">
        <v>243</v>
      </c>
      <c r="H8" s="51" t="s">
        <v>61</v>
      </c>
      <c r="I8" s="52"/>
      <c r="J8" s="130">
        <v>2200</v>
      </c>
      <c r="K8" s="53" t="s">
        <v>0</v>
      </c>
      <c r="L8" s="54" t="str">
        <f>IFERROR(VLOOKUP(VLOOKUP(N8,N8,1,1),Categories!$K$4:$V$17,2+VLOOKUP(K8,K8,1,1)),"-"  )</f>
        <v>-</v>
      </c>
      <c r="M8" s="54" t="str">
        <f>IFERROR(VLOOKUP(VLOOKUP(N8,N8,1,1),Categories!$K$3:$V$17,7+VLOOKUP(K8,K8,1,1)),"-")</f>
        <v>-</v>
      </c>
      <c r="N8" s="55" t="s">
        <v>0</v>
      </c>
      <c r="O8" s="195">
        <v>40</v>
      </c>
      <c r="P8" s="202">
        <f t="shared" si="0"/>
        <v>2.9099999999999997</v>
      </c>
      <c r="Q8" s="149"/>
      <c r="R8" s="142"/>
      <c r="S8" s="142"/>
      <c r="T8" s="186"/>
      <c r="U8" s="145"/>
      <c r="V8" s="145"/>
      <c r="W8" s="146"/>
      <c r="X8" s="147"/>
      <c r="Y8" s="147"/>
      <c r="Z8" s="147"/>
      <c r="AA8" s="147"/>
      <c r="AB8" s="147"/>
      <c r="AC8" s="147"/>
      <c r="AD8" s="147"/>
      <c r="AE8" s="147"/>
      <c r="AF8" s="146"/>
      <c r="AG8" s="148"/>
      <c r="AH8" s="141"/>
      <c r="AI8" s="48"/>
      <c r="AJ8" s="56"/>
      <c r="AK8" s="56" t="s">
        <v>301</v>
      </c>
    </row>
    <row r="9" spans="1:37" ht="31.95" customHeight="1" x14ac:dyDescent="0.3">
      <c r="A9" s="12">
        <v>44062</v>
      </c>
      <c r="B9" s="234">
        <v>0.49921296296296297</v>
      </c>
      <c r="C9" s="49"/>
      <c r="D9" s="49">
        <f>IF(H9=Categories!$E$4,VLOOKUP(G9,Categories!$A$4:$C$13,3,1),VLOOKUP(H9,Categories!$E$4:$G$24,3,1))</f>
        <v>120</v>
      </c>
      <c r="E9" s="49"/>
      <c r="F9" s="44">
        <v>1</v>
      </c>
      <c r="G9" s="50" t="s">
        <v>44</v>
      </c>
      <c r="H9" s="45" t="s">
        <v>0</v>
      </c>
      <c r="I9" s="52"/>
      <c r="J9" s="130">
        <v>2200</v>
      </c>
      <c r="K9" s="53" t="s">
        <v>0</v>
      </c>
      <c r="L9" s="54" t="str">
        <f>IFERROR(VLOOKUP(VLOOKUP(N9,N9,1,1),Categories!$K$4:$V$17,2+VLOOKUP(K9,K9,1,1)),"-"  )</f>
        <v>-</v>
      </c>
      <c r="M9" s="54" t="str">
        <f>IFERROR(VLOOKUP(VLOOKUP(N9,N9,1,1),Categories!$K$3:$V$17,7+VLOOKUP(K9,K9,1,1)),"-")</f>
        <v>-</v>
      </c>
      <c r="N9" s="55" t="s">
        <v>0</v>
      </c>
      <c r="O9" s="193">
        <v>40</v>
      </c>
      <c r="P9" s="202">
        <f t="shared" si="0"/>
        <v>2.9099999999999997</v>
      </c>
      <c r="Q9" s="149"/>
      <c r="R9" s="142"/>
      <c r="S9" s="142"/>
      <c r="T9" s="142"/>
      <c r="U9" s="145">
        <v>1.8</v>
      </c>
      <c r="V9" s="145">
        <v>1.7</v>
      </c>
      <c r="W9" s="146"/>
      <c r="X9" s="147"/>
      <c r="Y9" s="147"/>
      <c r="Z9" s="147"/>
      <c r="AA9" s="147"/>
      <c r="AB9" s="147"/>
      <c r="AC9" s="147"/>
      <c r="AD9" s="147"/>
      <c r="AE9" s="147"/>
      <c r="AF9" s="146"/>
      <c r="AG9" s="148"/>
      <c r="AH9" s="141"/>
      <c r="AI9" s="48"/>
      <c r="AJ9" s="56"/>
      <c r="AK9" s="56" t="s">
        <v>307</v>
      </c>
    </row>
    <row r="10" spans="1:37" ht="31.95" customHeight="1" x14ac:dyDescent="0.3">
      <c r="A10" s="12">
        <v>44062</v>
      </c>
      <c r="B10" s="234">
        <v>0.5007638888888889</v>
      </c>
      <c r="C10" s="49"/>
      <c r="D10" s="49">
        <f>IF(H10=Categories!$E$4,VLOOKUP(G10,Categories!$A$4:$C$13,3,1),VLOOKUP(H10,Categories!$E$4:$G$24,3,1))</f>
        <v>60</v>
      </c>
      <c r="E10" s="49"/>
      <c r="F10" s="44">
        <v>1</v>
      </c>
      <c r="G10" s="50" t="s">
        <v>243</v>
      </c>
      <c r="H10" s="51" t="s">
        <v>61</v>
      </c>
      <c r="I10" s="52"/>
      <c r="J10" s="130">
        <v>2200</v>
      </c>
      <c r="K10" s="53" t="s">
        <v>0</v>
      </c>
      <c r="L10" s="54" t="str">
        <f>IFERROR(VLOOKUP(VLOOKUP(N10,N10,1,1),Categories!$K$4:$V$17,2+VLOOKUP(K10,K10,1,1)),"-"  )</f>
        <v>-</v>
      </c>
      <c r="M10" s="54" t="str">
        <f>IFERROR(VLOOKUP(VLOOKUP(N10,N10,1,1),Categories!$K$3:$V$17,7+VLOOKUP(K10,K10,1,1)),"-")</f>
        <v>-</v>
      </c>
      <c r="N10" s="55" t="s">
        <v>0</v>
      </c>
      <c r="O10" s="195">
        <v>60</v>
      </c>
      <c r="P10" s="202">
        <f t="shared" si="0"/>
        <v>1.94</v>
      </c>
      <c r="Q10" s="149"/>
      <c r="R10" s="142"/>
      <c r="S10" s="142"/>
      <c r="T10" s="186"/>
      <c r="U10" s="145"/>
      <c r="V10" s="145"/>
      <c r="W10" s="146"/>
      <c r="X10" s="147"/>
      <c r="Y10" s="147"/>
      <c r="Z10" s="147"/>
      <c r="AA10" s="147"/>
      <c r="AB10" s="147"/>
      <c r="AC10" s="147"/>
      <c r="AD10" s="147"/>
      <c r="AE10" s="147"/>
      <c r="AF10" s="146"/>
      <c r="AG10" s="148"/>
      <c r="AH10" s="141"/>
      <c r="AI10" s="48"/>
      <c r="AJ10" s="56"/>
      <c r="AK10" s="56" t="s">
        <v>301</v>
      </c>
    </row>
    <row r="11" spans="1:37" ht="31.95" customHeight="1" x14ac:dyDescent="0.3">
      <c r="A11" s="12">
        <v>44062</v>
      </c>
      <c r="B11" s="234">
        <v>0.50148148148148153</v>
      </c>
      <c r="C11" s="49"/>
      <c r="D11" s="49">
        <f>IF(H11=Categories!$E$4,VLOOKUP(G11,Categories!$A$4:$C$13,3,1),VLOOKUP(H11,Categories!$E$4:$G$24,3,1))</f>
        <v>120</v>
      </c>
      <c r="E11" s="49"/>
      <c r="F11" s="44">
        <v>1</v>
      </c>
      <c r="G11" s="50" t="s">
        <v>44</v>
      </c>
      <c r="H11" s="45" t="s">
        <v>0</v>
      </c>
      <c r="I11" s="52"/>
      <c r="J11" s="130">
        <v>2200</v>
      </c>
      <c r="K11" s="53" t="s">
        <v>0</v>
      </c>
      <c r="L11" s="54" t="str">
        <f>IFERROR(VLOOKUP(VLOOKUP(N11,N11,1,1),Categories!$K$4:$V$17,2+VLOOKUP(K11,K11,1,1)),"-"  )</f>
        <v>-</v>
      </c>
      <c r="M11" s="54" t="str">
        <f>IFERROR(VLOOKUP(VLOOKUP(N11,N11,1,1),Categories!$K$3:$V$17,7+VLOOKUP(K11,K11,1,1)),"-")</f>
        <v>-</v>
      </c>
      <c r="N11" s="55" t="s">
        <v>0</v>
      </c>
      <c r="O11" s="193">
        <v>60</v>
      </c>
      <c r="P11" s="202">
        <f t="shared" si="0"/>
        <v>1.94</v>
      </c>
      <c r="Q11" s="149"/>
      <c r="R11" s="142"/>
      <c r="S11" s="142"/>
      <c r="T11" s="142"/>
      <c r="U11" s="145">
        <v>1.1000000000000001</v>
      </c>
      <c r="V11" s="145">
        <v>1.5</v>
      </c>
      <c r="W11" s="146"/>
      <c r="X11" s="147"/>
      <c r="Y11" s="147"/>
      <c r="Z11" s="147"/>
      <c r="AA11" s="147"/>
      <c r="AB11" s="147"/>
      <c r="AC11" s="147"/>
      <c r="AD11" s="147"/>
      <c r="AE11" s="147"/>
      <c r="AF11" s="146"/>
      <c r="AG11" s="148"/>
      <c r="AH11" s="141"/>
      <c r="AI11" s="48"/>
      <c r="AJ11" s="56"/>
      <c r="AK11" s="56" t="s">
        <v>308</v>
      </c>
    </row>
    <row r="12" spans="1:37" ht="31.95" customHeight="1" x14ac:dyDescent="0.3">
      <c r="A12" s="12">
        <v>44062</v>
      </c>
      <c r="B12" s="234">
        <v>0.50302083333333336</v>
      </c>
      <c r="C12" s="49"/>
      <c r="D12" s="49">
        <f>IF(H12=Categories!$E$4,VLOOKUP(G12,Categories!$A$4:$C$13,3,1),VLOOKUP(H12,Categories!$E$4:$G$24,3,1))</f>
        <v>60</v>
      </c>
      <c r="E12" s="49"/>
      <c r="F12" s="44">
        <v>1</v>
      </c>
      <c r="G12" s="50" t="s">
        <v>243</v>
      </c>
      <c r="H12" s="51" t="s">
        <v>61</v>
      </c>
      <c r="I12" s="52"/>
      <c r="J12" s="130">
        <v>2200</v>
      </c>
      <c r="K12" s="53" t="s">
        <v>0</v>
      </c>
      <c r="L12" s="54" t="str">
        <f>IFERROR(VLOOKUP(VLOOKUP(N12,N12,1,1),Categories!$K$4:$V$17,2+VLOOKUP(K12,K12,1,1)),"-"  )</f>
        <v>-</v>
      </c>
      <c r="M12" s="54" t="str">
        <f>IFERROR(VLOOKUP(VLOOKUP(N12,N12,1,1),Categories!$K$3:$V$17,7+VLOOKUP(K12,K12,1,1)),"-")</f>
        <v>-</v>
      </c>
      <c r="N12" s="55" t="s">
        <v>0</v>
      </c>
      <c r="O12" s="195">
        <v>80</v>
      </c>
      <c r="P12" s="202">
        <f t="shared" si="0"/>
        <v>0.96999999999999975</v>
      </c>
      <c r="Q12" s="149"/>
      <c r="R12" s="142"/>
      <c r="S12" s="142"/>
      <c r="T12" s="186"/>
      <c r="U12" s="145"/>
      <c r="V12" s="145"/>
      <c r="W12" s="146"/>
      <c r="X12" s="147"/>
      <c r="Y12" s="147"/>
      <c r="Z12" s="147"/>
      <c r="AA12" s="147"/>
      <c r="AB12" s="147"/>
      <c r="AC12" s="147"/>
      <c r="AD12" s="147"/>
      <c r="AE12" s="147"/>
      <c r="AF12" s="146"/>
      <c r="AG12" s="148"/>
      <c r="AH12" s="141"/>
      <c r="AI12" s="48"/>
      <c r="AJ12" s="56"/>
      <c r="AK12" s="56" t="s">
        <v>301</v>
      </c>
    </row>
    <row r="13" spans="1:37" ht="31.95" customHeight="1" x14ac:dyDescent="0.3">
      <c r="A13" s="12">
        <v>44062</v>
      </c>
      <c r="B13" s="234">
        <v>0.50375000000000003</v>
      </c>
      <c r="C13" s="49"/>
      <c r="D13" s="49">
        <f>IF(H13=Categories!$E$4,VLOOKUP(G13,Categories!$A$4:$C$13,3,1),VLOOKUP(H13,Categories!$E$4:$G$24,3,1))</f>
        <v>120</v>
      </c>
      <c r="E13" s="49"/>
      <c r="F13" s="44">
        <v>1</v>
      </c>
      <c r="G13" s="50" t="s">
        <v>44</v>
      </c>
      <c r="H13" s="45" t="s">
        <v>0</v>
      </c>
      <c r="I13" s="52"/>
      <c r="J13" s="130">
        <v>2200</v>
      </c>
      <c r="K13" s="53" t="s">
        <v>0</v>
      </c>
      <c r="L13" s="54" t="str">
        <f>IFERROR(VLOOKUP(VLOOKUP(N13,N13,1,1),Categories!$K$4:$V$17,2+VLOOKUP(K13,K13,1,1)),"-"  )</f>
        <v>-</v>
      </c>
      <c r="M13" s="54" t="str">
        <f>IFERROR(VLOOKUP(VLOOKUP(N13,N13,1,1),Categories!$K$3:$V$17,7+VLOOKUP(K13,K13,1,1)),"-")</f>
        <v>-</v>
      </c>
      <c r="N13" s="55" t="s">
        <v>0</v>
      </c>
      <c r="O13" s="193">
        <v>80</v>
      </c>
      <c r="P13" s="202">
        <f t="shared" si="0"/>
        <v>0.96999999999999975</v>
      </c>
      <c r="Q13" s="149"/>
      <c r="R13" s="142"/>
      <c r="S13" s="142"/>
      <c r="T13" s="142"/>
      <c r="U13" s="145">
        <v>0.4</v>
      </c>
      <c r="V13" s="145">
        <v>1.2</v>
      </c>
      <c r="W13" s="146"/>
      <c r="X13" s="147"/>
      <c r="Y13" s="147"/>
      <c r="Z13" s="147"/>
      <c r="AA13" s="147"/>
      <c r="AB13" s="147"/>
      <c r="AC13" s="147"/>
      <c r="AD13" s="147"/>
      <c r="AE13" s="147"/>
      <c r="AF13" s="146"/>
      <c r="AG13" s="148"/>
      <c r="AH13" s="141"/>
      <c r="AI13" s="48"/>
      <c r="AJ13" s="56"/>
      <c r="AK13" s="56" t="s">
        <v>309</v>
      </c>
    </row>
    <row r="14" spans="1:37" ht="31.95" customHeight="1" x14ac:dyDescent="0.3">
      <c r="A14" s="12">
        <v>44062</v>
      </c>
      <c r="B14" s="234">
        <v>0.50567129629629626</v>
      </c>
      <c r="C14" s="49"/>
      <c r="D14" s="49">
        <f>IF(H14=Categories!$E$4,VLOOKUP(G14,Categories!$A$4:$C$13,3,1),VLOOKUP(H14,Categories!$E$4:$G$24,3,1))</f>
        <v>60</v>
      </c>
      <c r="E14" s="49"/>
      <c r="F14" s="44">
        <v>1</v>
      </c>
      <c r="G14" s="50" t="s">
        <v>243</v>
      </c>
      <c r="H14" s="51" t="s">
        <v>61</v>
      </c>
      <c r="I14" s="52"/>
      <c r="J14" s="130">
        <v>2200</v>
      </c>
      <c r="K14" s="53" t="s">
        <v>0</v>
      </c>
      <c r="L14" s="54" t="str">
        <f>IFERROR(VLOOKUP(VLOOKUP(N14,N14,1,1),Categories!$K$4:$V$17,2+VLOOKUP(K14,K14,1,1)),"-"  )</f>
        <v>-</v>
      </c>
      <c r="M14" s="54" t="str">
        <f>IFERROR(VLOOKUP(VLOOKUP(N14,N14,1,1),Categories!$K$3:$V$17,7+VLOOKUP(K14,K14,1,1)),"-")</f>
        <v>-</v>
      </c>
      <c r="N14" s="55" t="s">
        <v>0</v>
      </c>
      <c r="O14" s="195">
        <v>0</v>
      </c>
      <c r="P14" s="202">
        <f t="shared" si="0"/>
        <v>4.8499999999999996</v>
      </c>
      <c r="Q14" s="149"/>
      <c r="R14" s="142"/>
      <c r="S14" s="142"/>
      <c r="T14" s="142"/>
      <c r="U14" s="145"/>
      <c r="V14" s="145"/>
      <c r="W14" s="146"/>
      <c r="X14" s="147"/>
      <c r="Y14" s="147"/>
      <c r="Z14" s="147"/>
      <c r="AA14" s="147"/>
      <c r="AB14" s="147"/>
      <c r="AC14" s="147"/>
      <c r="AD14" s="147"/>
      <c r="AE14" s="147"/>
      <c r="AF14" s="146"/>
      <c r="AG14" s="148"/>
      <c r="AH14" s="141"/>
      <c r="AI14" s="48"/>
      <c r="AJ14" s="56"/>
      <c r="AK14" s="56" t="s">
        <v>310</v>
      </c>
    </row>
    <row r="15" spans="1:37" ht="31.95" customHeight="1" x14ac:dyDescent="0.3">
      <c r="A15" s="12">
        <v>44062</v>
      </c>
      <c r="B15" s="234">
        <v>0.50641203703703697</v>
      </c>
      <c r="C15" s="49"/>
      <c r="D15" s="49">
        <f>IF(H15=Categories!$E$4,VLOOKUP(G15,Categories!$A$4:$C$13,3,1),VLOOKUP(H15,Categories!$E$4:$G$24,3,1))</f>
        <v>60</v>
      </c>
      <c r="E15" s="49"/>
      <c r="F15" s="44">
        <v>1</v>
      </c>
      <c r="G15" s="50" t="s">
        <v>245</v>
      </c>
      <c r="H15" s="51" t="s">
        <v>0</v>
      </c>
      <c r="I15" s="52"/>
      <c r="J15" s="130">
        <v>2200</v>
      </c>
      <c r="K15" s="53" t="s">
        <v>0</v>
      </c>
      <c r="L15" s="54" t="str">
        <f>IFERROR(VLOOKUP(VLOOKUP(N15,N15,1,1),Categories!$K$4:$V$17,2+VLOOKUP(K15,K15,1,1)),"-"  )</f>
        <v>-</v>
      </c>
      <c r="M15" s="54" t="str">
        <f>IFERROR(VLOOKUP(VLOOKUP(N15,N15,1,1),Categories!$K$3:$V$17,7+VLOOKUP(K15,K15,1,1)),"-")</f>
        <v>-</v>
      </c>
      <c r="N15" s="55" t="s">
        <v>0</v>
      </c>
      <c r="O15" s="193">
        <v>0</v>
      </c>
      <c r="P15" s="202">
        <f t="shared" si="0"/>
        <v>4.8499999999999996</v>
      </c>
      <c r="Q15" s="149"/>
      <c r="R15" s="142"/>
      <c r="S15" s="142"/>
      <c r="T15" s="142"/>
      <c r="U15" s="145">
        <v>3.3</v>
      </c>
      <c r="V15" s="145">
        <v>2.1</v>
      </c>
      <c r="W15" s="146"/>
      <c r="X15" s="147"/>
      <c r="Y15" s="147"/>
      <c r="Z15" s="147"/>
      <c r="AA15" s="147"/>
      <c r="AB15" s="147"/>
      <c r="AC15" s="147"/>
      <c r="AD15" s="147"/>
      <c r="AE15" s="147"/>
      <c r="AF15" s="146"/>
      <c r="AG15" s="148"/>
      <c r="AH15" s="141"/>
      <c r="AI15" s="48"/>
      <c r="AJ15" s="56"/>
      <c r="AK15" s="56" t="s">
        <v>303</v>
      </c>
    </row>
    <row r="16" spans="1:37" ht="31.95" customHeight="1" x14ac:dyDescent="0.3">
      <c r="A16" s="183">
        <v>44062</v>
      </c>
      <c r="B16" s="235">
        <v>0.50800925925925922</v>
      </c>
      <c r="C16" s="49"/>
      <c r="D16" s="49" t="str">
        <f>IF(H16=Categories!$E$4,VLOOKUP(G16,Categories!$A$4:$C$13,3,1),VLOOKUP(H16,Categories!$E$4:$G$24,3,1))</f>
        <v>-</v>
      </c>
      <c r="E16" s="49"/>
      <c r="F16" s="44" t="s">
        <v>0</v>
      </c>
      <c r="G16" s="50" t="s">
        <v>3</v>
      </c>
      <c r="H16" s="51" t="s">
        <v>0</v>
      </c>
      <c r="I16" s="52"/>
      <c r="J16" s="130">
        <v>2200</v>
      </c>
      <c r="K16" s="53" t="s">
        <v>0</v>
      </c>
      <c r="L16" s="54" t="str">
        <f>IFERROR(VLOOKUP(VLOOKUP(N16,N16,1,1),Categories!$K$4:$V$17,2+VLOOKUP(K16,K16,1,1)),"-"  )</f>
        <v>-</v>
      </c>
      <c r="M16" s="54" t="str">
        <f>IFERROR(VLOOKUP(VLOOKUP(N16,N16,1,1),Categories!$K$3:$V$17,7+VLOOKUP(K16,K16,1,1)),"-")</f>
        <v>-</v>
      </c>
      <c r="N16" s="55" t="s">
        <v>0</v>
      </c>
      <c r="O16" s="195">
        <v>0</v>
      </c>
      <c r="P16" s="202">
        <f t="shared" ref="P16" si="1">IF(O16="-","-",$W$5*(1-O16/100))</f>
        <v>4.8499999999999996</v>
      </c>
      <c r="Q16" s="185"/>
      <c r="R16" s="186"/>
      <c r="S16" s="186"/>
      <c r="T16" s="142"/>
      <c r="U16" s="187"/>
      <c r="V16" s="187"/>
      <c r="W16" s="188"/>
      <c r="X16" s="189"/>
      <c r="Y16" s="189"/>
      <c r="Z16" s="189"/>
      <c r="AA16" s="189"/>
      <c r="AB16" s="189"/>
      <c r="AC16" s="189"/>
      <c r="AD16" s="189"/>
      <c r="AE16" s="189"/>
      <c r="AF16" s="188"/>
      <c r="AG16" s="190"/>
      <c r="AH16" s="141"/>
      <c r="AI16" s="56"/>
      <c r="AJ16" s="56"/>
      <c r="AK16" s="56"/>
    </row>
    <row r="17" spans="1:37" ht="31.95" customHeight="1" x14ac:dyDescent="0.3">
      <c r="A17" s="183">
        <v>44062</v>
      </c>
      <c r="B17" s="235">
        <v>0.50987268518518525</v>
      </c>
      <c r="C17" s="49"/>
      <c r="D17" s="49">
        <f>IF(H17=Categories!$E$4,VLOOKUP(G17,Categories!$A$4:$C$13,3,1),VLOOKUP(H17,Categories!$E$4:$G$24,3,1))</f>
        <v>60</v>
      </c>
      <c r="E17" s="49"/>
      <c r="F17" s="44">
        <v>2</v>
      </c>
      <c r="G17" s="50" t="s">
        <v>243</v>
      </c>
      <c r="H17" s="51" t="s">
        <v>60</v>
      </c>
      <c r="I17" s="52"/>
      <c r="J17" s="130">
        <v>2200</v>
      </c>
      <c r="K17" s="53" t="s">
        <v>0</v>
      </c>
      <c r="L17" s="54" t="str">
        <f>IFERROR(VLOOKUP(VLOOKUP(N17,N17,1,1),Categories!$K$4:$V$17,2+VLOOKUP(K17,K17,1,1)),"-"  )</f>
        <v>-</v>
      </c>
      <c r="M17" s="54" t="str">
        <f>IFERROR(VLOOKUP(VLOOKUP(N17,N17,1,1),Categories!$K$3:$V$17,7+VLOOKUP(K17,K17,1,1)),"-")</f>
        <v>-</v>
      </c>
      <c r="N17" s="55" t="s">
        <v>0</v>
      </c>
      <c r="O17" s="195">
        <v>20</v>
      </c>
      <c r="P17" s="202">
        <f t="shared" si="0"/>
        <v>3.88</v>
      </c>
      <c r="Q17" s="185"/>
      <c r="R17" s="186"/>
      <c r="S17" s="186"/>
      <c r="T17" s="142"/>
      <c r="U17" s="187"/>
      <c r="V17" s="187"/>
      <c r="W17" s="188"/>
      <c r="X17" s="189"/>
      <c r="Y17" s="189"/>
      <c r="Z17" s="189"/>
      <c r="AA17" s="189"/>
      <c r="AB17" s="189"/>
      <c r="AC17" s="189"/>
      <c r="AD17" s="189"/>
      <c r="AE17" s="189"/>
      <c r="AF17" s="188"/>
      <c r="AG17" s="190"/>
      <c r="AH17" s="141"/>
      <c r="AI17" s="56"/>
      <c r="AJ17" s="56"/>
      <c r="AK17" s="56"/>
    </row>
    <row r="18" spans="1:37" ht="31.95" customHeight="1" x14ac:dyDescent="0.3">
      <c r="A18" s="12">
        <v>44062</v>
      </c>
      <c r="B18" s="234">
        <v>0.51069444444444445</v>
      </c>
      <c r="C18" s="49"/>
      <c r="D18" s="49">
        <f>IF(H18=Categories!$E$4,VLOOKUP(G18,Categories!$A$4:$C$13,3,1),VLOOKUP(H18,Categories!$E$4:$G$24,3,1))</f>
        <v>120</v>
      </c>
      <c r="E18" s="49"/>
      <c r="F18" s="44">
        <v>2</v>
      </c>
      <c r="G18" s="50" t="s">
        <v>44</v>
      </c>
      <c r="H18" s="45" t="s">
        <v>0</v>
      </c>
      <c r="I18" s="52"/>
      <c r="J18" s="130">
        <v>2200</v>
      </c>
      <c r="K18" s="53" t="s">
        <v>0</v>
      </c>
      <c r="L18" s="54" t="str">
        <f>IFERROR(VLOOKUP(VLOOKUP(N18,N18,1,1),Categories!$K$4:$V$17,2+VLOOKUP(K18,K18,1,1)),"-"  )</f>
        <v>-</v>
      </c>
      <c r="M18" s="54" t="str">
        <f>IFERROR(VLOOKUP(VLOOKUP(N18,N18,1,1),Categories!$K$3:$V$17,7+VLOOKUP(K18,K18,1,1)),"-")</f>
        <v>-</v>
      </c>
      <c r="N18" s="55" t="s">
        <v>0</v>
      </c>
      <c r="O18" s="193">
        <v>20</v>
      </c>
      <c r="P18" s="202">
        <f t="shared" si="0"/>
        <v>3.88</v>
      </c>
      <c r="Q18" s="149"/>
      <c r="R18" s="142"/>
      <c r="S18" s="142"/>
      <c r="T18" s="142"/>
      <c r="U18" s="145">
        <v>2.7</v>
      </c>
      <c r="V18" s="145">
        <v>1.9</v>
      </c>
      <c r="W18" s="146"/>
      <c r="X18" s="147"/>
      <c r="Y18" s="147"/>
      <c r="Z18" s="147"/>
      <c r="AA18" s="147"/>
      <c r="AB18" s="147"/>
      <c r="AC18" s="147"/>
      <c r="AD18" s="147"/>
      <c r="AE18" s="147"/>
      <c r="AF18" s="146"/>
      <c r="AG18" s="148"/>
      <c r="AH18" s="141"/>
      <c r="AI18" s="48"/>
      <c r="AJ18" s="56"/>
      <c r="AK18" s="56"/>
    </row>
    <row r="19" spans="1:37" ht="31.95" customHeight="1" x14ac:dyDescent="0.3">
      <c r="A19" s="12"/>
      <c r="B19" s="122"/>
      <c r="C19" s="49"/>
      <c r="D19" s="49">
        <f>IF(H19=Categories!$E$4,VLOOKUP(G19,Categories!$A$4:$C$13,3,1),VLOOKUP(H19,Categories!$E$4:$G$24,3,1))</f>
        <v>60</v>
      </c>
      <c r="E19" s="49"/>
      <c r="F19" s="44">
        <v>2</v>
      </c>
      <c r="G19" s="50" t="s">
        <v>243</v>
      </c>
      <c r="H19" s="51" t="s">
        <v>60</v>
      </c>
      <c r="I19" s="52"/>
      <c r="J19" s="130">
        <v>2200</v>
      </c>
      <c r="K19" s="53" t="s">
        <v>0</v>
      </c>
      <c r="L19" s="54" t="str">
        <f>IFERROR(VLOOKUP(VLOOKUP(N19,N19,1,1),Categories!$K$4:$V$17,2+VLOOKUP(K19,K19,1,1)),"-"  )</f>
        <v>-</v>
      </c>
      <c r="M19" s="54" t="str">
        <f>IFERROR(VLOOKUP(VLOOKUP(N19,N19,1,1),Categories!$K$3:$V$17,7+VLOOKUP(K19,K19,1,1)),"-")</f>
        <v>-</v>
      </c>
      <c r="N19" s="55" t="s">
        <v>0</v>
      </c>
      <c r="O19" s="195">
        <v>40</v>
      </c>
      <c r="P19" s="202">
        <f t="shared" si="0"/>
        <v>2.9099999999999997</v>
      </c>
      <c r="Q19" s="149"/>
      <c r="R19" s="142"/>
      <c r="S19" s="142"/>
      <c r="T19" s="142"/>
      <c r="U19" s="145"/>
      <c r="V19" s="145"/>
      <c r="W19" s="146"/>
      <c r="X19" s="147"/>
      <c r="Y19" s="147"/>
      <c r="Z19" s="147"/>
      <c r="AA19" s="147"/>
      <c r="AB19" s="147"/>
      <c r="AC19" s="147"/>
      <c r="AD19" s="147"/>
      <c r="AE19" s="147"/>
      <c r="AF19" s="146"/>
      <c r="AG19" s="148"/>
      <c r="AH19" s="141"/>
      <c r="AI19" s="48"/>
      <c r="AJ19" s="56"/>
      <c r="AK19" s="56"/>
    </row>
    <row r="20" spans="1:37" ht="31.95" customHeight="1" x14ac:dyDescent="0.3">
      <c r="A20" s="12"/>
      <c r="B20" s="122"/>
      <c r="C20" s="49"/>
      <c r="D20" s="49">
        <f>IF(H20=Categories!$E$4,VLOOKUP(G20,Categories!$A$4:$C$13,3,1),VLOOKUP(H20,Categories!$E$4:$G$24,3,1))</f>
        <v>120</v>
      </c>
      <c r="E20" s="49"/>
      <c r="F20" s="44">
        <v>2</v>
      </c>
      <c r="G20" s="50" t="s">
        <v>44</v>
      </c>
      <c r="H20" s="45" t="s">
        <v>0</v>
      </c>
      <c r="I20" s="52"/>
      <c r="J20" s="130">
        <v>2200</v>
      </c>
      <c r="K20" s="53" t="s">
        <v>0</v>
      </c>
      <c r="L20" s="54" t="str">
        <f>IFERROR(VLOOKUP(VLOOKUP(N20,N20,1,1),Categories!$K$4:$V$17,2+VLOOKUP(K20,K20,1,1)),"-"  )</f>
        <v>-</v>
      </c>
      <c r="M20" s="54" t="str">
        <f>IFERROR(VLOOKUP(VLOOKUP(N20,N20,1,1),Categories!$K$3:$V$17,7+VLOOKUP(K20,K20,1,1)),"-")</f>
        <v>-</v>
      </c>
      <c r="N20" s="55" t="s">
        <v>0</v>
      </c>
      <c r="O20" s="193">
        <v>40</v>
      </c>
      <c r="P20" s="202">
        <f t="shared" si="0"/>
        <v>2.9099999999999997</v>
      </c>
      <c r="Q20" s="149"/>
      <c r="R20" s="142"/>
      <c r="S20" s="142"/>
      <c r="T20" s="142"/>
      <c r="U20" s="145"/>
      <c r="V20" s="145"/>
      <c r="W20" s="146"/>
      <c r="X20" s="147"/>
      <c r="Y20" s="147"/>
      <c r="Z20" s="147"/>
      <c r="AA20" s="147"/>
      <c r="AB20" s="147"/>
      <c r="AC20" s="147"/>
      <c r="AD20" s="147"/>
      <c r="AE20" s="147"/>
      <c r="AF20" s="146"/>
      <c r="AG20" s="148"/>
      <c r="AH20" s="141"/>
      <c r="AI20" s="48"/>
      <c r="AJ20" s="56"/>
      <c r="AK20" s="56"/>
    </row>
    <row r="21" spans="1:37" ht="31.95" customHeight="1" x14ac:dyDescent="0.3">
      <c r="A21" s="12"/>
      <c r="B21" s="122"/>
      <c r="C21" s="49"/>
      <c r="D21" s="49">
        <f>IF(H21=Categories!$E$4,VLOOKUP(G21,Categories!$A$4:$C$13,3,1),VLOOKUP(H21,Categories!$E$4:$G$24,3,1))</f>
        <v>60</v>
      </c>
      <c r="E21" s="49"/>
      <c r="F21" s="44">
        <v>2</v>
      </c>
      <c r="G21" s="50" t="s">
        <v>243</v>
      </c>
      <c r="H21" s="51" t="s">
        <v>60</v>
      </c>
      <c r="I21" s="52"/>
      <c r="J21" s="130">
        <v>2200</v>
      </c>
      <c r="K21" s="53" t="s">
        <v>0</v>
      </c>
      <c r="L21" s="54" t="str">
        <f>IFERROR(VLOOKUP(VLOOKUP(N21,N21,1,1),Categories!$K$4:$V$17,2+VLOOKUP(K21,K21,1,1)),"-"  )</f>
        <v>-</v>
      </c>
      <c r="M21" s="54" t="str">
        <f>IFERROR(VLOOKUP(VLOOKUP(N21,N21,1,1),Categories!$K$3:$V$17,7+VLOOKUP(K21,K21,1,1)),"-")</f>
        <v>-</v>
      </c>
      <c r="N21" s="55" t="s">
        <v>0</v>
      </c>
      <c r="O21" s="195">
        <v>60</v>
      </c>
      <c r="P21" s="202">
        <f t="shared" si="0"/>
        <v>1.94</v>
      </c>
      <c r="Q21" s="149"/>
      <c r="R21" s="142"/>
      <c r="S21" s="142"/>
      <c r="T21" s="142"/>
      <c r="U21" s="145"/>
      <c r="V21" s="145"/>
      <c r="W21" s="146"/>
      <c r="X21" s="147"/>
      <c r="Y21" s="147"/>
      <c r="Z21" s="147"/>
      <c r="AA21" s="147"/>
      <c r="AB21" s="147"/>
      <c r="AC21" s="147"/>
      <c r="AD21" s="147"/>
      <c r="AE21" s="147"/>
      <c r="AF21" s="146"/>
      <c r="AG21" s="148"/>
      <c r="AH21" s="141"/>
      <c r="AI21" s="48"/>
      <c r="AJ21" s="56"/>
      <c r="AK21" s="56"/>
    </row>
    <row r="22" spans="1:37" ht="31.95" customHeight="1" x14ac:dyDescent="0.3">
      <c r="A22" s="12"/>
      <c r="B22" s="122"/>
      <c r="C22" s="49"/>
      <c r="D22" s="49">
        <f>IF(H22=Categories!$E$4,VLOOKUP(G22,Categories!$A$4:$C$13,3,1),VLOOKUP(H22,Categories!$E$4:$G$24,3,1))</f>
        <v>120</v>
      </c>
      <c r="E22" s="49"/>
      <c r="F22" s="44">
        <v>2</v>
      </c>
      <c r="G22" s="50" t="s">
        <v>44</v>
      </c>
      <c r="H22" s="45" t="s">
        <v>0</v>
      </c>
      <c r="I22" s="52"/>
      <c r="J22" s="130">
        <v>2200</v>
      </c>
      <c r="K22" s="53" t="s">
        <v>0</v>
      </c>
      <c r="L22" s="54" t="str">
        <f>IFERROR(VLOOKUP(VLOOKUP(N22,N22,1,1),Categories!$K$4:$V$17,2+VLOOKUP(K22,K22,1,1)),"-"  )</f>
        <v>-</v>
      </c>
      <c r="M22" s="54" t="str">
        <f>IFERROR(VLOOKUP(VLOOKUP(N22,N22,1,1),Categories!$K$3:$V$17,7+VLOOKUP(K22,K22,1,1)),"-")</f>
        <v>-</v>
      </c>
      <c r="N22" s="55" t="s">
        <v>0</v>
      </c>
      <c r="O22" s="193">
        <v>60</v>
      </c>
      <c r="P22" s="202">
        <f t="shared" si="0"/>
        <v>1.94</v>
      </c>
      <c r="Q22" s="149"/>
      <c r="R22" s="142"/>
      <c r="S22" s="142"/>
      <c r="T22" s="142"/>
      <c r="U22" s="145"/>
      <c r="V22" s="145"/>
      <c r="W22" s="146"/>
      <c r="X22" s="147"/>
      <c r="Y22" s="147"/>
      <c r="Z22" s="147"/>
      <c r="AA22" s="147"/>
      <c r="AB22" s="147"/>
      <c r="AC22" s="147"/>
      <c r="AD22" s="147"/>
      <c r="AE22" s="147"/>
      <c r="AF22" s="146"/>
      <c r="AG22" s="148"/>
      <c r="AH22" s="141"/>
      <c r="AI22" s="48"/>
      <c r="AJ22" s="56"/>
      <c r="AK22" s="56"/>
    </row>
    <row r="23" spans="1:37" ht="31.95" customHeight="1" x14ac:dyDescent="0.3">
      <c r="A23" s="12"/>
      <c r="B23" s="122"/>
      <c r="C23" s="49"/>
      <c r="D23" s="49">
        <f>IF(H23=Categories!$E$4,VLOOKUP(G23,Categories!$A$4:$C$13,3,1),VLOOKUP(H23,Categories!$E$4:$G$24,3,1))</f>
        <v>60</v>
      </c>
      <c r="E23" s="49"/>
      <c r="F23" s="44">
        <v>2</v>
      </c>
      <c r="G23" s="50" t="s">
        <v>243</v>
      </c>
      <c r="H23" s="51" t="s">
        <v>60</v>
      </c>
      <c r="I23" s="52"/>
      <c r="J23" s="130">
        <v>2200</v>
      </c>
      <c r="K23" s="53" t="s">
        <v>0</v>
      </c>
      <c r="L23" s="54" t="str">
        <f>IFERROR(VLOOKUP(VLOOKUP(N23,N23,1,1),Categories!$K$4:$V$17,2+VLOOKUP(K23,K23,1,1)),"-"  )</f>
        <v>-</v>
      </c>
      <c r="M23" s="54" t="str">
        <f>IFERROR(VLOOKUP(VLOOKUP(N23,N23,1,1),Categories!$K$3:$V$17,7+VLOOKUP(K23,K23,1,1)),"-")</f>
        <v>-</v>
      </c>
      <c r="N23" s="55" t="s">
        <v>0</v>
      </c>
      <c r="O23" s="195">
        <v>80</v>
      </c>
      <c r="P23" s="202">
        <f t="shared" si="0"/>
        <v>0.96999999999999975</v>
      </c>
      <c r="Q23" s="149"/>
      <c r="R23" s="142"/>
      <c r="S23" s="142"/>
      <c r="T23" s="142"/>
      <c r="U23" s="145"/>
      <c r="V23" s="145"/>
      <c r="W23" s="146"/>
      <c r="X23" s="147"/>
      <c r="Y23" s="147"/>
      <c r="Z23" s="147"/>
      <c r="AA23" s="147"/>
      <c r="AB23" s="147"/>
      <c r="AC23" s="147"/>
      <c r="AD23" s="147"/>
      <c r="AE23" s="147"/>
      <c r="AF23" s="146"/>
      <c r="AG23" s="148"/>
      <c r="AH23" s="141"/>
      <c r="AI23" s="48"/>
      <c r="AJ23" s="56"/>
      <c r="AK23" s="56"/>
    </row>
    <row r="24" spans="1:37" ht="31.95" customHeight="1" x14ac:dyDescent="0.3">
      <c r="A24" s="12"/>
      <c r="B24" s="122"/>
      <c r="C24" s="49"/>
      <c r="D24" s="49">
        <f>IF(H24=Categories!$E$4,VLOOKUP(G24,Categories!$A$4:$C$13,3,1),VLOOKUP(H24,Categories!$E$4:$G$24,3,1))</f>
        <v>120</v>
      </c>
      <c r="E24" s="49"/>
      <c r="F24" s="44">
        <v>2</v>
      </c>
      <c r="G24" s="50" t="s">
        <v>44</v>
      </c>
      <c r="H24" s="45" t="s">
        <v>0</v>
      </c>
      <c r="I24" s="52"/>
      <c r="J24" s="130">
        <v>2200</v>
      </c>
      <c r="K24" s="53" t="s">
        <v>0</v>
      </c>
      <c r="L24" s="54" t="str">
        <f>IFERROR(VLOOKUP(VLOOKUP(N24,N24,1,1),Categories!$K$4:$V$17,2+VLOOKUP(K24,K24,1,1)),"-"  )</f>
        <v>-</v>
      </c>
      <c r="M24" s="54" t="str">
        <f>IFERROR(VLOOKUP(VLOOKUP(N24,N24,1,1),Categories!$K$3:$V$17,7+VLOOKUP(K24,K24,1,1)),"-")</f>
        <v>-</v>
      </c>
      <c r="N24" s="55" t="s">
        <v>0</v>
      </c>
      <c r="O24" s="193">
        <v>80</v>
      </c>
      <c r="P24" s="202">
        <f t="shared" si="0"/>
        <v>0.96999999999999975</v>
      </c>
      <c r="Q24" s="149"/>
      <c r="R24" s="142"/>
      <c r="S24" s="142"/>
      <c r="T24" s="142"/>
      <c r="U24" s="145"/>
      <c r="V24" s="145"/>
      <c r="W24" s="146"/>
      <c r="X24" s="147"/>
      <c r="Y24" s="147"/>
      <c r="Z24" s="147"/>
      <c r="AA24" s="147"/>
      <c r="AB24" s="147"/>
      <c r="AC24" s="147"/>
      <c r="AD24" s="147"/>
      <c r="AE24" s="147"/>
      <c r="AF24" s="146"/>
      <c r="AG24" s="148"/>
      <c r="AH24" s="141"/>
      <c r="AI24" s="48"/>
      <c r="AJ24" s="56"/>
      <c r="AK24" s="56"/>
    </row>
    <row r="25" spans="1:37" ht="31.95" customHeight="1" x14ac:dyDescent="0.3">
      <c r="A25" s="12"/>
      <c r="B25" s="122"/>
      <c r="C25" s="49"/>
      <c r="D25" s="49">
        <f>IF(H25=Categories!$E$4,VLOOKUP(G25,Categories!$A$4:$C$13,3,1),VLOOKUP(H25,Categories!$E$4:$G$24,3,1))</f>
        <v>60</v>
      </c>
      <c r="E25" s="49"/>
      <c r="F25" s="44">
        <v>2</v>
      </c>
      <c r="G25" s="50" t="s">
        <v>243</v>
      </c>
      <c r="H25" s="51" t="s">
        <v>60</v>
      </c>
      <c r="I25" s="52"/>
      <c r="J25" s="130">
        <v>2200</v>
      </c>
      <c r="K25" s="53" t="s">
        <v>0</v>
      </c>
      <c r="L25" s="54" t="str">
        <f>IFERROR(VLOOKUP(VLOOKUP(N25,N25,1,1),Categories!$K$4:$V$17,2+VLOOKUP(K25,K25,1,1)),"-"  )</f>
        <v>-</v>
      </c>
      <c r="M25" s="54" t="str">
        <f>IFERROR(VLOOKUP(VLOOKUP(N25,N25,1,1),Categories!$K$3:$V$17,7+VLOOKUP(K25,K25,1,1)),"-")</f>
        <v>-</v>
      </c>
      <c r="N25" s="55" t="s">
        <v>0</v>
      </c>
      <c r="O25" s="195">
        <v>0</v>
      </c>
      <c r="P25" s="202">
        <f t="shared" si="0"/>
        <v>4.8499999999999996</v>
      </c>
      <c r="Q25" s="149"/>
      <c r="R25" s="142"/>
      <c r="S25" s="142"/>
      <c r="T25" s="142"/>
      <c r="U25" s="145"/>
      <c r="V25" s="145"/>
      <c r="W25" s="146"/>
      <c r="X25" s="147"/>
      <c r="Y25" s="147"/>
      <c r="Z25" s="147"/>
      <c r="AA25" s="147"/>
      <c r="AB25" s="147"/>
      <c r="AC25" s="147"/>
      <c r="AD25" s="147"/>
      <c r="AE25" s="147"/>
      <c r="AF25" s="146"/>
      <c r="AG25" s="148"/>
      <c r="AH25" s="141"/>
      <c r="AI25" s="48"/>
      <c r="AJ25" s="56"/>
      <c r="AK25" s="56"/>
    </row>
    <row r="26" spans="1:37" ht="31.95" customHeight="1" x14ac:dyDescent="0.3">
      <c r="A26" s="12"/>
      <c r="B26" s="122"/>
      <c r="C26" s="49"/>
      <c r="D26" s="49">
        <f>IF(H26=Categories!$E$4,VLOOKUP(G26,Categories!$A$4:$C$13,3,1),VLOOKUP(H26,Categories!$E$4:$G$24,3,1))</f>
        <v>60</v>
      </c>
      <c r="E26" s="49"/>
      <c r="F26" s="44">
        <v>2</v>
      </c>
      <c r="G26" s="50" t="s">
        <v>245</v>
      </c>
      <c r="H26" s="51" t="s">
        <v>0</v>
      </c>
      <c r="I26" s="52"/>
      <c r="J26" s="130">
        <v>2200</v>
      </c>
      <c r="K26" s="53" t="s">
        <v>0</v>
      </c>
      <c r="L26" s="54" t="str">
        <f>IFERROR(VLOOKUP(VLOOKUP(N26,N26,1,1),Categories!$K$4:$V$17,2+VLOOKUP(K26,K26,1,1)),"-"  )</f>
        <v>-</v>
      </c>
      <c r="M26" s="54" t="str">
        <f>IFERROR(VLOOKUP(VLOOKUP(N26,N26,1,1),Categories!$K$3:$V$17,7+VLOOKUP(K26,K26,1,1)),"-")</f>
        <v>-</v>
      </c>
      <c r="N26" s="55" t="s">
        <v>0</v>
      </c>
      <c r="O26" s="193">
        <v>0</v>
      </c>
      <c r="P26" s="202">
        <f t="shared" si="0"/>
        <v>4.8499999999999996</v>
      </c>
      <c r="Q26" s="149"/>
      <c r="R26" s="142"/>
      <c r="S26" s="142"/>
      <c r="T26" s="142"/>
      <c r="U26" s="145"/>
      <c r="V26" s="145"/>
      <c r="W26" s="146"/>
      <c r="X26" s="147"/>
      <c r="Y26" s="147"/>
      <c r="Z26" s="147"/>
      <c r="AA26" s="147"/>
      <c r="AB26" s="147"/>
      <c r="AC26" s="147"/>
      <c r="AD26" s="147"/>
      <c r="AE26" s="147"/>
      <c r="AF26" s="146"/>
      <c r="AG26" s="148"/>
      <c r="AH26" s="141"/>
      <c r="AI26" s="48"/>
      <c r="AJ26" s="56"/>
      <c r="AK26" s="56"/>
    </row>
    <row r="27" spans="1:37" ht="31.95" customHeight="1" thickBot="1" x14ac:dyDescent="0.35">
      <c r="A27" s="183"/>
      <c r="B27" s="184"/>
      <c r="C27" s="49"/>
      <c r="D27" s="49">
        <f>IF(H27=Categories!$E$4,VLOOKUP(G27,Categories!$A$4:$C$13,3,1),VLOOKUP(H27,Categories!$E$4:$G$24,3,1))</f>
        <v>45</v>
      </c>
      <c r="E27" s="49"/>
      <c r="F27" s="44" t="s">
        <v>0</v>
      </c>
      <c r="G27" s="50" t="s">
        <v>243</v>
      </c>
      <c r="H27" s="51" t="s">
        <v>2</v>
      </c>
      <c r="I27" s="52"/>
      <c r="J27" s="130">
        <v>2500</v>
      </c>
      <c r="K27" s="53" t="s">
        <v>0</v>
      </c>
      <c r="L27" s="54" t="str">
        <f>IFERROR(VLOOKUP(VLOOKUP(N27,N27,1,1),Categories!$K$4:$V$17,2+VLOOKUP(K27,K27,1,1)),"-"  )</f>
        <v>-</v>
      </c>
      <c r="M27" s="54" t="str">
        <f>IFERROR(VLOOKUP(VLOOKUP(N27,N27,1,1),Categories!$K$3:$V$17,7+VLOOKUP(K27,K27,1,1)),"-")</f>
        <v>-</v>
      </c>
      <c r="N27" s="55" t="s">
        <v>0</v>
      </c>
      <c r="O27" s="193" t="s">
        <v>0</v>
      </c>
      <c r="P27" s="202" t="str">
        <f t="shared" si="0"/>
        <v>-</v>
      </c>
      <c r="Q27" s="185"/>
      <c r="R27" s="186"/>
      <c r="S27" s="186"/>
      <c r="T27" s="186"/>
      <c r="U27" s="187"/>
      <c r="V27" s="187"/>
      <c r="W27" s="188"/>
      <c r="X27" s="189"/>
      <c r="Y27" s="189"/>
      <c r="Z27" s="189"/>
      <c r="AA27" s="189"/>
      <c r="AB27" s="189"/>
      <c r="AC27" s="189"/>
      <c r="AD27" s="189"/>
      <c r="AE27" s="189"/>
      <c r="AF27" s="188"/>
      <c r="AG27" s="190"/>
      <c r="AH27" s="141"/>
      <c r="AI27" s="56"/>
      <c r="AJ27" s="56"/>
      <c r="AK27" s="56"/>
    </row>
    <row r="28" spans="1:37" ht="31.95" customHeight="1" thickBot="1" x14ac:dyDescent="0.35">
      <c r="A28" s="12"/>
      <c r="B28" s="122"/>
      <c r="C28" s="49"/>
      <c r="D28" s="49">
        <f>IF(H28=Categories!$E$4,VLOOKUP(G28,Categories!$A$4:$C$13,3,1),VLOOKUP(H28,Categories!$E$4:$G$24,3,1))</f>
        <v>120</v>
      </c>
      <c r="E28" s="49"/>
      <c r="F28" s="44">
        <v>3</v>
      </c>
      <c r="G28" s="50" t="s">
        <v>1</v>
      </c>
      <c r="H28" s="51" t="s">
        <v>0</v>
      </c>
      <c r="I28" s="52"/>
      <c r="J28" s="130">
        <v>2500</v>
      </c>
      <c r="K28" s="53" t="s">
        <v>0</v>
      </c>
      <c r="L28" s="54" t="str">
        <f>IFERROR(VLOOKUP(VLOOKUP(N28,N28,1,1),Categories!$K$4:$V$17,2+VLOOKUP(K28,K28,1,1)),"-"  )</f>
        <v>-</v>
      </c>
      <c r="M28" s="54" t="str">
        <f>IFERROR(VLOOKUP(VLOOKUP(N28,N28,1,1),Categories!$K$3:$V$17,7+VLOOKUP(K28,K28,1,1)),"-")</f>
        <v>-</v>
      </c>
      <c r="N28" s="55" t="s">
        <v>0</v>
      </c>
      <c r="O28" s="193" t="s">
        <v>0</v>
      </c>
      <c r="P28" s="202" t="str">
        <f t="shared" si="0"/>
        <v>-</v>
      </c>
      <c r="Q28" s="149"/>
      <c r="R28" s="142"/>
      <c r="S28" s="142"/>
      <c r="T28" s="142"/>
      <c r="U28" s="145"/>
      <c r="V28" s="197"/>
      <c r="W28" s="201"/>
      <c r="X28" s="199"/>
      <c r="Y28" s="147"/>
      <c r="Z28" s="147"/>
      <c r="AA28" s="147"/>
      <c r="AB28" s="147"/>
      <c r="AC28" s="147"/>
      <c r="AD28" s="147"/>
      <c r="AE28" s="147"/>
      <c r="AF28" s="146"/>
      <c r="AG28" s="148"/>
      <c r="AH28" s="141"/>
      <c r="AI28" s="48"/>
      <c r="AJ28" s="56"/>
      <c r="AK28" s="56"/>
    </row>
    <row r="29" spans="1:37" ht="31.95" customHeight="1" x14ac:dyDescent="0.3">
      <c r="A29" s="183"/>
      <c r="B29" s="184"/>
      <c r="C29" s="49"/>
      <c r="D29" s="49">
        <f>IF(H29=Categories!$E$4,VLOOKUP(G29,Categories!$A$4:$C$13,3,1),VLOOKUP(H29,Categories!$E$4:$G$24,3,1))</f>
        <v>60</v>
      </c>
      <c r="E29" s="49"/>
      <c r="F29" s="44">
        <v>3</v>
      </c>
      <c r="G29" s="50" t="s">
        <v>243</v>
      </c>
      <c r="H29" s="51" t="s">
        <v>61</v>
      </c>
      <c r="I29" s="52"/>
      <c r="J29" s="130">
        <v>2500</v>
      </c>
      <c r="K29" s="53" t="s">
        <v>0</v>
      </c>
      <c r="L29" s="54" t="str">
        <f>IFERROR(VLOOKUP(VLOOKUP(N29,N29,1,1),Categories!$K$4:$V$17,2+VLOOKUP(K29,K29,1,1)),"-"  )</f>
        <v>-</v>
      </c>
      <c r="M29" s="54" t="str">
        <f>IFERROR(VLOOKUP(VLOOKUP(N29,N29,1,1),Categories!$K$3:$V$17,7+VLOOKUP(K29,K29,1,1)),"-")</f>
        <v>-</v>
      </c>
      <c r="N29" s="55" t="s">
        <v>0</v>
      </c>
      <c r="O29" s="195">
        <v>20</v>
      </c>
      <c r="P29" s="202">
        <f>IF(O29="-","-",$W$28*(1-O29/100))</f>
        <v>0</v>
      </c>
      <c r="Q29" s="185"/>
      <c r="R29" s="186"/>
      <c r="S29" s="186"/>
      <c r="T29" s="142"/>
      <c r="U29" s="187"/>
      <c r="V29" s="187"/>
      <c r="W29" s="188"/>
      <c r="X29" s="189"/>
      <c r="Y29" s="189"/>
      <c r="Z29" s="189"/>
      <c r="AA29" s="189"/>
      <c r="AB29" s="189"/>
      <c r="AC29" s="189"/>
      <c r="AD29" s="189"/>
      <c r="AE29" s="189"/>
      <c r="AF29" s="188"/>
      <c r="AG29" s="190"/>
      <c r="AH29" s="141"/>
      <c r="AI29" s="56"/>
      <c r="AJ29" s="56"/>
      <c r="AK29" s="56"/>
    </row>
    <row r="30" spans="1:37" ht="31.95" customHeight="1" x14ac:dyDescent="0.3">
      <c r="A30" s="12"/>
      <c r="B30" s="122"/>
      <c r="C30" s="49"/>
      <c r="D30" s="49">
        <f>IF(H30=Categories!$E$4,VLOOKUP(G30,Categories!$A$4:$C$13,3,1),VLOOKUP(H30,Categories!$E$4:$G$24,3,1))</f>
        <v>120</v>
      </c>
      <c r="E30" s="49"/>
      <c r="F30" s="44">
        <v>3</v>
      </c>
      <c r="G30" s="50" t="s">
        <v>44</v>
      </c>
      <c r="H30" s="45" t="s">
        <v>0</v>
      </c>
      <c r="I30" s="52"/>
      <c r="J30" s="130">
        <v>2500</v>
      </c>
      <c r="K30" s="53" t="s">
        <v>0</v>
      </c>
      <c r="L30" s="54" t="str">
        <f>IFERROR(VLOOKUP(VLOOKUP(N30,N30,1,1),Categories!$K$4:$V$17,2+VLOOKUP(K30,K30,1,1)),"-"  )</f>
        <v>-</v>
      </c>
      <c r="M30" s="54" t="str">
        <f>IFERROR(VLOOKUP(VLOOKUP(N30,N30,1,1),Categories!$K$3:$V$17,7+VLOOKUP(K30,K30,1,1)),"-")</f>
        <v>-</v>
      </c>
      <c r="N30" s="55" t="s">
        <v>0</v>
      </c>
      <c r="O30" s="193">
        <v>20</v>
      </c>
      <c r="P30" s="202">
        <f t="shared" ref="P30:P48" si="2">IF(O30="-","-",$W$28*(1-O30/100))</f>
        <v>0</v>
      </c>
      <c r="Q30" s="149"/>
      <c r="R30" s="142"/>
      <c r="S30" s="142"/>
      <c r="T30" s="142"/>
      <c r="U30" s="145"/>
      <c r="V30" s="145"/>
      <c r="W30" s="146"/>
      <c r="X30" s="147"/>
      <c r="Y30" s="147"/>
      <c r="Z30" s="147"/>
      <c r="AA30" s="147"/>
      <c r="AB30" s="147"/>
      <c r="AC30" s="147"/>
      <c r="AD30" s="147"/>
      <c r="AE30" s="147"/>
      <c r="AF30" s="146"/>
      <c r="AG30" s="148"/>
      <c r="AH30" s="141"/>
      <c r="AI30" s="48"/>
      <c r="AJ30" s="56"/>
      <c r="AK30" s="56"/>
    </row>
    <row r="31" spans="1:37" ht="31.95" customHeight="1" x14ac:dyDescent="0.3">
      <c r="A31" s="12"/>
      <c r="B31" s="122"/>
      <c r="C31" s="49"/>
      <c r="D31" s="49">
        <f>IF(H31=Categories!$E$4,VLOOKUP(G31,Categories!$A$4:$C$13,3,1),VLOOKUP(H31,Categories!$E$4:$G$24,3,1))</f>
        <v>60</v>
      </c>
      <c r="E31" s="49"/>
      <c r="F31" s="44">
        <v>3</v>
      </c>
      <c r="G31" s="50" t="s">
        <v>243</v>
      </c>
      <c r="H31" s="51" t="s">
        <v>61</v>
      </c>
      <c r="I31" s="52"/>
      <c r="J31" s="130">
        <v>2500</v>
      </c>
      <c r="K31" s="53" t="s">
        <v>0</v>
      </c>
      <c r="L31" s="54" t="str">
        <f>IFERROR(VLOOKUP(VLOOKUP(N31,N31,1,1),Categories!$K$4:$V$17,2+VLOOKUP(K31,K31,1,1)),"-"  )</f>
        <v>-</v>
      </c>
      <c r="M31" s="54" t="str">
        <f>IFERROR(VLOOKUP(VLOOKUP(N31,N31,1,1),Categories!$K$3:$V$17,7+VLOOKUP(K31,K31,1,1)),"-")</f>
        <v>-</v>
      </c>
      <c r="N31" s="55" t="s">
        <v>0</v>
      </c>
      <c r="O31" s="195">
        <v>40</v>
      </c>
      <c r="P31" s="202">
        <f t="shared" si="2"/>
        <v>0</v>
      </c>
      <c r="Q31" s="149"/>
      <c r="R31" s="142"/>
      <c r="S31" s="142"/>
      <c r="T31" s="142"/>
      <c r="U31" s="145"/>
      <c r="V31" s="145"/>
      <c r="W31" s="146"/>
      <c r="X31" s="147"/>
      <c r="Y31" s="147"/>
      <c r="Z31" s="147"/>
      <c r="AA31" s="147"/>
      <c r="AB31" s="147"/>
      <c r="AC31" s="147"/>
      <c r="AD31" s="147"/>
      <c r="AE31" s="147"/>
      <c r="AF31" s="146"/>
      <c r="AG31" s="148"/>
      <c r="AH31" s="141"/>
      <c r="AI31" s="48"/>
      <c r="AJ31" s="56"/>
      <c r="AK31" s="56"/>
    </row>
    <row r="32" spans="1:37" ht="31.95" customHeight="1" x14ac:dyDescent="0.3">
      <c r="A32" s="12"/>
      <c r="B32" s="122"/>
      <c r="C32" s="49"/>
      <c r="D32" s="49">
        <f>IF(H32=Categories!$E$4,VLOOKUP(G32,Categories!$A$4:$C$13,3,1),VLOOKUP(H32,Categories!$E$4:$G$24,3,1))</f>
        <v>120</v>
      </c>
      <c r="E32" s="49"/>
      <c r="F32" s="44">
        <v>3</v>
      </c>
      <c r="G32" s="50" t="s">
        <v>44</v>
      </c>
      <c r="H32" s="45" t="s">
        <v>0</v>
      </c>
      <c r="I32" s="52"/>
      <c r="J32" s="130">
        <v>2500</v>
      </c>
      <c r="K32" s="53" t="s">
        <v>0</v>
      </c>
      <c r="L32" s="54" t="str">
        <f>IFERROR(VLOOKUP(VLOOKUP(N32,N32,1,1),Categories!$K$4:$V$17,2+VLOOKUP(K32,K32,1,1)),"-"  )</f>
        <v>-</v>
      </c>
      <c r="M32" s="54" t="str">
        <f>IFERROR(VLOOKUP(VLOOKUP(N32,N32,1,1),Categories!$K$3:$V$17,7+VLOOKUP(K32,K32,1,1)),"-")</f>
        <v>-</v>
      </c>
      <c r="N32" s="55" t="s">
        <v>0</v>
      </c>
      <c r="O32" s="193">
        <v>40</v>
      </c>
      <c r="P32" s="202">
        <f t="shared" si="2"/>
        <v>0</v>
      </c>
      <c r="Q32" s="149"/>
      <c r="R32" s="142"/>
      <c r="S32" s="142"/>
      <c r="T32" s="142"/>
      <c r="U32" s="145"/>
      <c r="V32" s="145"/>
      <c r="W32" s="146"/>
      <c r="X32" s="147"/>
      <c r="Y32" s="147"/>
      <c r="Z32" s="147"/>
      <c r="AA32" s="147"/>
      <c r="AB32" s="147"/>
      <c r="AC32" s="147"/>
      <c r="AD32" s="147"/>
      <c r="AE32" s="147"/>
      <c r="AF32" s="146"/>
      <c r="AG32" s="148"/>
      <c r="AH32" s="141"/>
      <c r="AI32" s="48"/>
      <c r="AJ32" s="56"/>
      <c r="AK32" s="56"/>
    </row>
    <row r="33" spans="1:37" ht="31.95" customHeight="1" x14ac:dyDescent="0.3">
      <c r="A33" s="12"/>
      <c r="B33" s="122"/>
      <c r="C33" s="49"/>
      <c r="D33" s="49">
        <f>IF(H33=Categories!$E$4,VLOOKUP(G33,Categories!$A$4:$C$13,3,1),VLOOKUP(H33,Categories!$E$4:$G$24,3,1))</f>
        <v>60</v>
      </c>
      <c r="E33" s="49"/>
      <c r="F33" s="44">
        <v>3</v>
      </c>
      <c r="G33" s="50" t="s">
        <v>243</v>
      </c>
      <c r="H33" s="51" t="s">
        <v>61</v>
      </c>
      <c r="I33" s="52"/>
      <c r="J33" s="130">
        <v>2500</v>
      </c>
      <c r="K33" s="53" t="s">
        <v>0</v>
      </c>
      <c r="L33" s="54" t="str">
        <f>IFERROR(VLOOKUP(VLOOKUP(N33,N33,1,1),Categories!$K$4:$V$17,2+VLOOKUP(K33,K33,1,1)),"-"  )</f>
        <v>-</v>
      </c>
      <c r="M33" s="54" t="str">
        <f>IFERROR(VLOOKUP(VLOOKUP(N33,N33,1,1),Categories!$K$3:$V$17,7+VLOOKUP(K33,K33,1,1)),"-")</f>
        <v>-</v>
      </c>
      <c r="N33" s="55" t="s">
        <v>0</v>
      </c>
      <c r="O33" s="195">
        <v>60</v>
      </c>
      <c r="P33" s="202">
        <f t="shared" si="2"/>
        <v>0</v>
      </c>
      <c r="Q33" s="149"/>
      <c r="R33" s="142"/>
      <c r="S33" s="142"/>
      <c r="T33" s="142"/>
      <c r="U33" s="145"/>
      <c r="V33" s="145"/>
      <c r="W33" s="146"/>
      <c r="X33" s="147"/>
      <c r="Y33" s="147"/>
      <c r="Z33" s="147"/>
      <c r="AA33" s="147"/>
      <c r="AB33" s="147"/>
      <c r="AC33" s="147"/>
      <c r="AD33" s="147"/>
      <c r="AE33" s="147"/>
      <c r="AF33" s="146"/>
      <c r="AG33" s="148"/>
      <c r="AH33" s="141"/>
      <c r="AI33" s="48"/>
      <c r="AJ33" s="56"/>
      <c r="AK33" s="56"/>
    </row>
    <row r="34" spans="1:37" ht="31.95" customHeight="1" x14ac:dyDescent="0.3">
      <c r="A34" s="12"/>
      <c r="B34" s="122"/>
      <c r="C34" s="49"/>
      <c r="D34" s="49">
        <f>IF(H34=Categories!$E$4,VLOOKUP(G34,Categories!$A$4:$C$13,3,1),VLOOKUP(H34,Categories!$E$4:$G$24,3,1))</f>
        <v>120</v>
      </c>
      <c r="E34" s="49"/>
      <c r="F34" s="44">
        <v>3</v>
      </c>
      <c r="G34" s="50" t="s">
        <v>44</v>
      </c>
      <c r="H34" s="45" t="s">
        <v>0</v>
      </c>
      <c r="I34" s="52"/>
      <c r="J34" s="130">
        <v>2500</v>
      </c>
      <c r="K34" s="53" t="s">
        <v>0</v>
      </c>
      <c r="L34" s="54" t="str">
        <f>IFERROR(VLOOKUP(VLOOKUP(N34,N34,1,1),Categories!$K$4:$V$17,2+VLOOKUP(K34,K34,1,1)),"-"  )</f>
        <v>-</v>
      </c>
      <c r="M34" s="54" t="str">
        <f>IFERROR(VLOOKUP(VLOOKUP(N34,N34,1,1),Categories!$K$3:$V$17,7+VLOOKUP(K34,K34,1,1)),"-")</f>
        <v>-</v>
      </c>
      <c r="N34" s="55" t="s">
        <v>0</v>
      </c>
      <c r="O34" s="193">
        <v>60</v>
      </c>
      <c r="P34" s="202">
        <f t="shared" si="2"/>
        <v>0</v>
      </c>
      <c r="Q34" s="149"/>
      <c r="R34" s="142"/>
      <c r="S34" s="142"/>
      <c r="T34" s="142"/>
      <c r="U34" s="145"/>
      <c r="V34" s="145"/>
      <c r="W34" s="146"/>
      <c r="X34" s="147"/>
      <c r="Y34" s="147"/>
      <c r="Z34" s="147"/>
      <c r="AA34" s="147"/>
      <c r="AB34" s="147"/>
      <c r="AC34" s="147"/>
      <c r="AD34" s="147"/>
      <c r="AE34" s="147"/>
      <c r="AF34" s="146"/>
      <c r="AG34" s="148"/>
      <c r="AH34" s="141"/>
      <c r="AI34" s="48"/>
      <c r="AJ34" s="56"/>
      <c r="AK34" s="56"/>
    </row>
    <row r="35" spans="1:37" ht="31.95" customHeight="1" x14ac:dyDescent="0.3">
      <c r="A35" s="12"/>
      <c r="B35" s="122"/>
      <c r="C35" s="49"/>
      <c r="D35" s="49">
        <f>IF(H35=Categories!$E$4,VLOOKUP(G35,Categories!$A$4:$C$13,3,1),VLOOKUP(H35,Categories!$E$4:$G$24,3,1))</f>
        <v>60</v>
      </c>
      <c r="E35" s="49"/>
      <c r="F35" s="44">
        <v>3</v>
      </c>
      <c r="G35" s="50" t="s">
        <v>243</v>
      </c>
      <c r="H35" s="51" t="s">
        <v>61</v>
      </c>
      <c r="I35" s="52"/>
      <c r="J35" s="130">
        <v>2500</v>
      </c>
      <c r="K35" s="53" t="s">
        <v>0</v>
      </c>
      <c r="L35" s="54" t="str">
        <f>IFERROR(VLOOKUP(VLOOKUP(N35,N35,1,1),Categories!$K$4:$V$17,2+VLOOKUP(K35,K35,1,1)),"-"  )</f>
        <v>-</v>
      </c>
      <c r="M35" s="54" t="str">
        <f>IFERROR(VLOOKUP(VLOOKUP(N35,N35,1,1),Categories!$K$3:$V$17,7+VLOOKUP(K35,K35,1,1)),"-")</f>
        <v>-</v>
      </c>
      <c r="N35" s="55" t="s">
        <v>0</v>
      </c>
      <c r="O35" s="195">
        <v>80</v>
      </c>
      <c r="P35" s="202">
        <f t="shared" si="2"/>
        <v>0</v>
      </c>
      <c r="Q35" s="149"/>
      <c r="R35" s="142"/>
      <c r="S35" s="142"/>
      <c r="T35" s="142"/>
      <c r="U35" s="145"/>
      <c r="V35" s="145"/>
      <c r="W35" s="146"/>
      <c r="X35" s="147"/>
      <c r="Y35" s="147"/>
      <c r="Z35" s="147"/>
      <c r="AA35" s="147"/>
      <c r="AB35" s="147"/>
      <c r="AC35" s="147"/>
      <c r="AD35" s="147"/>
      <c r="AE35" s="147"/>
      <c r="AF35" s="146"/>
      <c r="AG35" s="148"/>
      <c r="AH35" s="141"/>
      <c r="AI35" s="48"/>
      <c r="AJ35" s="56"/>
      <c r="AK35" s="56"/>
    </row>
    <row r="36" spans="1:37" ht="31.95" customHeight="1" x14ac:dyDescent="0.3">
      <c r="A36" s="12"/>
      <c r="B36" s="122"/>
      <c r="C36" s="49"/>
      <c r="D36" s="49">
        <f>IF(H36=Categories!$E$4,VLOOKUP(G36,Categories!$A$4:$C$13,3,1),VLOOKUP(H36,Categories!$E$4:$G$24,3,1))</f>
        <v>120</v>
      </c>
      <c r="E36" s="49"/>
      <c r="F36" s="44">
        <v>3</v>
      </c>
      <c r="G36" s="50" t="s">
        <v>44</v>
      </c>
      <c r="H36" s="45" t="s">
        <v>0</v>
      </c>
      <c r="I36" s="52"/>
      <c r="J36" s="130">
        <v>2500</v>
      </c>
      <c r="K36" s="53" t="s">
        <v>0</v>
      </c>
      <c r="L36" s="54" t="str">
        <f>IFERROR(VLOOKUP(VLOOKUP(N36,N36,1,1),Categories!$K$4:$V$17,2+VLOOKUP(K36,K36,1,1)),"-"  )</f>
        <v>-</v>
      </c>
      <c r="M36" s="54" t="str">
        <f>IFERROR(VLOOKUP(VLOOKUP(N36,N36,1,1),Categories!$K$3:$V$17,7+VLOOKUP(K36,K36,1,1)),"-")</f>
        <v>-</v>
      </c>
      <c r="N36" s="55" t="s">
        <v>0</v>
      </c>
      <c r="O36" s="193">
        <v>80</v>
      </c>
      <c r="P36" s="202">
        <f t="shared" si="2"/>
        <v>0</v>
      </c>
      <c r="Q36" s="149"/>
      <c r="R36" s="142"/>
      <c r="S36" s="142"/>
      <c r="T36" s="142"/>
      <c r="U36" s="145"/>
      <c r="V36" s="145"/>
      <c r="W36" s="146"/>
      <c r="X36" s="147"/>
      <c r="Y36" s="147"/>
      <c r="Z36" s="147"/>
      <c r="AA36" s="147"/>
      <c r="AB36" s="147"/>
      <c r="AC36" s="147"/>
      <c r="AD36" s="147"/>
      <c r="AE36" s="147"/>
      <c r="AF36" s="146"/>
      <c r="AG36" s="148"/>
      <c r="AH36" s="141"/>
      <c r="AI36" s="48"/>
      <c r="AJ36" s="56"/>
      <c r="AK36" s="56"/>
    </row>
    <row r="37" spans="1:37" ht="31.95" customHeight="1" x14ac:dyDescent="0.3">
      <c r="A37" s="12"/>
      <c r="B37" s="122"/>
      <c r="C37" s="49"/>
      <c r="D37" s="49">
        <f>IF(H37=Categories!$E$4,VLOOKUP(G37,Categories!$A$4:$C$13,3,1),VLOOKUP(H37,Categories!$E$4:$G$24,3,1))</f>
        <v>60</v>
      </c>
      <c r="E37" s="49"/>
      <c r="F37" s="44">
        <v>3</v>
      </c>
      <c r="G37" s="50" t="s">
        <v>243</v>
      </c>
      <c r="H37" s="51" t="s">
        <v>61</v>
      </c>
      <c r="I37" s="52"/>
      <c r="J37" s="130">
        <v>2500</v>
      </c>
      <c r="K37" s="53" t="s">
        <v>0</v>
      </c>
      <c r="L37" s="54" t="str">
        <f>IFERROR(VLOOKUP(VLOOKUP(N37,N37,1,1),Categories!$K$4:$V$17,2+VLOOKUP(K37,K37,1,1)),"-"  )</f>
        <v>-</v>
      </c>
      <c r="M37" s="54" t="str">
        <f>IFERROR(VLOOKUP(VLOOKUP(N37,N37,1,1),Categories!$K$3:$V$17,7+VLOOKUP(K37,K37,1,1)),"-")</f>
        <v>-</v>
      </c>
      <c r="N37" s="55" t="s">
        <v>0</v>
      </c>
      <c r="O37" s="195">
        <v>0</v>
      </c>
      <c r="P37" s="202">
        <f t="shared" si="2"/>
        <v>0</v>
      </c>
      <c r="Q37" s="149"/>
      <c r="R37" s="142"/>
      <c r="S37" s="142"/>
      <c r="T37" s="142"/>
      <c r="U37" s="145"/>
      <c r="V37" s="145"/>
      <c r="W37" s="146"/>
      <c r="X37" s="147"/>
      <c r="Y37" s="147"/>
      <c r="Z37" s="147"/>
      <c r="AA37" s="147"/>
      <c r="AB37" s="147"/>
      <c r="AC37" s="147"/>
      <c r="AD37" s="147"/>
      <c r="AE37" s="147"/>
      <c r="AF37" s="146"/>
      <c r="AG37" s="148"/>
      <c r="AH37" s="141"/>
      <c r="AI37" s="48"/>
      <c r="AJ37" s="56"/>
      <c r="AK37" s="56"/>
    </row>
    <row r="38" spans="1:37" ht="31.95" customHeight="1" x14ac:dyDescent="0.3">
      <c r="A38" s="12"/>
      <c r="B38" s="122"/>
      <c r="C38" s="49"/>
      <c r="D38" s="49">
        <f>IF(H38=Categories!$E$4,VLOOKUP(G38,Categories!$A$4:$C$13,3,1),VLOOKUP(H38,Categories!$E$4:$G$24,3,1))</f>
        <v>60</v>
      </c>
      <c r="E38" s="49"/>
      <c r="F38" s="44">
        <v>3</v>
      </c>
      <c r="G38" s="50" t="s">
        <v>245</v>
      </c>
      <c r="H38" s="51" t="s">
        <v>0</v>
      </c>
      <c r="I38" s="52"/>
      <c r="J38" s="130">
        <v>2500</v>
      </c>
      <c r="K38" s="53" t="s">
        <v>0</v>
      </c>
      <c r="L38" s="54" t="str">
        <f>IFERROR(VLOOKUP(VLOOKUP(N38,N38,1,1),Categories!$K$4:$V$17,2+VLOOKUP(K38,K38,1,1)),"-"  )</f>
        <v>-</v>
      </c>
      <c r="M38" s="54" t="str">
        <f>IFERROR(VLOOKUP(VLOOKUP(N38,N38,1,1),Categories!$K$3:$V$17,7+VLOOKUP(K38,K38,1,1)),"-")</f>
        <v>-</v>
      </c>
      <c r="N38" s="55" t="s">
        <v>0</v>
      </c>
      <c r="O38" s="193">
        <v>0</v>
      </c>
      <c r="P38" s="202">
        <f t="shared" si="2"/>
        <v>0</v>
      </c>
      <c r="Q38" s="149"/>
      <c r="R38" s="142"/>
      <c r="S38" s="142"/>
      <c r="T38" s="142"/>
      <c r="U38" s="145"/>
      <c r="V38" s="145"/>
      <c r="W38" s="146"/>
      <c r="X38" s="147"/>
      <c r="Y38" s="147"/>
      <c r="Z38" s="147"/>
      <c r="AA38" s="147"/>
      <c r="AB38" s="147"/>
      <c r="AC38" s="147"/>
      <c r="AD38" s="147"/>
      <c r="AE38" s="147"/>
      <c r="AF38" s="146"/>
      <c r="AG38" s="148"/>
      <c r="AH38" s="141"/>
      <c r="AI38" s="48"/>
      <c r="AJ38" s="56"/>
      <c r="AK38" s="56"/>
    </row>
    <row r="39" spans="1:37" ht="31.95" customHeight="1" x14ac:dyDescent="0.3">
      <c r="A39" s="183"/>
      <c r="B39" s="184"/>
      <c r="C39" s="49"/>
      <c r="D39" s="49">
        <f>IF(H39=Categories!$E$4,VLOOKUP(G39,Categories!$A$4:$C$13,3,1),VLOOKUP(H39,Categories!$E$4:$G$24,3,1))</f>
        <v>60</v>
      </c>
      <c r="E39" s="49"/>
      <c r="F39" s="44">
        <v>4</v>
      </c>
      <c r="G39" s="50" t="s">
        <v>243</v>
      </c>
      <c r="H39" s="51" t="s">
        <v>60</v>
      </c>
      <c r="I39" s="52"/>
      <c r="J39" s="130">
        <v>2500</v>
      </c>
      <c r="K39" s="53" t="s">
        <v>0</v>
      </c>
      <c r="L39" s="54" t="str">
        <f>IFERROR(VLOOKUP(VLOOKUP(N39,N39,1,1),Categories!$K$4:$V$17,2+VLOOKUP(K39,K39,1,1)),"-"  )</f>
        <v>-</v>
      </c>
      <c r="M39" s="54" t="str">
        <f>IFERROR(VLOOKUP(VLOOKUP(N39,N39,1,1),Categories!$K$3:$V$17,7+VLOOKUP(K39,K39,1,1)),"-")</f>
        <v>-</v>
      </c>
      <c r="N39" s="55" t="s">
        <v>0</v>
      </c>
      <c r="O39" s="195">
        <v>20</v>
      </c>
      <c r="P39" s="202">
        <f t="shared" si="2"/>
        <v>0</v>
      </c>
      <c r="Q39" s="185"/>
      <c r="R39" s="186"/>
      <c r="S39" s="186"/>
      <c r="T39" s="142"/>
      <c r="U39" s="187"/>
      <c r="V39" s="187"/>
      <c r="W39" s="188"/>
      <c r="X39" s="189"/>
      <c r="Y39" s="189"/>
      <c r="Z39" s="189"/>
      <c r="AA39" s="189"/>
      <c r="AB39" s="189"/>
      <c r="AC39" s="189"/>
      <c r="AD39" s="189"/>
      <c r="AE39" s="189"/>
      <c r="AF39" s="188"/>
      <c r="AG39" s="190"/>
      <c r="AH39" s="141"/>
      <c r="AI39" s="56"/>
      <c r="AJ39" s="56"/>
      <c r="AK39" s="56"/>
    </row>
    <row r="40" spans="1:37" ht="31.95" customHeight="1" x14ac:dyDescent="0.3">
      <c r="A40" s="12"/>
      <c r="B40" s="122"/>
      <c r="C40" s="49"/>
      <c r="D40" s="49">
        <f>IF(H40=Categories!$E$4,VLOOKUP(G40,Categories!$A$4:$C$13,3,1),VLOOKUP(H40,Categories!$E$4:$G$24,3,1))</f>
        <v>120</v>
      </c>
      <c r="E40" s="49"/>
      <c r="F40" s="44">
        <v>4</v>
      </c>
      <c r="G40" s="50" t="s">
        <v>44</v>
      </c>
      <c r="H40" s="45" t="s">
        <v>0</v>
      </c>
      <c r="I40" s="52"/>
      <c r="J40" s="130">
        <v>2500</v>
      </c>
      <c r="K40" s="53" t="s">
        <v>0</v>
      </c>
      <c r="L40" s="54" t="str">
        <f>IFERROR(VLOOKUP(VLOOKUP(N40,N40,1,1),Categories!$K$4:$V$17,2+VLOOKUP(K40,K40,1,1)),"-"  )</f>
        <v>-</v>
      </c>
      <c r="M40" s="54" t="str">
        <f>IFERROR(VLOOKUP(VLOOKUP(N40,N40,1,1),Categories!$K$3:$V$17,7+VLOOKUP(K40,K40,1,1)),"-")</f>
        <v>-</v>
      </c>
      <c r="N40" s="55" t="s">
        <v>0</v>
      </c>
      <c r="O40" s="193">
        <v>20</v>
      </c>
      <c r="P40" s="202">
        <f t="shared" si="2"/>
        <v>0</v>
      </c>
      <c r="Q40" s="149"/>
      <c r="R40" s="142"/>
      <c r="S40" s="142"/>
      <c r="T40" s="186"/>
      <c r="U40" s="145"/>
      <c r="V40" s="145"/>
      <c r="W40" s="146"/>
      <c r="X40" s="147"/>
      <c r="Y40" s="147"/>
      <c r="Z40" s="147"/>
      <c r="AA40" s="147"/>
      <c r="AB40" s="147"/>
      <c r="AC40" s="147"/>
      <c r="AD40" s="147"/>
      <c r="AE40" s="147"/>
      <c r="AF40" s="146"/>
      <c r="AG40" s="148"/>
      <c r="AH40" s="141"/>
      <c r="AI40" s="48"/>
      <c r="AJ40" s="56"/>
      <c r="AK40" s="56"/>
    </row>
    <row r="41" spans="1:37" ht="31.95" customHeight="1" x14ac:dyDescent="0.3">
      <c r="A41" s="12"/>
      <c r="B41" s="122"/>
      <c r="C41" s="49"/>
      <c r="D41" s="49">
        <f>IF(H41=Categories!$E$4,VLOOKUP(G41,Categories!$A$4:$C$13,3,1),VLOOKUP(H41,Categories!$E$4:$G$24,3,1))</f>
        <v>60</v>
      </c>
      <c r="E41" s="49"/>
      <c r="F41" s="44">
        <v>4</v>
      </c>
      <c r="G41" s="50" t="s">
        <v>243</v>
      </c>
      <c r="H41" s="51" t="s">
        <v>60</v>
      </c>
      <c r="I41" s="52"/>
      <c r="J41" s="130">
        <v>2500</v>
      </c>
      <c r="K41" s="53" t="s">
        <v>0</v>
      </c>
      <c r="L41" s="54" t="str">
        <f>IFERROR(VLOOKUP(VLOOKUP(N41,N41,1,1),Categories!$K$4:$V$17,2+VLOOKUP(K41,K41,1,1)),"-"  )</f>
        <v>-</v>
      </c>
      <c r="M41" s="54" t="str">
        <f>IFERROR(VLOOKUP(VLOOKUP(N41,N41,1,1),Categories!$K$3:$V$17,7+VLOOKUP(K41,K41,1,1)),"-")</f>
        <v>-</v>
      </c>
      <c r="N41" s="55" t="s">
        <v>0</v>
      </c>
      <c r="O41" s="195">
        <v>40</v>
      </c>
      <c r="P41" s="202">
        <f t="shared" si="2"/>
        <v>0</v>
      </c>
      <c r="Q41" s="149"/>
      <c r="R41" s="142"/>
      <c r="S41" s="142"/>
      <c r="T41" s="142"/>
      <c r="U41" s="145"/>
      <c r="V41" s="145"/>
      <c r="W41" s="146"/>
      <c r="X41" s="147"/>
      <c r="Y41" s="147"/>
      <c r="Z41" s="147"/>
      <c r="AA41" s="147"/>
      <c r="AB41" s="147"/>
      <c r="AC41" s="147"/>
      <c r="AD41" s="147"/>
      <c r="AE41" s="147"/>
      <c r="AF41" s="146"/>
      <c r="AG41" s="148"/>
      <c r="AH41" s="141"/>
      <c r="AI41" s="48"/>
      <c r="AJ41" s="56"/>
      <c r="AK41" s="56"/>
    </row>
    <row r="42" spans="1:37" ht="31.95" customHeight="1" x14ac:dyDescent="0.3">
      <c r="A42" s="12"/>
      <c r="B42" s="122"/>
      <c r="C42" s="49"/>
      <c r="D42" s="49">
        <f>IF(H42=Categories!$E$4,VLOOKUP(G42,Categories!$A$4:$C$13,3,1),VLOOKUP(H42,Categories!$E$4:$G$24,3,1))</f>
        <v>120</v>
      </c>
      <c r="E42" s="49"/>
      <c r="F42" s="44">
        <v>4</v>
      </c>
      <c r="G42" s="50" t="s">
        <v>44</v>
      </c>
      <c r="H42" s="45" t="s">
        <v>0</v>
      </c>
      <c r="I42" s="52"/>
      <c r="J42" s="130">
        <v>2500</v>
      </c>
      <c r="K42" s="53" t="s">
        <v>0</v>
      </c>
      <c r="L42" s="54" t="str">
        <f>IFERROR(VLOOKUP(VLOOKUP(N42,N42,1,1),Categories!$K$4:$V$17,2+VLOOKUP(K42,K42,1,1)),"-"  )</f>
        <v>-</v>
      </c>
      <c r="M42" s="54" t="str">
        <f>IFERROR(VLOOKUP(VLOOKUP(N42,N42,1,1),Categories!$K$3:$V$17,7+VLOOKUP(K42,K42,1,1)),"-")</f>
        <v>-</v>
      </c>
      <c r="N42" s="55" t="s">
        <v>0</v>
      </c>
      <c r="O42" s="193">
        <v>40</v>
      </c>
      <c r="P42" s="202">
        <f t="shared" si="2"/>
        <v>0</v>
      </c>
      <c r="Q42" s="149"/>
      <c r="R42" s="142"/>
      <c r="S42" s="142"/>
      <c r="T42" s="142"/>
      <c r="U42" s="145"/>
      <c r="V42" s="145"/>
      <c r="W42" s="146"/>
      <c r="X42" s="147"/>
      <c r="Y42" s="147"/>
      <c r="Z42" s="147"/>
      <c r="AA42" s="147"/>
      <c r="AB42" s="147"/>
      <c r="AC42" s="147"/>
      <c r="AD42" s="147"/>
      <c r="AE42" s="147"/>
      <c r="AF42" s="146"/>
      <c r="AG42" s="148"/>
      <c r="AH42" s="141"/>
      <c r="AI42" s="48"/>
      <c r="AJ42" s="56"/>
      <c r="AK42" s="56"/>
    </row>
    <row r="43" spans="1:37" ht="31.95" customHeight="1" x14ac:dyDescent="0.3">
      <c r="A43" s="12"/>
      <c r="B43" s="122"/>
      <c r="C43" s="49"/>
      <c r="D43" s="49">
        <f>IF(H43=Categories!$E$4,VLOOKUP(G43,Categories!$A$4:$C$13,3,1),VLOOKUP(H43,Categories!$E$4:$G$24,3,1))</f>
        <v>60</v>
      </c>
      <c r="E43" s="49"/>
      <c r="F43" s="44">
        <v>4</v>
      </c>
      <c r="G43" s="50" t="s">
        <v>243</v>
      </c>
      <c r="H43" s="51" t="s">
        <v>60</v>
      </c>
      <c r="I43" s="52"/>
      <c r="J43" s="130">
        <v>2500</v>
      </c>
      <c r="K43" s="53" t="s">
        <v>0</v>
      </c>
      <c r="L43" s="54" t="str">
        <f>IFERROR(VLOOKUP(VLOOKUP(N43,N43,1,1),Categories!$K$4:$V$17,2+VLOOKUP(K43,K43,1,1)),"-"  )</f>
        <v>-</v>
      </c>
      <c r="M43" s="54" t="str">
        <f>IFERROR(VLOOKUP(VLOOKUP(N43,N43,1,1),Categories!$K$3:$V$17,7+VLOOKUP(K43,K43,1,1)),"-")</f>
        <v>-</v>
      </c>
      <c r="N43" s="55" t="s">
        <v>0</v>
      </c>
      <c r="O43" s="195">
        <v>60</v>
      </c>
      <c r="P43" s="202">
        <f t="shared" si="2"/>
        <v>0</v>
      </c>
      <c r="Q43" s="149"/>
      <c r="R43" s="142"/>
      <c r="S43" s="142"/>
      <c r="T43" s="142"/>
      <c r="U43" s="145"/>
      <c r="V43" s="145"/>
      <c r="W43" s="146"/>
      <c r="X43" s="147"/>
      <c r="Y43" s="147"/>
      <c r="Z43" s="147"/>
      <c r="AA43" s="147"/>
      <c r="AB43" s="147"/>
      <c r="AC43" s="147"/>
      <c r="AD43" s="147"/>
      <c r="AE43" s="147"/>
      <c r="AF43" s="146"/>
      <c r="AG43" s="148"/>
      <c r="AH43" s="141"/>
      <c r="AI43" s="48"/>
      <c r="AJ43" s="56"/>
      <c r="AK43" s="56"/>
    </row>
    <row r="44" spans="1:37" ht="31.95" customHeight="1" x14ac:dyDescent="0.3">
      <c r="A44" s="12"/>
      <c r="B44" s="122"/>
      <c r="C44" s="49"/>
      <c r="D44" s="49">
        <f>IF(H44=Categories!$E$4,VLOOKUP(G44,Categories!$A$4:$C$13,3,1),VLOOKUP(H44,Categories!$E$4:$G$24,3,1))</f>
        <v>120</v>
      </c>
      <c r="E44" s="49"/>
      <c r="F44" s="44">
        <v>4</v>
      </c>
      <c r="G44" s="50" t="s">
        <v>44</v>
      </c>
      <c r="H44" s="45" t="s">
        <v>0</v>
      </c>
      <c r="I44" s="52"/>
      <c r="J44" s="130">
        <v>2500</v>
      </c>
      <c r="K44" s="53" t="s">
        <v>0</v>
      </c>
      <c r="L44" s="54" t="str">
        <f>IFERROR(VLOOKUP(VLOOKUP(N44,N44,1,1),Categories!$K$4:$V$17,2+VLOOKUP(K44,K44,1,1)),"-"  )</f>
        <v>-</v>
      </c>
      <c r="M44" s="54" t="str">
        <f>IFERROR(VLOOKUP(VLOOKUP(N44,N44,1,1),Categories!$K$3:$V$17,7+VLOOKUP(K44,K44,1,1)),"-")</f>
        <v>-</v>
      </c>
      <c r="N44" s="55" t="s">
        <v>0</v>
      </c>
      <c r="O44" s="193">
        <v>60</v>
      </c>
      <c r="P44" s="202">
        <f t="shared" si="2"/>
        <v>0</v>
      </c>
      <c r="Q44" s="149"/>
      <c r="R44" s="142"/>
      <c r="S44" s="142"/>
      <c r="T44" s="142"/>
      <c r="U44" s="145"/>
      <c r="V44" s="145"/>
      <c r="W44" s="146"/>
      <c r="X44" s="147"/>
      <c r="Y44" s="147"/>
      <c r="Z44" s="147"/>
      <c r="AA44" s="147"/>
      <c r="AB44" s="147"/>
      <c r="AC44" s="147"/>
      <c r="AD44" s="147"/>
      <c r="AE44" s="147"/>
      <c r="AF44" s="146"/>
      <c r="AG44" s="148"/>
      <c r="AH44" s="141"/>
      <c r="AI44" s="48"/>
      <c r="AJ44" s="56"/>
      <c r="AK44" s="56"/>
    </row>
    <row r="45" spans="1:37" ht="31.95" customHeight="1" x14ac:dyDescent="0.3">
      <c r="A45" s="12"/>
      <c r="B45" s="122"/>
      <c r="C45" s="49"/>
      <c r="D45" s="49">
        <f>IF(H45=Categories!$E$4,VLOOKUP(G45,Categories!$A$4:$C$13,3,1),VLOOKUP(H45,Categories!$E$4:$G$24,3,1))</f>
        <v>60</v>
      </c>
      <c r="E45" s="49"/>
      <c r="F45" s="44">
        <v>4</v>
      </c>
      <c r="G45" s="50" t="s">
        <v>243</v>
      </c>
      <c r="H45" s="51" t="s">
        <v>60</v>
      </c>
      <c r="I45" s="52"/>
      <c r="J45" s="130">
        <v>2500</v>
      </c>
      <c r="K45" s="53" t="s">
        <v>0</v>
      </c>
      <c r="L45" s="54" t="str">
        <f>IFERROR(VLOOKUP(VLOOKUP(N45,N45,1,1),Categories!$K$4:$V$17,2+VLOOKUP(K45,K45,1,1)),"-"  )</f>
        <v>-</v>
      </c>
      <c r="M45" s="54" t="str">
        <f>IFERROR(VLOOKUP(VLOOKUP(N45,N45,1,1),Categories!$K$3:$V$17,7+VLOOKUP(K45,K45,1,1)),"-")</f>
        <v>-</v>
      </c>
      <c r="N45" s="55" t="s">
        <v>0</v>
      </c>
      <c r="O45" s="195">
        <v>80</v>
      </c>
      <c r="P45" s="202">
        <f t="shared" si="2"/>
        <v>0</v>
      </c>
      <c r="Q45" s="149"/>
      <c r="R45" s="142"/>
      <c r="S45" s="142"/>
      <c r="T45" s="142"/>
      <c r="U45" s="145"/>
      <c r="V45" s="145"/>
      <c r="W45" s="146"/>
      <c r="X45" s="147"/>
      <c r="Y45" s="147"/>
      <c r="Z45" s="147"/>
      <c r="AA45" s="147"/>
      <c r="AB45" s="147"/>
      <c r="AC45" s="147"/>
      <c r="AD45" s="147"/>
      <c r="AE45" s="147"/>
      <c r="AF45" s="146"/>
      <c r="AG45" s="148"/>
      <c r="AH45" s="141"/>
      <c r="AI45" s="48"/>
      <c r="AJ45" s="56"/>
      <c r="AK45" s="56"/>
    </row>
    <row r="46" spans="1:37" ht="31.95" customHeight="1" x14ac:dyDescent="0.3">
      <c r="A46" s="12"/>
      <c r="B46" s="122"/>
      <c r="C46" s="49"/>
      <c r="D46" s="49">
        <f>IF(H46=Categories!$E$4,VLOOKUP(G46,Categories!$A$4:$C$13,3,1),VLOOKUP(H46,Categories!$E$4:$G$24,3,1))</f>
        <v>120</v>
      </c>
      <c r="E46" s="49"/>
      <c r="F46" s="44">
        <v>4</v>
      </c>
      <c r="G46" s="50" t="s">
        <v>44</v>
      </c>
      <c r="H46" s="45" t="s">
        <v>0</v>
      </c>
      <c r="I46" s="52"/>
      <c r="J46" s="130">
        <v>2500</v>
      </c>
      <c r="K46" s="53" t="s">
        <v>0</v>
      </c>
      <c r="L46" s="54" t="str">
        <f>IFERROR(VLOOKUP(VLOOKUP(N46,N46,1,1),Categories!$K$4:$V$17,2+VLOOKUP(K46,K46,1,1)),"-"  )</f>
        <v>-</v>
      </c>
      <c r="M46" s="54" t="str">
        <f>IFERROR(VLOOKUP(VLOOKUP(N46,N46,1,1),Categories!$K$3:$V$17,7+VLOOKUP(K46,K46,1,1)),"-")</f>
        <v>-</v>
      </c>
      <c r="N46" s="55" t="s">
        <v>0</v>
      </c>
      <c r="O46" s="193">
        <v>80</v>
      </c>
      <c r="P46" s="202">
        <f t="shared" si="2"/>
        <v>0</v>
      </c>
      <c r="Q46" s="149"/>
      <c r="R46" s="142"/>
      <c r="S46" s="142"/>
      <c r="T46" s="142"/>
      <c r="U46" s="145"/>
      <c r="V46" s="145"/>
      <c r="W46" s="146"/>
      <c r="X46" s="147"/>
      <c r="Y46" s="147"/>
      <c r="Z46" s="147"/>
      <c r="AA46" s="147"/>
      <c r="AB46" s="147"/>
      <c r="AC46" s="147"/>
      <c r="AD46" s="147"/>
      <c r="AE46" s="147"/>
      <c r="AF46" s="146"/>
      <c r="AG46" s="148"/>
      <c r="AH46" s="141"/>
      <c r="AI46" s="48"/>
      <c r="AJ46" s="56"/>
      <c r="AK46" s="56"/>
    </row>
    <row r="47" spans="1:37" ht="31.95" customHeight="1" x14ac:dyDescent="0.3">
      <c r="A47" s="12"/>
      <c r="B47" s="122"/>
      <c r="C47" s="49"/>
      <c r="D47" s="49">
        <f>IF(H47=Categories!$E$4,VLOOKUP(G47,Categories!$A$4:$C$13,3,1),VLOOKUP(H47,Categories!$E$4:$G$24,3,1))</f>
        <v>60</v>
      </c>
      <c r="E47" s="49"/>
      <c r="F47" s="44">
        <v>4</v>
      </c>
      <c r="G47" s="50" t="s">
        <v>243</v>
      </c>
      <c r="H47" s="51" t="s">
        <v>60</v>
      </c>
      <c r="I47" s="52"/>
      <c r="J47" s="130">
        <v>2500</v>
      </c>
      <c r="K47" s="53" t="s">
        <v>0</v>
      </c>
      <c r="L47" s="54" t="str">
        <f>IFERROR(VLOOKUP(VLOOKUP(N47,N47,1,1),Categories!$K$4:$V$17,2+VLOOKUP(K47,K47,1,1)),"-"  )</f>
        <v>-</v>
      </c>
      <c r="M47" s="54" t="str">
        <f>IFERROR(VLOOKUP(VLOOKUP(N47,N47,1,1),Categories!$K$3:$V$17,7+VLOOKUP(K47,K47,1,1)),"-")</f>
        <v>-</v>
      </c>
      <c r="N47" s="55" t="s">
        <v>0</v>
      </c>
      <c r="O47" s="195">
        <v>0</v>
      </c>
      <c r="P47" s="202">
        <f t="shared" si="2"/>
        <v>0</v>
      </c>
      <c r="Q47" s="149"/>
      <c r="R47" s="142"/>
      <c r="S47" s="142"/>
      <c r="T47" s="142"/>
      <c r="U47" s="145"/>
      <c r="V47" s="145"/>
      <c r="W47" s="146"/>
      <c r="X47" s="147"/>
      <c r="Y47" s="147"/>
      <c r="Z47" s="147"/>
      <c r="AA47" s="147"/>
      <c r="AB47" s="147"/>
      <c r="AC47" s="147"/>
      <c r="AD47" s="147"/>
      <c r="AE47" s="147"/>
      <c r="AF47" s="146"/>
      <c r="AG47" s="148"/>
      <c r="AH47" s="141"/>
      <c r="AI47" s="48"/>
      <c r="AJ47" s="56"/>
      <c r="AK47" s="56"/>
    </row>
    <row r="48" spans="1:37" ht="31.95" customHeight="1" x14ac:dyDescent="0.3">
      <c r="A48" s="12"/>
      <c r="B48" s="122"/>
      <c r="C48" s="49"/>
      <c r="D48" s="49">
        <f>IF(H48=Categories!$E$4,VLOOKUP(G48,Categories!$A$4:$C$13,3,1),VLOOKUP(H48,Categories!$E$4:$G$24,3,1))</f>
        <v>60</v>
      </c>
      <c r="E48" s="49"/>
      <c r="F48" s="44">
        <v>4</v>
      </c>
      <c r="G48" s="50" t="s">
        <v>245</v>
      </c>
      <c r="H48" s="51" t="s">
        <v>0</v>
      </c>
      <c r="I48" s="52"/>
      <c r="J48" s="130">
        <v>2500</v>
      </c>
      <c r="K48" s="53" t="s">
        <v>0</v>
      </c>
      <c r="L48" s="54" t="str">
        <f>IFERROR(VLOOKUP(VLOOKUP(N48,N48,1,1),Categories!$K$4:$V$17,2+VLOOKUP(K48,K48,1,1)),"-"  )</f>
        <v>-</v>
      </c>
      <c r="M48" s="54" t="str">
        <f>IFERROR(VLOOKUP(VLOOKUP(N48,N48,1,1),Categories!$K$3:$V$17,7+VLOOKUP(K48,K48,1,1)),"-")</f>
        <v>-</v>
      </c>
      <c r="N48" s="55" t="s">
        <v>0</v>
      </c>
      <c r="O48" s="193">
        <v>0</v>
      </c>
      <c r="P48" s="202">
        <f t="shared" si="2"/>
        <v>0</v>
      </c>
      <c r="Q48" s="149"/>
      <c r="R48" s="142"/>
      <c r="S48" s="142"/>
      <c r="T48" s="142"/>
      <c r="U48" s="145"/>
      <c r="V48" s="145"/>
      <c r="W48" s="146"/>
      <c r="X48" s="147"/>
      <c r="Y48" s="147"/>
      <c r="Z48" s="147"/>
      <c r="AA48" s="147"/>
      <c r="AB48" s="147"/>
      <c r="AC48" s="147"/>
      <c r="AD48" s="147"/>
      <c r="AE48" s="147"/>
      <c r="AF48" s="146"/>
      <c r="AG48" s="148"/>
      <c r="AH48" s="141" t="s">
        <v>253</v>
      </c>
      <c r="AI48" s="56" t="s">
        <v>281</v>
      </c>
      <c r="AJ48" s="56"/>
      <c r="AK48" s="56"/>
    </row>
    <row r="49" spans="1:37" ht="31.95" customHeight="1" thickBot="1" x14ac:dyDescent="0.35">
      <c r="A49" s="183"/>
      <c r="B49" s="184"/>
      <c r="C49" s="49"/>
      <c r="D49" s="49">
        <f>IF(H49=Categories!$E$4,VLOOKUP(G49,Categories!$A$4:$C$13,3,1),VLOOKUP(H49,Categories!$E$4:$G$24,3,1))</f>
        <v>45</v>
      </c>
      <c r="E49" s="49"/>
      <c r="F49" s="44" t="s">
        <v>0</v>
      </c>
      <c r="G49" s="50" t="s">
        <v>243</v>
      </c>
      <c r="H49" s="51" t="s">
        <v>2</v>
      </c>
      <c r="I49" s="52"/>
      <c r="J49" s="130">
        <v>2800</v>
      </c>
      <c r="K49" s="53" t="s">
        <v>0</v>
      </c>
      <c r="L49" s="54" t="str">
        <f>IFERROR(VLOOKUP(VLOOKUP(N49,N49,1,1),Categories!$K$4:$V$17,2+VLOOKUP(K49,K49,1,1)),"-"  )</f>
        <v>-</v>
      </c>
      <c r="M49" s="54" t="str">
        <f>IFERROR(VLOOKUP(VLOOKUP(N49,N49,1,1),Categories!$K$3:$V$17,7+VLOOKUP(K49,K49,1,1)),"-")</f>
        <v>-</v>
      </c>
      <c r="N49" s="55" t="s">
        <v>0</v>
      </c>
      <c r="O49" s="193" t="s">
        <v>0</v>
      </c>
      <c r="P49" s="202" t="str">
        <f t="shared" si="0"/>
        <v>-</v>
      </c>
      <c r="Q49" s="185"/>
      <c r="R49" s="186"/>
      <c r="S49" s="186"/>
      <c r="T49" s="142"/>
      <c r="U49" s="187"/>
      <c r="V49" s="187"/>
      <c r="W49" s="188"/>
      <c r="X49" s="189"/>
      <c r="Y49" s="189"/>
      <c r="Z49" s="189"/>
      <c r="AA49" s="189"/>
      <c r="AB49" s="189"/>
      <c r="AC49" s="189"/>
      <c r="AD49" s="189"/>
      <c r="AE49" s="189"/>
      <c r="AF49" s="188"/>
      <c r="AG49" s="190"/>
      <c r="AH49" s="141"/>
      <c r="AI49" s="56"/>
      <c r="AJ49" s="56"/>
      <c r="AK49" s="56"/>
    </row>
    <row r="50" spans="1:37" ht="31.95" customHeight="1" thickBot="1" x14ac:dyDescent="0.35">
      <c r="A50" s="12"/>
      <c r="B50" s="203"/>
      <c r="C50" s="49"/>
      <c r="D50" s="49">
        <f>IF(H50=Categories!$E$4,VLOOKUP(G50,Categories!$A$4:$C$13,3,1),VLOOKUP(H50,Categories!$E$4:$G$24,3,1))</f>
        <v>120</v>
      </c>
      <c r="E50" s="49"/>
      <c r="F50" s="44">
        <v>5</v>
      </c>
      <c r="G50" s="50" t="s">
        <v>1</v>
      </c>
      <c r="H50" s="51" t="s">
        <v>0</v>
      </c>
      <c r="I50" s="52"/>
      <c r="J50" s="130">
        <v>2800</v>
      </c>
      <c r="K50" s="53" t="s">
        <v>0</v>
      </c>
      <c r="L50" s="54" t="str">
        <f>IFERROR(VLOOKUP(VLOOKUP(N50,N50,1,1),Categories!$K$4:$V$17,2+VLOOKUP(K50,K50,1,1)),"-"  )</f>
        <v>-</v>
      </c>
      <c r="M50" s="54" t="str">
        <f>IFERROR(VLOOKUP(VLOOKUP(N50,N50,1,1),Categories!$K$3:$V$17,7+VLOOKUP(K50,K50,1,1)),"-")</f>
        <v>-</v>
      </c>
      <c r="N50" s="55" t="s">
        <v>0</v>
      </c>
      <c r="O50" s="193" t="s">
        <v>0</v>
      </c>
      <c r="P50" s="202" t="str">
        <f t="shared" si="0"/>
        <v>-</v>
      </c>
      <c r="Q50" s="149"/>
      <c r="R50" s="142"/>
      <c r="S50" s="142"/>
      <c r="T50" s="142"/>
      <c r="U50" s="145"/>
      <c r="V50" s="197"/>
      <c r="W50" s="201"/>
      <c r="X50" s="199"/>
      <c r="Y50" s="147"/>
      <c r="Z50" s="147"/>
      <c r="AA50" s="147"/>
      <c r="AB50" s="147"/>
      <c r="AC50" s="147"/>
      <c r="AD50" s="147"/>
      <c r="AE50" s="147"/>
      <c r="AF50" s="146"/>
      <c r="AG50" s="148"/>
      <c r="AH50" s="141"/>
      <c r="AI50" s="48"/>
      <c r="AJ50" s="56"/>
      <c r="AK50" s="56"/>
    </row>
    <row r="51" spans="1:37" ht="31.95" customHeight="1" x14ac:dyDescent="0.3">
      <c r="A51" s="183"/>
      <c r="B51" s="204"/>
      <c r="C51" s="49"/>
      <c r="D51" s="49">
        <f>IF(H51=Categories!$E$4,VLOOKUP(G51,Categories!$A$4:$C$13,3,1),VLOOKUP(H51,Categories!$E$4:$G$24,3,1))</f>
        <v>60</v>
      </c>
      <c r="E51" s="49"/>
      <c r="F51" s="44">
        <v>5</v>
      </c>
      <c r="G51" s="50" t="s">
        <v>243</v>
      </c>
      <c r="H51" s="51" t="s">
        <v>61</v>
      </c>
      <c r="I51" s="52"/>
      <c r="J51" s="130">
        <v>2800</v>
      </c>
      <c r="K51" s="53" t="s">
        <v>0</v>
      </c>
      <c r="L51" s="54" t="str">
        <f>IFERROR(VLOOKUP(VLOOKUP(N51,N51,1,1),Categories!$K$4:$V$17,2+VLOOKUP(K51,K51,1,1)),"-"  )</f>
        <v>-</v>
      </c>
      <c r="M51" s="54" t="str">
        <f>IFERROR(VLOOKUP(VLOOKUP(N51,N51,1,1),Categories!$K$3:$V$17,7+VLOOKUP(K51,K51,1,1)),"-")</f>
        <v>-</v>
      </c>
      <c r="N51" s="55" t="s">
        <v>0</v>
      </c>
      <c r="O51" s="195">
        <v>20</v>
      </c>
      <c r="P51" s="202">
        <f>IF(O51="-","-",$W$50*(1-O51/100))</f>
        <v>0</v>
      </c>
      <c r="Q51" s="185"/>
      <c r="R51" s="186"/>
      <c r="S51" s="186"/>
      <c r="T51" s="142"/>
      <c r="U51" s="187"/>
      <c r="V51" s="187"/>
      <c r="W51" s="188"/>
      <c r="X51" s="189"/>
      <c r="Y51" s="189"/>
      <c r="Z51" s="189"/>
      <c r="AA51" s="189"/>
      <c r="AB51" s="189"/>
      <c r="AC51" s="189"/>
      <c r="AD51" s="189"/>
      <c r="AE51" s="189"/>
      <c r="AF51" s="188"/>
      <c r="AG51" s="190"/>
      <c r="AH51" s="141"/>
      <c r="AI51" s="56"/>
      <c r="AJ51" s="56"/>
      <c r="AK51" s="56"/>
    </row>
    <row r="52" spans="1:37" ht="31.95" customHeight="1" x14ac:dyDescent="0.3">
      <c r="A52" s="12"/>
      <c r="B52" s="122"/>
      <c r="C52" s="49"/>
      <c r="D52" s="49">
        <f>IF(H52=Categories!$E$4,VLOOKUP(G52,Categories!$A$4:$C$13,3,1),VLOOKUP(H52,Categories!$E$4:$G$24,3,1))</f>
        <v>120</v>
      </c>
      <c r="E52" s="49"/>
      <c r="F52" s="44">
        <v>5</v>
      </c>
      <c r="G52" s="50" t="s">
        <v>44</v>
      </c>
      <c r="H52" s="45" t="s">
        <v>0</v>
      </c>
      <c r="I52" s="52"/>
      <c r="J52" s="130">
        <v>2800</v>
      </c>
      <c r="K52" s="53" t="s">
        <v>0</v>
      </c>
      <c r="L52" s="54" t="str">
        <f>IFERROR(VLOOKUP(VLOOKUP(N52,N52,1,1),Categories!$K$4:$V$17,2+VLOOKUP(K52,K52,1,1)),"-"  )</f>
        <v>-</v>
      </c>
      <c r="M52" s="54" t="str">
        <f>IFERROR(VLOOKUP(VLOOKUP(N52,N52,1,1),Categories!$K$3:$V$17,7+VLOOKUP(K52,K52,1,1)),"-")</f>
        <v>-</v>
      </c>
      <c r="N52" s="55" t="s">
        <v>0</v>
      </c>
      <c r="O52" s="193">
        <v>20</v>
      </c>
      <c r="P52" s="202">
        <f t="shared" ref="P52:P70" si="3">IF(O52="-","-",$W$50*(1-O52/100))</f>
        <v>0</v>
      </c>
      <c r="Q52" s="149"/>
      <c r="R52" s="142"/>
      <c r="S52" s="142"/>
      <c r="T52" s="142"/>
      <c r="U52" s="145"/>
      <c r="V52" s="145"/>
      <c r="W52" s="146"/>
      <c r="X52" s="147"/>
      <c r="Y52" s="147"/>
      <c r="Z52" s="147"/>
      <c r="AA52" s="147"/>
      <c r="AB52" s="147"/>
      <c r="AC52" s="147"/>
      <c r="AD52" s="147"/>
      <c r="AE52" s="147"/>
      <c r="AF52" s="146"/>
      <c r="AG52" s="148"/>
      <c r="AH52" s="141"/>
      <c r="AI52" s="48"/>
      <c r="AJ52" s="56"/>
      <c r="AK52" s="56"/>
    </row>
    <row r="53" spans="1:37" ht="31.95" customHeight="1" x14ac:dyDescent="0.3">
      <c r="A53" s="12"/>
      <c r="B53" s="122"/>
      <c r="C53" s="49"/>
      <c r="D53" s="49">
        <f>IF(H53=Categories!$E$4,VLOOKUP(G53,Categories!$A$4:$C$13,3,1),VLOOKUP(H53,Categories!$E$4:$G$24,3,1))</f>
        <v>60</v>
      </c>
      <c r="E53" s="49"/>
      <c r="F53" s="44">
        <v>5</v>
      </c>
      <c r="G53" s="50" t="s">
        <v>243</v>
      </c>
      <c r="H53" s="51" t="s">
        <v>61</v>
      </c>
      <c r="I53" s="52"/>
      <c r="J53" s="130">
        <v>2800</v>
      </c>
      <c r="K53" s="53" t="s">
        <v>0</v>
      </c>
      <c r="L53" s="54" t="str">
        <f>IFERROR(VLOOKUP(VLOOKUP(N53,N53,1,1),Categories!$K$4:$V$17,2+VLOOKUP(K53,K53,1,1)),"-"  )</f>
        <v>-</v>
      </c>
      <c r="M53" s="54" t="str">
        <f>IFERROR(VLOOKUP(VLOOKUP(N53,N53,1,1),Categories!$K$3:$V$17,7+VLOOKUP(K53,K53,1,1)),"-")</f>
        <v>-</v>
      </c>
      <c r="N53" s="55" t="s">
        <v>0</v>
      </c>
      <c r="O53" s="195">
        <v>40</v>
      </c>
      <c r="P53" s="202">
        <f t="shared" si="3"/>
        <v>0</v>
      </c>
      <c r="Q53" s="149"/>
      <c r="R53" s="142"/>
      <c r="S53" s="142"/>
      <c r="T53" s="186"/>
      <c r="U53" s="145"/>
      <c r="V53" s="145"/>
      <c r="W53" s="146"/>
      <c r="X53" s="147"/>
      <c r="Y53" s="147"/>
      <c r="Z53" s="147"/>
      <c r="AA53" s="147"/>
      <c r="AB53" s="147"/>
      <c r="AC53" s="147"/>
      <c r="AD53" s="147"/>
      <c r="AE53" s="147"/>
      <c r="AF53" s="146"/>
      <c r="AG53" s="148"/>
      <c r="AH53" s="141"/>
      <c r="AI53" s="48"/>
      <c r="AJ53" s="56"/>
      <c r="AK53" s="56"/>
    </row>
    <row r="54" spans="1:37" ht="31.95" customHeight="1" x14ac:dyDescent="0.3">
      <c r="A54" s="12"/>
      <c r="B54" s="122"/>
      <c r="C54" s="49"/>
      <c r="D54" s="49">
        <f>IF(H54=Categories!$E$4,VLOOKUP(G54,Categories!$A$4:$C$13,3,1),VLOOKUP(H54,Categories!$E$4:$G$24,3,1))</f>
        <v>120</v>
      </c>
      <c r="E54" s="49"/>
      <c r="F54" s="44">
        <v>5</v>
      </c>
      <c r="G54" s="50" t="s">
        <v>44</v>
      </c>
      <c r="H54" s="45" t="s">
        <v>0</v>
      </c>
      <c r="I54" s="52"/>
      <c r="J54" s="130">
        <v>2800</v>
      </c>
      <c r="K54" s="53" t="s">
        <v>0</v>
      </c>
      <c r="L54" s="54" t="str">
        <f>IFERROR(VLOOKUP(VLOOKUP(N54,N54,1,1),Categories!$K$4:$V$17,2+VLOOKUP(K54,K54,1,1)),"-"  )</f>
        <v>-</v>
      </c>
      <c r="M54" s="54" t="str">
        <f>IFERROR(VLOOKUP(VLOOKUP(N54,N54,1,1),Categories!$K$3:$V$17,7+VLOOKUP(K54,K54,1,1)),"-")</f>
        <v>-</v>
      </c>
      <c r="N54" s="55" t="s">
        <v>0</v>
      </c>
      <c r="O54" s="193">
        <v>40</v>
      </c>
      <c r="P54" s="202">
        <f t="shared" si="3"/>
        <v>0</v>
      </c>
      <c r="Q54" s="149"/>
      <c r="R54" s="142"/>
      <c r="S54" s="142"/>
      <c r="T54" s="142"/>
      <c r="U54" s="145"/>
      <c r="V54" s="145"/>
      <c r="W54" s="146"/>
      <c r="X54" s="147"/>
      <c r="Y54" s="147"/>
      <c r="Z54" s="147"/>
      <c r="AA54" s="147"/>
      <c r="AB54" s="147"/>
      <c r="AC54" s="147"/>
      <c r="AD54" s="147"/>
      <c r="AE54" s="147"/>
      <c r="AF54" s="146"/>
      <c r="AG54" s="148"/>
      <c r="AH54" s="141"/>
      <c r="AI54" s="48"/>
      <c r="AJ54" s="56"/>
      <c r="AK54" s="56"/>
    </row>
    <row r="55" spans="1:37" ht="31.95" customHeight="1" x14ac:dyDescent="0.3">
      <c r="A55" s="12"/>
      <c r="B55" s="122"/>
      <c r="C55" s="49"/>
      <c r="D55" s="49">
        <f>IF(H55=Categories!$E$4,VLOOKUP(G55,Categories!$A$4:$C$13,3,1),VLOOKUP(H55,Categories!$E$4:$G$24,3,1))</f>
        <v>60</v>
      </c>
      <c r="E55" s="49"/>
      <c r="F55" s="44">
        <v>5</v>
      </c>
      <c r="G55" s="50" t="s">
        <v>243</v>
      </c>
      <c r="H55" s="51" t="s">
        <v>61</v>
      </c>
      <c r="I55" s="52"/>
      <c r="J55" s="130">
        <v>2800</v>
      </c>
      <c r="K55" s="53" t="s">
        <v>0</v>
      </c>
      <c r="L55" s="54" t="str">
        <f>IFERROR(VLOOKUP(VLOOKUP(N55,N55,1,1),Categories!$K$4:$V$17,2+VLOOKUP(K55,K55,1,1)),"-"  )</f>
        <v>-</v>
      </c>
      <c r="M55" s="54" t="str">
        <f>IFERROR(VLOOKUP(VLOOKUP(N55,N55,1,1),Categories!$K$3:$V$17,7+VLOOKUP(K55,K55,1,1)),"-")</f>
        <v>-</v>
      </c>
      <c r="N55" s="55" t="s">
        <v>0</v>
      </c>
      <c r="O55" s="195">
        <v>60</v>
      </c>
      <c r="P55" s="202">
        <f t="shared" si="3"/>
        <v>0</v>
      </c>
      <c r="Q55" s="149"/>
      <c r="R55" s="142"/>
      <c r="S55" s="142"/>
      <c r="T55" s="142"/>
      <c r="U55" s="145"/>
      <c r="V55" s="145"/>
      <c r="W55" s="146"/>
      <c r="X55" s="147"/>
      <c r="Y55" s="147"/>
      <c r="Z55" s="147"/>
      <c r="AA55" s="147"/>
      <c r="AB55" s="147"/>
      <c r="AC55" s="147"/>
      <c r="AD55" s="147"/>
      <c r="AE55" s="147"/>
      <c r="AF55" s="146"/>
      <c r="AG55" s="148"/>
      <c r="AH55" s="141"/>
      <c r="AI55" s="48"/>
      <c r="AJ55" s="56"/>
      <c r="AK55" s="56"/>
    </row>
    <row r="56" spans="1:37" ht="31.95" customHeight="1" x14ac:dyDescent="0.3">
      <c r="A56" s="12"/>
      <c r="B56" s="122"/>
      <c r="C56" s="49"/>
      <c r="D56" s="49">
        <f>IF(H56=Categories!$E$4,VLOOKUP(G56,Categories!$A$4:$C$13,3,1),VLOOKUP(H56,Categories!$E$4:$G$24,3,1))</f>
        <v>120</v>
      </c>
      <c r="E56" s="49"/>
      <c r="F56" s="44">
        <v>5</v>
      </c>
      <c r="G56" s="50" t="s">
        <v>44</v>
      </c>
      <c r="H56" s="45" t="s">
        <v>0</v>
      </c>
      <c r="I56" s="52"/>
      <c r="J56" s="130">
        <v>2800</v>
      </c>
      <c r="K56" s="53" t="s">
        <v>0</v>
      </c>
      <c r="L56" s="54" t="str">
        <f>IFERROR(VLOOKUP(VLOOKUP(N56,N56,1,1),Categories!$K$4:$V$17,2+VLOOKUP(K56,K56,1,1)),"-"  )</f>
        <v>-</v>
      </c>
      <c r="M56" s="54" t="str">
        <f>IFERROR(VLOOKUP(VLOOKUP(N56,N56,1,1),Categories!$K$3:$V$17,7+VLOOKUP(K56,K56,1,1)),"-")</f>
        <v>-</v>
      </c>
      <c r="N56" s="55" t="s">
        <v>0</v>
      </c>
      <c r="O56" s="193">
        <v>60</v>
      </c>
      <c r="P56" s="202">
        <f t="shared" si="3"/>
        <v>0</v>
      </c>
      <c r="Q56" s="149"/>
      <c r="R56" s="142"/>
      <c r="S56" s="142"/>
      <c r="T56" s="142"/>
      <c r="U56" s="145"/>
      <c r="V56" s="145"/>
      <c r="W56" s="146"/>
      <c r="X56" s="147"/>
      <c r="Y56" s="147"/>
      <c r="Z56" s="147"/>
      <c r="AA56" s="147"/>
      <c r="AB56" s="147"/>
      <c r="AC56" s="147"/>
      <c r="AD56" s="147"/>
      <c r="AE56" s="147"/>
      <c r="AF56" s="146"/>
      <c r="AG56" s="148"/>
      <c r="AH56" s="141"/>
      <c r="AI56" s="48"/>
      <c r="AJ56" s="56"/>
      <c r="AK56" s="56"/>
    </row>
    <row r="57" spans="1:37" ht="31.95" customHeight="1" x14ac:dyDescent="0.3">
      <c r="A57" s="12"/>
      <c r="B57" s="122"/>
      <c r="C57" s="49"/>
      <c r="D57" s="49">
        <f>IF(H57=Categories!$E$4,VLOOKUP(G57,Categories!$A$4:$C$13,3,1),VLOOKUP(H57,Categories!$E$4:$G$24,3,1))</f>
        <v>60</v>
      </c>
      <c r="E57" s="49"/>
      <c r="F57" s="44">
        <v>5</v>
      </c>
      <c r="G57" s="50" t="s">
        <v>243</v>
      </c>
      <c r="H57" s="51" t="s">
        <v>61</v>
      </c>
      <c r="I57" s="52"/>
      <c r="J57" s="130">
        <v>2800</v>
      </c>
      <c r="K57" s="53" t="s">
        <v>0</v>
      </c>
      <c r="L57" s="54" t="str">
        <f>IFERROR(VLOOKUP(VLOOKUP(N57,N57,1,1),Categories!$K$4:$V$17,2+VLOOKUP(K57,K57,1,1)),"-"  )</f>
        <v>-</v>
      </c>
      <c r="M57" s="54" t="str">
        <f>IFERROR(VLOOKUP(VLOOKUP(N57,N57,1,1),Categories!$K$3:$V$17,7+VLOOKUP(K57,K57,1,1)),"-")</f>
        <v>-</v>
      </c>
      <c r="N57" s="55" t="s">
        <v>0</v>
      </c>
      <c r="O57" s="195">
        <v>80</v>
      </c>
      <c r="P57" s="202">
        <f t="shared" si="3"/>
        <v>0</v>
      </c>
      <c r="Q57" s="149"/>
      <c r="R57" s="142"/>
      <c r="S57" s="142"/>
      <c r="T57" s="142"/>
      <c r="U57" s="145"/>
      <c r="V57" s="145"/>
      <c r="W57" s="146"/>
      <c r="X57" s="147"/>
      <c r="Y57" s="147"/>
      <c r="Z57" s="147"/>
      <c r="AA57" s="147"/>
      <c r="AB57" s="147"/>
      <c r="AC57" s="147"/>
      <c r="AD57" s="147"/>
      <c r="AE57" s="147"/>
      <c r="AF57" s="146"/>
      <c r="AG57" s="148"/>
      <c r="AH57" s="141"/>
      <c r="AI57" s="48"/>
      <c r="AJ57" s="56"/>
      <c r="AK57" s="56"/>
    </row>
    <row r="58" spans="1:37" ht="31.95" customHeight="1" x14ac:dyDescent="0.3">
      <c r="A58" s="12"/>
      <c r="B58" s="122"/>
      <c r="C58" s="49"/>
      <c r="D58" s="49">
        <f>IF(H58=Categories!$E$4,VLOOKUP(G58,Categories!$A$4:$C$13,3,1),VLOOKUP(H58,Categories!$E$4:$G$24,3,1))</f>
        <v>120</v>
      </c>
      <c r="E58" s="49"/>
      <c r="F58" s="44">
        <v>5</v>
      </c>
      <c r="G58" s="50" t="s">
        <v>44</v>
      </c>
      <c r="H58" s="45" t="s">
        <v>0</v>
      </c>
      <c r="I58" s="52"/>
      <c r="J58" s="130">
        <v>2800</v>
      </c>
      <c r="K58" s="53" t="s">
        <v>0</v>
      </c>
      <c r="L58" s="54" t="str">
        <f>IFERROR(VLOOKUP(VLOOKUP(N58,N58,1,1),Categories!$K$4:$V$17,2+VLOOKUP(K58,K58,1,1)),"-"  )</f>
        <v>-</v>
      </c>
      <c r="M58" s="54" t="str">
        <f>IFERROR(VLOOKUP(VLOOKUP(N58,N58,1,1),Categories!$K$3:$V$17,7+VLOOKUP(K58,K58,1,1)),"-")</f>
        <v>-</v>
      </c>
      <c r="N58" s="55" t="s">
        <v>0</v>
      </c>
      <c r="O58" s="193">
        <v>80</v>
      </c>
      <c r="P58" s="202">
        <f t="shared" si="3"/>
        <v>0</v>
      </c>
      <c r="Q58" s="149"/>
      <c r="R58" s="142"/>
      <c r="S58" s="142"/>
      <c r="T58" s="142"/>
      <c r="U58" s="145"/>
      <c r="V58" s="145"/>
      <c r="W58" s="146"/>
      <c r="X58" s="147"/>
      <c r="Y58" s="147"/>
      <c r="Z58" s="147"/>
      <c r="AA58" s="147"/>
      <c r="AB58" s="147"/>
      <c r="AC58" s="147"/>
      <c r="AD58" s="147"/>
      <c r="AE58" s="147"/>
      <c r="AF58" s="146"/>
      <c r="AG58" s="148"/>
      <c r="AH58" s="141"/>
      <c r="AI58" s="48"/>
      <c r="AJ58" s="56"/>
      <c r="AK58" s="56"/>
    </row>
    <row r="59" spans="1:37" ht="31.95" customHeight="1" x14ac:dyDescent="0.3">
      <c r="A59" s="12"/>
      <c r="B59" s="122"/>
      <c r="C59" s="49"/>
      <c r="D59" s="49">
        <f>IF(H59=Categories!$E$4,VLOOKUP(G59,Categories!$A$4:$C$13,3,1),VLOOKUP(H59,Categories!$E$4:$G$24,3,1))</f>
        <v>60</v>
      </c>
      <c r="E59" s="49"/>
      <c r="F59" s="44">
        <v>5</v>
      </c>
      <c r="G59" s="50" t="s">
        <v>243</v>
      </c>
      <c r="H59" s="51" t="s">
        <v>61</v>
      </c>
      <c r="I59" s="52"/>
      <c r="J59" s="130">
        <v>2800</v>
      </c>
      <c r="K59" s="53" t="s">
        <v>0</v>
      </c>
      <c r="L59" s="54" t="str">
        <f>IFERROR(VLOOKUP(VLOOKUP(N59,N59,1,1),Categories!$K$4:$V$17,2+VLOOKUP(K59,K59,1,1)),"-"  )</f>
        <v>-</v>
      </c>
      <c r="M59" s="54" t="str">
        <f>IFERROR(VLOOKUP(VLOOKUP(N59,N59,1,1),Categories!$K$3:$V$17,7+VLOOKUP(K59,K59,1,1)),"-")</f>
        <v>-</v>
      </c>
      <c r="N59" s="55" t="s">
        <v>0</v>
      </c>
      <c r="O59" s="195">
        <v>0</v>
      </c>
      <c r="P59" s="202">
        <f t="shared" si="3"/>
        <v>0</v>
      </c>
      <c r="Q59" s="149"/>
      <c r="R59" s="142"/>
      <c r="S59" s="142"/>
      <c r="T59" s="142"/>
      <c r="U59" s="145"/>
      <c r="V59" s="145"/>
      <c r="W59" s="146"/>
      <c r="X59" s="147"/>
      <c r="Y59" s="147"/>
      <c r="Z59" s="147"/>
      <c r="AA59" s="147"/>
      <c r="AB59" s="147"/>
      <c r="AC59" s="147"/>
      <c r="AD59" s="147"/>
      <c r="AE59" s="147"/>
      <c r="AF59" s="146"/>
      <c r="AG59" s="148"/>
      <c r="AH59" s="141"/>
      <c r="AI59" s="48"/>
      <c r="AJ59" s="56"/>
      <c r="AK59" s="56"/>
    </row>
    <row r="60" spans="1:37" ht="31.95" customHeight="1" x14ac:dyDescent="0.3">
      <c r="A60" s="12"/>
      <c r="B60" s="122"/>
      <c r="C60" s="49"/>
      <c r="D60" s="49">
        <f>IF(H60=Categories!$E$4,VLOOKUP(G60,Categories!$A$4:$C$13,3,1),VLOOKUP(H60,Categories!$E$4:$G$24,3,1))</f>
        <v>60</v>
      </c>
      <c r="E60" s="49"/>
      <c r="F60" s="44">
        <v>5</v>
      </c>
      <c r="G60" s="50" t="s">
        <v>245</v>
      </c>
      <c r="H60" s="51" t="s">
        <v>0</v>
      </c>
      <c r="I60" s="52"/>
      <c r="J60" s="130">
        <v>2800</v>
      </c>
      <c r="K60" s="53" t="s">
        <v>0</v>
      </c>
      <c r="L60" s="54" t="str">
        <f>IFERROR(VLOOKUP(VLOOKUP(N60,N60,1,1),Categories!$K$4:$V$17,2+VLOOKUP(K60,K60,1,1)),"-"  )</f>
        <v>-</v>
      </c>
      <c r="M60" s="54" t="str">
        <f>IFERROR(VLOOKUP(VLOOKUP(N60,N60,1,1),Categories!$K$3:$V$17,7+VLOOKUP(K60,K60,1,1)),"-")</f>
        <v>-</v>
      </c>
      <c r="N60" s="55" t="s">
        <v>0</v>
      </c>
      <c r="O60" s="193">
        <v>0</v>
      </c>
      <c r="P60" s="202">
        <f t="shared" si="3"/>
        <v>0</v>
      </c>
      <c r="Q60" s="149"/>
      <c r="R60" s="142"/>
      <c r="S60" s="142"/>
      <c r="T60" s="142"/>
      <c r="U60" s="145"/>
      <c r="V60" s="145"/>
      <c r="W60" s="146"/>
      <c r="X60" s="147"/>
      <c r="Y60" s="147"/>
      <c r="Z60" s="147"/>
      <c r="AA60" s="147"/>
      <c r="AB60" s="147"/>
      <c r="AC60" s="147"/>
      <c r="AD60" s="147"/>
      <c r="AE60" s="147"/>
      <c r="AF60" s="146"/>
      <c r="AG60" s="148"/>
      <c r="AH60" s="141"/>
      <c r="AI60" s="48"/>
      <c r="AJ60" s="56"/>
      <c r="AK60" s="56"/>
    </row>
    <row r="61" spans="1:37" ht="31.95" customHeight="1" x14ac:dyDescent="0.3">
      <c r="A61" s="183"/>
      <c r="B61" s="184"/>
      <c r="C61" s="49"/>
      <c r="D61" s="49">
        <f>IF(H61=Categories!$E$4,VLOOKUP(G61,Categories!$A$4:$C$13,3,1),VLOOKUP(H61,Categories!$E$4:$G$24,3,1))</f>
        <v>60</v>
      </c>
      <c r="E61" s="49"/>
      <c r="F61" s="44">
        <v>6</v>
      </c>
      <c r="G61" s="50" t="s">
        <v>243</v>
      </c>
      <c r="H61" s="51" t="s">
        <v>60</v>
      </c>
      <c r="I61" s="52"/>
      <c r="J61" s="130">
        <v>2800</v>
      </c>
      <c r="K61" s="53" t="s">
        <v>0</v>
      </c>
      <c r="L61" s="54" t="str">
        <f>IFERROR(VLOOKUP(VLOOKUP(N61,N61,1,1),Categories!$K$4:$V$17,2+VLOOKUP(K61,K61,1,1)),"-"  )</f>
        <v>-</v>
      </c>
      <c r="M61" s="54" t="str">
        <f>IFERROR(VLOOKUP(VLOOKUP(N61,N61,1,1),Categories!$K$3:$V$17,7+VLOOKUP(K61,K61,1,1)),"-")</f>
        <v>-</v>
      </c>
      <c r="N61" s="55" t="s">
        <v>0</v>
      </c>
      <c r="O61" s="195">
        <v>20</v>
      </c>
      <c r="P61" s="202">
        <f t="shared" si="3"/>
        <v>0</v>
      </c>
      <c r="Q61" s="185"/>
      <c r="R61" s="186"/>
      <c r="S61" s="186"/>
      <c r="T61" s="142"/>
      <c r="U61" s="187"/>
      <c r="V61" s="187"/>
      <c r="W61" s="188"/>
      <c r="X61" s="189"/>
      <c r="Y61" s="189"/>
      <c r="Z61" s="189"/>
      <c r="AA61" s="189"/>
      <c r="AB61" s="189"/>
      <c r="AC61" s="189"/>
      <c r="AD61" s="189"/>
      <c r="AE61" s="189"/>
      <c r="AF61" s="188"/>
      <c r="AG61" s="190"/>
      <c r="AH61" s="141"/>
      <c r="AI61" s="56"/>
      <c r="AJ61" s="56"/>
      <c r="AK61" s="56"/>
    </row>
    <row r="62" spans="1:37" ht="31.95" customHeight="1" x14ac:dyDescent="0.3">
      <c r="A62" s="12"/>
      <c r="B62" s="122"/>
      <c r="C62" s="49"/>
      <c r="D62" s="49">
        <f>IF(H62=Categories!$E$4,VLOOKUP(G62,Categories!$A$4:$C$13,3,1),VLOOKUP(H62,Categories!$E$4:$G$24,3,1))</f>
        <v>120</v>
      </c>
      <c r="E62" s="49"/>
      <c r="F62" s="44">
        <v>6</v>
      </c>
      <c r="G62" s="50" t="s">
        <v>44</v>
      </c>
      <c r="H62" s="45" t="s">
        <v>0</v>
      </c>
      <c r="I62" s="52"/>
      <c r="J62" s="130">
        <v>2800</v>
      </c>
      <c r="K62" s="53" t="s">
        <v>0</v>
      </c>
      <c r="L62" s="54" t="str">
        <f>IFERROR(VLOOKUP(VLOOKUP(N62,N62,1,1),Categories!$K$4:$V$17,2+VLOOKUP(K62,K62,1,1)),"-"  )</f>
        <v>-</v>
      </c>
      <c r="M62" s="54" t="str">
        <f>IFERROR(VLOOKUP(VLOOKUP(N62,N62,1,1),Categories!$K$3:$V$17,7+VLOOKUP(K62,K62,1,1)),"-")</f>
        <v>-</v>
      </c>
      <c r="N62" s="55" t="s">
        <v>0</v>
      </c>
      <c r="O62" s="193">
        <v>20</v>
      </c>
      <c r="P62" s="202">
        <f t="shared" si="3"/>
        <v>0</v>
      </c>
      <c r="Q62" s="149"/>
      <c r="R62" s="142"/>
      <c r="S62" s="142"/>
      <c r="T62" s="142"/>
      <c r="U62" s="145"/>
      <c r="V62" s="145"/>
      <c r="W62" s="146"/>
      <c r="X62" s="147"/>
      <c r="Y62" s="147"/>
      <c r="Z62" s="147"/>
      <c r="AA62" s="147"/>
      <c r="AB62" s="147"/>
      <c r="AC62" s="147"/>
      <c r="AD62" s="147"/>
      <c r="AE62" s="147"/>
      <c r="AF62" s="146"/>
      <c r="AG62" s="148"/>
      <c r="AH62" s="141"/>
      <c r="AI62" s="48"/>
      <c r="AJ62" s="56"/>
      <c r="AK62" s="56"/>
    </row>
    <row r="63" spans="1:37" ht="31.95" customHeight="1" x14ac:dyDescent="0.3">
      <c r="A63" s="12"/>
      <c r="B63" s="122"/>
      <c r="C63" s="49"/>
      <c r="D63" s="49">
        <f>IF(H63=Categories!$E$4,VLOOKUP(G63,Categories!$A$4:$C$13,3,1),VLOOKUP(H63,Categories!$E$4:$G$24,3,1))</f>
        <v>60</v>
      </c>
      <c r="E63" s="49"/>
      <c r="F63" s="44">
        <v>6</v>
      </c>
      <c r="G63" s="50" t="s">
        <v>243</v>
      </c>
      <c r="H63" s="51" t="s">
        <v>60</v>
      </c>
      <c r="I63" s="52"/>
      <c r="J63" s="130">
        <v>2800</v>
      </c>
      <c r="K63" s="53" t="s">
        <v>0</v>
      </c>
      <c r="L63" s="54" t="str">
        <f>IFERROR(VLOOKUP(VLOOKUP(N63,N63,1,1),Categories!$K$4:$V$17,2+VLOOKUP(K63,K63,1,1)),"-"  )</f>
        <v>-</v>
      </c>
      <c r="M63" s="54" t="str">
        <f>IFERROR(VLOOKUP(VLOOKUP(N63,N63,1,1),Categories!$K$3:$V$17,7+VLOOKUP(K63,K63,1,1)),"-")</f>
        <v>-</v>
      </c>
      <c r="N63" s="55" t="s">
        <v>0</v>
      </c>
      <c r="O63" s="195">
        <v>40</v>
      </c>
      <c r="P63" s="202">
        <f t="shared" si="3"/>
        <v>0</v>
      </c>
      <c r="Q63" s="149"/>
      <c r="R63" s="142"/>
      <c r="S63" s="142"/>
      <c r="T63" s="142"/>
      <c r="U63" s="145"/>
      <c r="V63" s="145"/>
      <c r="W63" s="146"/>
      <c r="X63" s="147"/>
      <c r="Y63" s="147"/>
      <c r="Z63" s="147"/>
      <c r="AA63" s="147"/>
      <c r="AB63" s="147"/>
      <c r="AC63" s="147"/>
      <c r="AD63" s="147"/>
      <c r="AE63" s="147"/>
      <c r="AF63" s="146"/>
      <c r="AG63" s="148"/>
      <c r="AH63" s="141"/>
      <c r="AI63" s="48"/>
      <c r="AJ63" s="56"/>
      <c r="AK63" s="56"/>
    </row>
    <row r="64" spans="1:37" ht="31.95" customHeight="1" x14ac:dyDescent="0.3">
      <c r="A64" s="12"/>
      <c r="B64" s="122"/>
      <c r="C64" s="49"/>
      <c r="D64" s="49">
        <f>IF(H64=Categories!$E$4,VLOOKUP(G64,Categories!$A$4:$C$13,3,1),VLOOKUP(H64,Categories!$E$4:$G$24,3,1))</f>
        <v>120</v>
      </c>
      <c r="E64" s="49"/>
      <c r="F64" s="44">
        <v>6</v>
      </c>
      <c r="G64" s="50" t="s">
        <v>44</v>
      </c>
      <c r="H64" s="45" t="s">
        <v>0</v>
      </c>
      <c r="I64" s="52"/>
      <c r="J64" s="130">
        <v>2800</v>
      </c>
      <c r="K64" s="53" t="s">
        <v>0</v>
      </c>
      <c r="L64" s="54" t="str">
        <f>IFERROR(VLOOKUP(VLOOKUP(N64,N64,1,1),Categories!$K$4:$V$17,2+VLOOKUP(K64,K64,1,1)),"-"  )</f>
        <v>-</v>
      </c>
      <c r="M64" s="54" t="str">
        <f>IFERROR(VLOOKUP(VLOOKUP(N64,N64,1,1),Categories!$K$3:$V$17,7+VLOOKUP(K64,K64,1,1)),"-")</f>
        <v>-</v>
      </c>
      <c r="N64" s="55" t="s">
        <v>0</v>
      </c>
      <c r="O64" s="193">
        <v>40</v>
      </c>
      <c r="P64" s="202">
        <f t="shared" si="3"/>
        <v>0</v>
      </c>
      <c r="Q64" s="149"/>
      <c r="R64" s="142"/>
      <c r="S64" s="142"/>
      <c r="T64" s="142"/>
      <c r="U64" s="145"/>
      <c r="V64" s="145"/>
      <c r="W64" s="146"/>
      <c r="X64" s="147"/>
      <c r="Y64" s="147"/>
      <c r="Z64" s="147"/>
      <c r="AA64" s="147"/>
      <c r="AB64" s="147"/>
      <c r="AC64" s="147"/>
      <c r="AD64" s="147"/>
      <c r="AE64" s="147"/>
      <c r="AF64" s="146"/>
      <c r="AG64" s="148"/>
      <c r="AH64" s="141"/>
      <c r="AI64" s="48"/>
      <c r="AJ64" s="56"/>
      <c r="AK64" s="56"/>
    </row>
    <row r="65" spans="1:37" ht="31.95" customHeight="1" x14ac:dyDescent="0.3">
      <c r="A65" s="12"/>
      <c r="B65" s="122"/>
      <c r="C65" s="49"/>
      <c r="D65" s="49">
        <f>IF(H65=Categories!$E$4,VLOOKUP(G65,Categories!$A$4:$C$13,3,1),VLOOKUP(H65,Categories!$E$4:$G$24,3,1))</f>
        <v>60</v>
      </c>
      <c r="E65" s="49"/>
      <c r="F65" s="44">
        <v>6</v>
      </c>
      <c r="G65" s="50" t="s">
        <v>243</v>
      </c>
      <c r="H65" s="51" t="s">
        <v>60</v>
      </c>
      <c r="I65" s="52"/>
      <c r="J65" s="130">
        <v>2800</v>
      </c>
      <c r="K65" s="53" t="s">
        <v>0</v>
      </c>
      <c r="L65" s="54" t="str">
        <f>IFERROR(VLOOKUP(VLOOKUP(N65,N65,1,1),Categories!$K$4:$V$17,2+VLOOKUP(K65,K65,1,1)),"-"  )</f>
        <v>-</v>
      </c>
      <c r="M65" s="54" t="str">
        <f>IFERROR(VLOOKUP(VLOOKUP(N65,N65,1,1),Categories!$K$3:$V$17,7+VLOOKUP(K65,K65,1,1)),"-")</f>
        <v>-</v>
      </c>
      <c r="N65" s="55" t="s">
        <v>0</v>
      </c>
      <c r="O65" s="195">
        <v>60</v>
      </c>
      <c r="P65" s="202">
        <f t="shared" si="3"/>
        <v>0</v>
      </c>
      <c r="Q65" s="149"/>
      <c r="R65" s="142"/>
      <c r="S65" s="142"/>
      <c r="T65" s="142"/>
      <c r="U65" s="145"/>
      <c r="V65" s="145"/>
      <c r="W65" s="146"/>
      <c r="X65" s="147"/>
      <c r="Y65" s="147"/>
      <c r="Z65" s="147"/>
      <c r="AA65" s="147"/>
      <c r="AB65" s="147"/>
      <c r="AC65" s="147"/>
      <c r="AD65" s="147"/>
      <c r="AE65" s="147"/>
      <c r="AF65" s="146"/>
      <c r="AG65" s="148"/>
      <c r="AH65" s="141"/>
      <c r="AI65" s="48"/>
      <c r="AJ65" s="56"/>
      <c r="AK65" s="56"/>
    </row>
    <row r="66" spans="1:37" ht="31.95" customHeight="1" x14ac:dyDescent="0.3">
      <c r="A66" s="12"/>
      <c r="B66" s="122"/>
      <c r="C66" s="49"/>
      <c r="D66" s="49">
        <f>IF(H66=Categories!$E$4,VLOOKUP(G66,Categories!$A$4:$C$13,3,1),VLOOKUP(H66,Categories!$E$4:$G$24,3,1))</f>
        <v>120</v>
      </c>
      <c r="E66" s="49"/>
      <c r="F66" s="44">
        <v>6</v>
      </c>
      <c r="G66" s="50" t="s">
        <v>44</v>
      </c>
      <c r="H66" s="45" t="s">
        <v>0</v>
      </c>
      <c r="I66" s="52"/>
      <c r="J66" s="130">
        <v>2800</v>
      </c>
      <c r="K66" s="53" t="s">
        <v>0</v>
      </c>
      <c r="L66" s="54" t="str">
        <f>IFERROR(VLOOKUP(VLOOKUP(N66,N66,1,1),Categories!$K$4:$V$17,2+VLOOKUP(K66,K66,1,1)),"-"  )</f>
        <v>-</v>
      </c>
      <c r="M66" s="54" t="str">
        <f>IFERROR(VLOOKUP(VLOOKUP(N66,N66,1,1),Categories!$K$3:$V$17,7+VLOOKUP(K66,K66,1,1)),"-")</f>
        <v>-</v>
      </c>
      <c r="N66" s="55" t="s">
        <v>0</v>
      </c>
      <c r="O66" s="193">
        <v>60</v>
      </c>
      <c r="P66" s="202">
        <f t="shared" si="3"/>
        <v>0</v>
      </c>
      <c r="Q66" s="149"/>
      <c r="R66" s="142"/>
      <c r="S66" s="142"/>
      <c r="T66" s="142"/>
      <c r="U66" s="145"/>
      <c r="V66" s="145"/>
      <c r="W66" s="146"/>
      <c r="X66" s="147"/>
      <c r="Y66" s="147"/>
      <c r="Z66" s="147"/>
      <c r="AA66" s="147"/>
      <c r="AB66" s="147"/>
      <c r="AC66" s="147"/>
      <c r="AD66" s="147"/>
      <c r="AE66" s="147"/>
      <c r="AF66" s="146"/>
      <c r="AG66" s="148"/>
      <c r="AH66" s="141"/>
      <c r="AI66" s="48"/>
      <c r="AJ66" s="56"/>
      <c r="AK66" s="56"/>
    </row>
    <row r="67" spans="1:37" ht="31.95" customHeight="1" x14ac:dyDescent="0.3">
      <c r="A67" s="12"/>
      <c r="B67" s="122"/>
      <c r="C67" s="49"/>
      <c r="D67" s="49">
        <f>IF(H67=Categories!$E$4,VLOOKUP(G67,Categories!$A$4:$C$13,3,1),VLOOKUP(H67,Categories!$E$4:$G$24,3,1))</f>
        <v>60</v>
      </c>
      <c r="E67" s="49"/>
      <c r="F67" s="44">
        <v>6</v>
      </c>
      <c r="G67" s="50" t="s">
        <v>243</v>
      </c>
      <c r="H67" s="51" t="s">
        <v>60</v>
      </c>
      <c r="I67" s="52"/>
      <c r="J67" s="130">
        <v>2800</v>
      </c>
      <c r="K67" s="53" t="s">
        <v>0</v>
      </c>
      <c r="L67" s="54" t="str">
        <f>IFERROR(VLOOKUP(VLOOKUP(N67,N67,1,1),Categories!$K$4:$V$17,2+VLOOKUP(K67,K67,1,1)),"-"  )</f>
        <v>-</v>
      </c>
      <c r="M67" s="54" t="str">
        <f>IFERROR(VLOOKUP(VLOOKUP(N67,N67,1,1),Categories!$K$3:$V$17,7+VLOOKUP(K67,K67,1,1)),"-")</f>
        <v>-</v>
      </c>
      <c r="N67" s="55" t="s">
        <v>0</v>
      </c>
      <c r="O67" s="195">
        <v>80</v>
      </c>
      <c r="P67" s="202">
        <f t="shared" si="3"/>
        <v>0</v>
      </c>
      <c r="Q67" s="149"/>
      <c r="R67" s="142"/>
      <c r="S67" s="142"/>
      <c r="T67" s="186"/>
      <c r="U67" s="145"/>
      <c r="V67" s="145"/>
      <c r="W67" s="146"/>
      <c r="X67" s="147"/>
      <c r="Y67" s="147"/>
      <c r="Z67" s="147"/>
      <c r="AA67" s="147"/>
      <c r="AB67" s="147"/>
      <c r="AC67" s="147"/>
      <c r="AD67" s="147"/>
      <c r="AE67" s="147"/>
      <c r="AF67" s="146"/>
      <c r="AG67" s="148"/>
      <c r="AH67" s="141"/>
      <c r="AI67" s="48"/>
      <c r="AJ67" s="56"/>
      <c r="AK67" s="56"/>
    </row>
    <row r="68" spans="1:37" ht="31.95" customHeight="1" x14ac:dyDescent="0.3">
      <c r="A68" s="12"/>
      <c r="B68" s="122"/>
      <c r="C68" s="49"/>
      <c r="D68" s="49">
        <f>IF(H68=Categories!$E$4,VLOOKUP(G68,Categories!$A$4:$C$13,3,1),VLOOKUP(H68,Categories!$E$4:$G$24,3,1))</f>
        <v>120</v>
      </c>
      <c r="E68" s="49"/>
      <c r="F68" s="44">
        <v>6</v>
      </c>
      <c r="G68" s="50" t="s">
        <v>44</v>
      </c>
      <c r="H68" s="45" t="s">
        <v>0</v>
      </c>
      <c r="I68" s="52"/>
      <c r="J68" s="130">
        <v>2800</v>
      </c>
      <c r="K68" s="53" t="s">
        <v>0</v>
      </c>
      <c r="L68" s="54" t="str">
        <f>IFERROR(VLOOKUP(VLOOKUP(N68,N68,1,1),Categories!$K$4:$V$17,2+VLOOKUP(K68,K68,1,1)),"-"  )</f>
        <v>-</v>
      </c>
      <c r="M68" s="54" t="str">
        <f>IFERROR(VLOOKUP(VLOOKUP(N68,N68,1,1),Categories!$K$3:$V$17,7+VLOOKUP(K68,K68,1,1)),"-")</f>
        <v>-</v>
      </c>
      <c r="N68" s="55" t="s">
        <v>0</v>
      </c>
      <c r="O68" s="193">
        <v>80</v>
      </c>
      <c r="P68" s="202">
        <f t="shared" si="3"/>
        <v>0</v>
      </c>
      <c r="Q68" s="149"/>
      <c r="R68" s="142"/>
      <c r="S68" s="142"/>
      <c r="T68" s="142"/>
      <c r="U68" s="145"/>
      <c r="V68" s="145"/>
      <c r="W68" s="146"/>
      <c r="X68" s="147"/>
      <c r="Y68" s="147"/>
      <c r="Z68" s="147"/>
      <c r="AA68" s="147"/>
      <c r="AB68" s="147"/>
      <c r="AC68" s="147"/>
      <c r="AD68" s="147"/>
      <c r="AE68" s="147"/>
      <c r="AF68" s="146"/>
      <c r="AG68" s="148"/>
      <c r="AH68" s="141"/>
      <c r="AI68" s="48"/>
      <c r="AJ68" s="56"/>
      <c r="AK68" s="56"/>
    </row>
    <row r="69" spans="1:37" ht="31.95" customHeight="1" x14ac:dyDescent="0.3">
      <c r="A69" s="12"/>
      <c r="B69" s="122"/>
      <c r="C69" s="49"/>
      <c r="D69" s="49">
        <f>IF(H69=Categories!$E$4,VLOOKUP(G69,Categories!$A$4:$C$13,3,1),VLOOKUP(H69,Categories!$E$4:$G$24,3,1))</f>
        <v>60</v>
      </c>
      <c r="E69" s="49"/>
      <c r="F69" s="44">
        <v>6</v>
      </c>
      <c r="G69" s="50" t="s">
        <v>243</v>
      </c>
      <c r="H69" s="51" t="s">
        <v>60</v>
      </c>
      <c r="I69" s="52"/>
      <c r="J69" s="130">
        <v>2800</v>
      </c>
      <c r="K69" s="53" t="s">
        <v>0</v>
      </c>
      <c r="L69" s="54" t="str">
        <f>IFERROR(VLOOKUP(VLOOKUP(N69,N69,1,1),Categories!$K$4:$V$17,2+VLOOKUP(K69,K69,1,1)),"-"  )</f>
        <v>-</v>
      </c>
      <c r="M69" s="54" t="str">
        <f>IFERROR(VLOOKUP(VLOOKUP(N69,N69,1,1),Categories!$K$3:$V$17,7+VLOOKUP(K69,K69,1,1)),"-")</f>
        <v>-</v>
      </c>
      <c r="N69" s="55" t="s">
        <v>0</v>
      </c>
      <c r="O69" s="195">
        <v>0</v>
      </c>
      <c r="P69" s="202">
        <f t="shared" si="3"/>
        <v>0</v>
      </c>
      <c r="Q69" s="149"/>
      <c r="R69" s="142"/>
      <c r="S69" s="142"/>
      <c r="T69" s="142"/>
      <c r="U69" s="145"/>
      <c r="V69" s="145"/>
      <c r="W69" s="146"/>
      <c r="X69" s="147"/>
      <c r="Y69" s="147"/>
      <c r="Z69" s="147"/>
      <c r="AA69" s="147"/>
      <c r="AB69" s="147"/>
      <c r="AC69" s="147"/>
      <c r="AD69" s="147"/>
      <c r="AE69" s="147"/>
      <c r="AF69" s="146"/>
      <c r="AG69" s="148"/>
      <c r="AH69" s="141"/>
      <c r="AI69" s="48"/>
      <c r="AJ69" s="56"/>
      <c r="AK69" s="56"/>
    </row>
    <row r="70" spans="1:37" ht="31.95" customHeight="1" x14ac:dyDescent="0.3">
      <c r="A70" s="12"/>
      <c r="B70" s="203"/>
      <c r="C70" s="49"/>
      <c r="D70" s="49">
        <f>IF(H70=Categories!$E$4,VLOOKUP(G70,Categories!$A$4:$C$13,3,1),VLOOKUP(H70,Categories!$E$4:$G$24,3,1))</f>
        <v>60</v>
      </c>
      <c r="E70" s="49"/>
      <c r="F70" s="44">
        <v>6</v>
      </c>
      <c r="G70" s="50" t="s">
        <v>245</v>
      </c>
      <c r="H70" s="51" t="s">
        <v>0</v>
      </c>
      <c r="I70" s="52"/>
      <c r="J70" s="130">
        <v>2800</v>
      </c>
      <c r="K70" s="53" t="s">
        <v>0</v>
      </c>
      <c r="L70" s="54" t="str">
        <f>IFERROR(VLOOKUP(VLOOKUP(N70,N70,1,1),Categories!$K$4:$V$17,2+VLOOKUP(K70,K70,1,1)),"-"  )</f>
        <v>-</v>
      </c>
      <c r="M70" s="54" t="str">
        <f>IFERROR(VLOOKUP(VLOOKUP(N70,N70,1,1),Categories!$K$3:$V$17,7+VLOOKUP(K70,K70,1,1)),"-")</f>
        <v>-</v>
      </c>
      <c r="N70" s="55" t="s">
        <v>0</v>
      </c>
      <c r="O70" s="193">
        <v>0</v>
      </c>
      <c r="P70" s="202">
        <f t="shared" si="3"/>
        <v>0</v>
      </c>
      <c r="Q70" s="149"/>
      <c r="R70" s="142"/>
      <c r="S70" s="142"/>
      <c r="T70" s="142"/>
      <c r="U70" s="145"/>
      <c r="V70" s="145"/>
      <c r="W70" s="146"/>
      <c r="X70" s="147"/>
      <c r="Y70" s="147"/>
      <c r="Z70" s="147"/>
      <c r="AA70" s="147"/>
      <c r="AB70" s="147"/>
      <c r="AC70" s="147"/>
      <c r="AD70" s="147"/>
      <c r="AE70" s="147"/>
      <c r="AF70" s="146"/>
      <c r="AG70" s="148"/>
      <c r="AH70" s="141"/>
      <c r="AI70" s="48"/>
      <c r="AJ70" s="56"/>
      <c r="AK70" s="56"/>
    </row>
    <row r="71" spans="1:37" ht="31.95" customHeight="1" thickBot="1" x14ac:dyDescent="0.35">
      <c r="A71" s="183"/>
      <c r="B71" s="184"/>
      <c r="C71" s="49"/>
      <c r="D71" s="49">
        <f>IF(H71=Categories!$E$4,VLOOKUP(G71,Categories!$A$4:$C$13,3,1),VLOOKUP(H71,Categories!$E$4:$G$24,3,1))</f>
        <v>45</v>
      </c>
      <c r="E71" s="49"/>
      <c r="F71" s="44" t="s">
        <v>0</v>
      </c>
      <c r="G71" s="50" t="s">
        <v>243</v>
      </c>
      <c r="H71" s="51" t="s">
        <v>2</v>
      </c>
      <c r="I71" s="52"/>
      <c r="J71" s="130">
        <v>3100</v>
      </c>
      <c r="K71" s="53" t="s">
        <v>0</v>
      </c>
      <c r="L71" s="54" t="str">
        <f>IFERROR(VLOOKUP(VLOOKUP(N71,N71,1,1),Categories!$K$4:$V$17,2+VLOOKUP(K71,K71,1,1)),"-"  )</f>
        <v>-</v>
      </c>
      <c r="M71" s="54" t="str">
        <f>IFERROR(VLOOKUP(VLOOKUP(N71,N71,1,1),Categories!$K$3:$V$17,7+VLOOKUP(K71,K71,1,1)),"-")</f>
        <v>-</v>
      </c>
      <c r="N71" s="55" t="s">
        <v>0</v>
      </c>
      <c r="O71" s="193" t="s">
        <v>0</v>
      </c>
      <c r="P71" s="202" t="str">
        <f t="shared" si="0"/>
        <v>-</v>
      </c>
      <c r="Q71" s="185"/>
      <c r="R71" s="186"/>
      <c r="S71" s="186"/>
      <c r="T71" s="142"/>
      <c r="U71" s="187"/>
      <c r="V71" s="187"/>
      <c r="W71" s="188"/>
      <c r="X71" s="189"/>
      <c r="Y71" s="189"/>
      <c r="Z71" s="189"/>
      <c r="AA71" s="189"/>
      <c r="AB71" s="189"/>
      <c r="AC71" s="189"/>
      <c r="AD71" s="189"/>
      <c r="AE71" s="189"/>
      <c r="AF71" s="188"/>
      <c r="AG71" s="190"/>
      <c r="AH71" s="141"/>
      <c r="AI71" s="56"/>
      <c r="AJ71" s="56"/>
      <c r="AK71" s="56"/>
    </row>
    <row r="72" spans="1:37" ht="31.95" customHeight="1" thickBot="1" x14ac:dyDescent="0.35">
      <c r="A72" s="183"/>
      <c r="B72" s="184"/>
      <c r="C72" s="49"/>
      <c r="D72" s="49">
        <f>IF(H72=Categories!$E$4,VLOOKUP(G72,Categories!$A$4:$C$13,3,1),VLOOKUP(H72,Categories!$E$4:$G$24,3,1))</f>
        <v>120</v>
      </c>
      <c r="E72" s="49"/>
      <c r="F72" s="44">
        <v>7</v>
      </c>
      <c r="G72" s="50" t="s">
        <v>1</v>
      </c>
      <c r="H72" s="51" t="s">
        <v>0</v>
      </c>
      <c r="I72" s="52"/>
      <c r="J72" s="130">
        <v>3100</v>
      </c>
      <c r="K72" s="53" t="s">
        <v>0</v>
      </c>
      <c r="L72" s="54" t="str">
        <f>IFERROR(VLOOKUP(VLOOKUP(N72,N72,1,1),Categories!$K$4:$V$17,2+VLOOKUP(K72,K72,1,1)),"-"  )</f>
        <v>-</v>
      </c>
      <c r="M72" s="54" t="str">
        <f>IFERROR(VLOOKUP(VLOOKUP(N72,N72,1,1),Categories!$K$3:$V$17,7+VLOOKUP(K72,K72,1,1)),"-")</f>
        <v>-</v>
      </c>
      <c r="N72" s="55" t="s">
        <v>0</v>
      </c>
      <c r="O72" s="193" t="s">
        <v>0</v>
      </c>
      <c r="P72" s="202" t="str">
        <f t="shared" ref="P72" si="4">IF(O72="-","-",$W$5*(1-O72/100))</f>
        <v>-</v>
      </c>
      <c r="Q72" s="185"/>
      <c r="R72" s="186"/>
      <c r="S72" s="186"/>
      <c r="T72" s="142"/>
      <c r="U72" s="187"/>
      <c r="V72" s="196"/>
      <c r="W72" s="201"/>
      <c r="X72" s="198"/>
      <c r="Y72" s="189"/>
      <c r="Z72" s="189"/>
      <c r="AA72" s="189"/>
      <c r="AB72" s="189"/>
      <c r="AC72" s="189"/>
      <c r="AD72" s="189"/>
      <c r="AE72" s="189"/>
      <c r="AF72" s="188"/>
      <c r="AG72" s="190"/>
      <c r="AH72" s="141"/>
      <c r="AI72" s="56"/>
      <c r="AJ72" s="56"/>
      <c r="AK72" s="56"/>
    </row>
    <row r="73" spans="1:37" ht="31.95" customHeight="1" x14ac:dyDescent="0.3">
      <c r="A73" s="183"/>
      <c r="B73" s="184"/>
      <c r="C73" s="49"/>
      <c r="D73" s="49">
        <f>IF(H73=Categories!$E$4,VLOOKUP(G73,Categories!$A$4:$C$13,3,1),VLOOKUP(H73,Categories!$E$4:$G$24,3,1))</f>
        <v>60</v>
      </c>
      <c r="E73" s="49"/>
      <c r="F73" s="44">
        <v>7</v>
      </c>
      <c r="G73" s="50" t="s">
        <v>243</v>
      </c>
      <c r="H73" s="51" t="s">
        <v>61</v>
      </c>
      <c r="I73" s="52"/>
      <c r="J73" s="130">
        <v>3100</v>
      </c>
      <c r="K73" s="53" t="s">
        <v>0</v>
      </c>
      <c r="L73" s="54" t="str">
        <f>IFERROR(VLOOKUP(VLOOKUP(N73,N73,1,1),Categories!$K$4:$V$17,2+VLOOKUP(K73,K73,1,1)),"-"  )</f>
        <v>-</v>
      </c>
      <c r="M73" s="54" t="str">
        <f>IFERROR(VLOOKUP(VLOOKUP(N73,N73,1,1),Categories!$K$3:$V$17,7+VLOOKUP(K73,K73,1,1)),"-")</f>
        <v>-</v>
      </c>
      <c r="N73" s="55" t="s">
        <v>0</v>
      </c>
      <c r="O73" s="195">
        <v>20</v>
      </c>
      <c r="P73" s="202">
        <f>IF(O73="-","-",$W$72*(1-O73/100))</f>
        <v>0</v>
      </c>
      <c r="Q73" s="185"/>
      <c r="R73" s="186"/>
      <c r="S73" s="186"/>
      <c r="T73" s="142"/>
      <c r="U73" s="187"/>
      <c r="V73" s="187"/>
      <c r="W73" s="188"/>
      <c r="X73" s="189"/>
      <c r="Y73" s="189"/>
      <c r="Z73" s="189"/>
      <c r="AA73" s="189"/>
      <c r="AB73" s="189"/>
      <c r="AC73" s="189"/>
      <c r="AD73" s="189"/>
      <c r="AE73" s="189"/>
      <c r="AF73" s="188"/>
      <c r="AG73" s="190"/>
      <c r="AH73" s="141"/>
      <c r="AI73" s="56"/>
      <c r="AJ73" s="56"/>
      <c r="AK73" s="56"/>
    </row>
    <row r="74" spans="1:37" ht="31.95" customHeight="1" x14ac:dyDescent="0.3">
      <c r="A74" s="12"/>
      <c r="B74" s="122"/>
      <c r="C74" s="49"/>
      <c r="D74" s="49">
        <f>IF(H74=Categories!$E$4,VLOOKUP(G74,Categories!$A$4:$C$13,3,1),VLOOKUP(H74,Categories!$E$4:$G$24,3,1))</f>
        <v>120</v>
      </c>
      <c r="E74" s="49"/>
      <c r="F74" s="44">
        <v>7</v>
      </c>
      <c r="G74" s="50" t="s">
        <v>44</v>
      </c>
      <c r="H74" s="45" t="s">
        <v>0</v>
      </c>
      <c r="I74" s="52"/>
      <c r="J74" s="130">
        <v>3100</v>
      </c>
      <c r="K74" s="53" t="s">
        <v>0</v>
      </c>
      <c r="L74" s="54" t="str">
        <f>IFERROR(VLOOKUP(VLOOKUP(N74,N74,1,1),Categories!$K$4:$V$17,2+VLOOKUP(K74,K74,1,1)),"-"  )</f>
        <v>-</v>
      </c>
      <c r="M74" s="54" t="str">
        <f>IFERROR(VLOOKUP(VLOOKUP(N74,N74,1,1),Categories!$K$3:$V$17,7+VLOOKUP(K74,K74,1,1)),"-")</f>
        <v>-</v>
      </c>
      <c r="N74" s="55" t="s">
        <v>0</v>
      </c>
      <c r="O74" s="193">
        <v>20</v>
      </c>
      <c r="P74" s="202">
        <f t="shared" ref="P74:P92" si="5">IF(O74="-","-",$W$72*(1-O74/100))</f>
        <v>0</v>
      </c>
      <c r="Q74" s="149"/>
      <c r="R74" s="142"/>
      <c r="S74" s="142"/>
      <c r="T74" s="142"/>
      <c r="U74" s="145"/>
      <c r="V74" s="145"/>
      <c r="W74" s="146"/>
      <c r="X74" s="147"/>
      <c r="Y74" s="147"/>
      <c r="Z74" s="147"/>
      <c r="AA74" s="147"/>
      <c r="AB74" s="147"/>
      <c r="AC74" s="147"/>
      <c r="AD74" s="147"/>
      <c r="AE74" s="147"/>
      <c r="AF74" s="146"/>
      <c r="AG74" s="148"/>
      <c r="AH74" s="141"/>
      <c r="AI74" s="48"/>
      <c r="AJ74" s="56"/>
      <c r="AK74" s="56"/>
    </row>
    <row r="75" spans="1:37" ht="31.95" customHeight="1" x14ac:dyDescent="0.3">
      <c r="A75" s="12"/>
      <c r="B75" s="122"/>
      <c r="C75" s="49"/>
      <c r="D75" s="49">
        <f>IF(H75=Categories!$E$4,VLOOKUP(G75,Categories!$A$4:$C$13,3,1),VLOOKUP(H75,Categories!$E$4:$G$24,3,1))</f>
        <v>60</v>
      </c>
      <c r="E75" s="49"/>
      <c r="F75" s="44">
        <v>7</v>
      </c>
      <c r="G75" s="50" t="s">
        <v>243</v>
      </c>
      <c r="H75" s="51" t="s">
        <v>61</v>
      </c>
      <c r="I75" s="52"/>
      <c r="J75" s="130">
        <v>3100</v>
      </c>
      <c r="K75" s="53" t="s">
        <v>0</v>
      </c>
      <c r="L75" s="54" t="str">
        <f>IFERROR(VLOOKUP(VLOOKUP(N75,N75,1,1),Categories!$K$4:$V$17,2+VLOOKUP(K75,K75,1,1)),"-"  )</f>
        <v>-</v>
      </c>
      <c r="M75" s="54" t="str">
        <f>IFERROR(VLOOKUP(VLOOKUP(N75,N75,1,1),Categories!$K$3:$V$17,7+VLOOKUP(K75,K75,1,1)),"-")</f>
        <v>-</v>
      </c>
      <c r="N75" s="55" t="s">
        <v>0</v>
      </c>
      <c r="O75" s="195">
        <v>40</v>
      </c>
      <c r="P75" s="202">
        <f t="shared" si="5"/>
        <v>0</v>
      </c>
      <c r="Q75" s="149"/>
      <c r="R75" s="142"/>
      <c r="S75" s="142"/>
      <c r="T75" s="142"/>
      <c r="U75" s="145"/>
      <c r="V75" s="145"/>
      <c r="W75" s="146"/>
      <c r="X75" s="147"/>
      <c r="Y75" s="147"/>
      <c r="Z75" s="147"/>
      <c r="AA75" s="147"/>
      <c r="AB75" s="147"/>
      <c r="AC75" s="147"/>
      <c r="AD75" s="147"/>
      <c r="AE75" s="147"/>
      <c r="AF75" s="146"/>
      <c r="AG75" s="148"/>
      <c r="AH75" s="141"/>
      <c r="AI75" s="48"/>
      <c r="AJ75" s="56"/>
      <c r="AK75" s="56"/>
    </row>
    <row r="76" spans="1:37" ht="31.95" customHeight="1" x14ac:dyDescent="0.3">
      <c r="A76" s="12"/>
      <c r="B76" s="122"/>
      <c r="C76" s="49"/>
      <c r="D76" s="49">
        <f>IF(H76=Categories!$E$4,VLOOKUP(G76,Categories!$A$4:$C$13,3,1),VLOOKUP(H76,Categories!$E$4:$G$24,3,1))</f>
        <v>120</v>
      </c>
      <c r="E76" s="49"/>
      <c r="F76" s="44">
        <v>7</v>
      </c>
      <c r="G76" s="50" t="s">
        <v>44</v>
      </c>
      <c r="H76" s="45" t="s">
        <v>0</v>
      </c>
      <c r="I76" s="52"/>
      <c r="J76" s="130">
        <v>3100</v>
      </c>
      <c r="K76" s="53" t="s">
        <v>0</v>
      </c>
      <c r="L76" s="54" t="str">
        <f>IFERROR(VLOOKUP(VLOOKUP(N76,N76,1,1),Categories!$K$4:$V$17,2+VLOOKUP(K76,K76,1,1)),"-"  )</f>
        <v>-</v>
      </c>
      <c r="M76" s="54" t="str">
        <f>IFERROR(VLOOKUP(VLOOKUP(N76,N76,1,1),Categories!$K$3:$V$17,7+VLOOKUP(K76,K76,1,1)),"-")</f>
        <v>-</v>
      </c>
      <c r="N76" s="55" t="s">
        <v>0</v>
      </c>
      <c r="O76" s="193">
        <v>40</v>
      </c>
      <c r="P76" s="202">
        <f t="shared" si="5"/>
        <v>0</v>
      </c>
      <c r="Q76" s="149"/>
      <c r="R76" s="142"/>
      <c r="S76" s="142"/>
      <c r="T76" s="142"/>
      <c r="U76" s="145"/>
      <c r="V76" s="145"/>
      <c r="W76" s="146"/>
      <c r="X76" s="147"/>
      <c r="Y76" s="147"/>
      <c r="Z76" s="147"/>
      <c r="AA76" s="147"/>
      <c r="AB76" s="147"/>
      <c r="AC76" s="147"/>
      <c r="AD76" s="147"/>
      <c r="AE76" s="147"/>
      <c r="AF76" s="146"/>
      <c r="AG76" s="148"/>
      <c r="AH76" s="141"/>
      <c r="AI76" s="48"/>
      <c r="AJ76" s="56"/>
      <c r="AK76" s="56"/>
    </row>
    <row r="77" spans="1:37" ht="31.95" customHeight="1" x14ac:dyDescent="0.3">
      <c r="A77" s="12"/>
      <c r="B77" s="122"/>
      <c r="C77" s="49"/>
      <c r="D77" s="49">
        <f>IF(H77=Categories!$E$4,VLOOKUP(G77,Categories!$A$4:$C$13,3,1),VLOOKUP(H77,Categories!$E$4:$G$24,3,1))</f>
        <v>60</v>
      </c>
      <c r="E77" s="49"/>
      <c r="F77" s="44">
        <v>7</v>
      </c>
      <c r="G77" s="50" t="s">
        <v>243</v>
      </c>
      <c r="H77" s="51" t="s">
        <v>61</v>
      </c>
      <c r="I77" s="52"/>
      <c r="J77" s="130">
        <v>3100</v>
      </c>
      <c r="K77" s="53" t="s">
        <v>0</v>
      </c>
      <c r="L77" s="54" t="str">
        <f>IFERROR(VLOOKUP(VLOOKUP(N77,N77,1,1),Categories!$K$4:$V$17,2+VLOOKUP(K77,K77,1,1)),"-"  )</f>
        <v>-</v>
      </c>
      <c r="M77" s="54" t="str">
        <f>IFERROR(VLOOKUP(VLOOKUP(N77,N77,1,1),Categories!$K$3:$V$17,7+VLOOKUP(K77,K77,1,1)),"-")</f>
        <v>-</v>
      </c>
      <c r="N77" s="55" t="s">
        <v>0</v>
      </c>
      <c r="O77" s="195">
        <v>60</v>
      </c>
      <c r="P77" s="202">
        <f t="shared" si="5"/>
        <v>0</v>
      </c>
      <c r="Q77" s="149"/>
      <c r="R77" s="142"/>
      <c r="S77" s="142"/>
      <c r="T77" s="186"/>
      <c r="U77" s="145"/>
      <c r="V77" s="145"/>
      <c r="W77" s="146"/>
      <c r="X77" s="147"/>
      <c r="Y77" s="147"/>
      <c r="Z77" s="147"/>
      <c r="AA77" s="147"/>
      <c r="AB77" s="147"/>
      <c r="AC77" s="147"/>
      <c r="AD77" s="147"/>
      <c r="AE77" s="147"/>
      <c r="AF77" s="146"/>
      <c r="AG77" s="148"/>
      <c r="AH77" s="141"/>
      <c r="AI77" s="48"/>
      <c r="AJ77" s="56"/>
      <c r="AK77" s="56"/>
    </row>
    <row r="78" spans="1:37" ht="31.95" customHeight="1" x14ac:dyDescent="0.3">
      <c r="A78" s="12"/>
      <c r="B78" s="122"/>
      <c r="C78" s="49"/>
      <c r="D78" s="49">
        <f>IF(H78=Categories!$E$4,VLOOKUP(G78,Categories!$A$4:$C$13,3,1),VLOOKUP(H78,Categories!$E$4:$G$24,3,1))</f>
        <v>120</v>
      </c>
      <c r="E78" s="49"/>
      <c r="F78" s="44">
        <v>7</v>
      </c>
      <c r="G78" s="50" t="s">
        <v>44</v>
      </c>
      <c r="H78" s="45" t="s">
        <v>0</v>
      </c>
      <c r="I78" s="52"/>
      <c r="J78" s="130">
        <v>3100</v>
      </c>
      <c r="K78" s="53" t="s">
        <v>0</v>
      </c>
      <c r="L78" s="54" t="str">
        <f>IFERROR(VLOOKUP(VLOOKUP(N78,N78,1,1),Categories!$K$4:$V$17,2+VLOOKUP(K78,K78,1,1)),"-"  )</f>
        <v>-</v>
      </c>
      <c r="M78" s="54" t="str">
        <f>IFERROR(VLOOKUP(VLOOKUP(N78,N78,1,1),Categories!$K$3:$V$17,7+VLOOKUP(K78,K78,1,1)),"-")</f>
        <v>-</v>
      </c>
      <c r="N78" s="55" t="s">
        <v>0</v>
      </c>
      <c r="O78" s="193">
        <v>60</v>
      </c>
      <c r="P78" s="202">
        <f t="shared" si="5"/>
        <v>0</v>
      </c>
      <c r="Q78" s="149"/>
      <c r="R78" s="142"/>
      <c r="S78" s="142"/>
      <c r="T78" s="142"/>
      <c r="U78" s="145"/>
      <c r="V78" s="145"/>
      <c r="W78" s="146"/>
      <c r="X78" s="147"/>
      <c r="Y78" s="147"/>
      <c r="Z78" s="147"/>
      <c r="AA78" s="147"/>
      <c r="AB78" s="147"/>
      <c r="AC78" s="147"/>
      <c r="AD78" s="147"/>
      <c r="AE78" s="147"/>
      <c r="AF78" s="146"/>
      <c r="AG78" s="148"/>
      <c r="AH78" s="141"/>
      <c r="AI78" s="48"/>
      <c r="AJ78" s="56"/>
      <c r="AK78" s="56"/>
    </row>
    <row r="79" spans="1:37" ht="31.95" customHeight="1" x14ac:dyDescent="0.3">
      <c r="A79" s="12"/>
      <c r="B79" s="122"/>
      <c r="C79" s="49"/>
      <c r="D79" s="49">
        <f>IF(H79=Categories!$E$4,VLOOKUP(G79,Categories!$A$4:$C$13,3,1),VLOOKUP(H79,Categories!$E$4:$G$24,3,1))</f>
        <v>60</v>
      </c>
      <c r="E79" s="49"/>
      <c r="F79" s="44">
        <v>7</v>
      </c>
      <c r="G79" s="50" t="s">
        <v>243</v>
      </c>
      <c r="H79" s="51" t="s">
        <v>61</v>
      </c>
      <c r="I79" s="52"/>
      <c r="J79" s="130">
        <v>3100</v>
      </c>
      <c r="K79" s="53" t="s">
        <v>0</v>
      </c>
      <c r="L79" s="54" t="str">
        <f>IFERROR(VLOOKUP(VLOOKUP(N79,N79,1,1),Categories!$K$4:$V$17,2+VLOOKUP(K79,K79,1,1)),"-"  )</f>
        <v>-</v>
      </c>
      <c r="M79" s="54" t="str">
        <f>IFERROR(VLOOKUP(VLOOKUP(N79,N79,1,1),Categories!$K$3:$V$17,7+VLOOKUP(K79,K79,1,1)),"-")</f>
        <v>-</v>
      </c>
      <c r="N79" s="55" t="s">
        <v>0</v>
      </c>
      <c r="O79" s="195">
        <v>80</v>
      </c>
      <c r="P79" s="202">
        <f t="shared" si="5"/>
        <v>0</v>
      </c>
      <c r="Q79" s="149"/>
      <c r="R79" s="142"/>
      <c r="S79" s="142"/>
      <c r="T79" s="186"/>
      <c r="U79" s="145"/>
      <c r="V79" s="145"/>
      <c r="W79" s="146"/>
      <c r="X79" s="147"/>
      <c r="Y79" s="147"/>
      <c r="Z79" s="147"/>
      <c r="AA79" s="147"/>
      <c r="AB79" s="147"/>
      <c r="AC79" s="147"/>
      <c r="AD79" s="147"/>
      <c r="AE79" s="147"/>
      <c r="AF79" s="146"/>
      <c r="AG79" s="148"/>
      <c r="AH79" s="141"/>
      <c r="AI79" s="48"/>
      <c r="AJ79" s="56"/>
      <c r="AK79" s="56"/>
    </row>
    <row r="80" spans="1:37" ht="31.95" customHeight="1" x14ac:dyDescent="0.3">
      <c r="A80" s="12"/>
      <c r="B80" s="122"/>
      <c r="C80" s="49"/>
      <c r="D80" s="49">
        <f>IF(H80=Categories!$E$4,VLOOKUP(G80,Categories!$A$4:$C$13,3,1),VLOOKUP(H80,Categories!$E$4:$G$24,3,1))</f>
        <v>120</v>
      </c>
      <c r="E80" s="49"/>
      <c r="F80" s="44">
        <v>7</v>
      </c>
      <c r="G80" s="50" t="s">
        <v>44</v>
      </c>
      <c r="H80" s="45" t="s">
        <v>0</v>
      </c>
      <c r="I80" s="52"/>
      <c r="J80" s="130">
        <v>3100</v>
      </c>
      <c r="K80" s="53" t="s">
        <v>0</v>
      </c>
      <c r="L80" s="54" t="str">
        <f>IFERROR(VLOOKUP(VLOOKUP(N80,N80,1,1),Categories!$K$4:$V$17,2+VLOOKUP(K80,K80,1,1)),"-"  )</f>
        <v>-</v>
      </c>
      <c r="M80" s="54" t="str">
        <f>IFERROR(VLOOKUP(VLOOKUP(N80,N80,1,1),Categories!$K$3:$V$17,7+VLOOKUP(K80,K80,1,1)),"-")</f>
        <v>-</v>
      </c>
      <c r="N80" s="55" t="s">
        <v>0</v>
      </c>
      <c r="O80" s="193">
        <v>80</v>
      </c>
      <c r="P80" s="202">
        <f t="shared" si="5"/>
        <v>0</v>
      </c>
      <c r="Q80" s="149"/>
      <c r="R80" s="142"/>
      <c r="S80" s="142"/>
      <c r="T80" s="142"/>
      <c r="U80" s="145"/>
      <c r="V80" s="145"/>
      <c r="W80" s="146"/>
      <c r="X80" s="147"/>
      <c r="Y80" s="147"/>
      <c r="Z80" s="147"/>
      <c r="AA80" s="147"/>
      <c r="AB80" s="147"/>
      <c r="AC80" s="147"/>
      <c r="AD80" s="147"/>
      <c r="AE80" s="147"/>
      <c r="AF80" s="146"/>
      <c r="AG80" s="148"/>
      <c r="AH80" s="141"/>
      <c r="AI80" s="48"/>
      <c r="AJ80" s="56"/>
      <c r="AK80" s="56"/>
    </row>
    <row r="81" spans="1:37" ht="31.95" customHeight="1" x14ac:dyDescent="0.3">
      <c r="A81" s="12"/>
      <c r="B81" s="122"/>
      <c r="C81" s="49"/>
      <c r="D81" s="49">
        <f>IF(H81=Categories!$E$4,VLOOKUP(G81,Categories!$A$4:$C$13,3,1),VLOOKUP(H81,Categories!$E$4:$G$24,3,1))</f>
        <v>60</v>
      </c>
      <c r="E81" s="49"/>
      <c r="F81" s="44">
        <v>7</v>
      </c>
      <c r="G81" s="50" t="s">
        <v>243</v>
      </c>
      <c r="H81" s="51" t="s">
        <v>61</v>
      </c>
      <c r="I81" s="52"/>
      <c r="J81" s="130">
        <v>3100</v>
      </c>
      <c r="K81" s="53" t="s">
        <v>0</v>
      </c>
      <c r="L81" s="54" t="str">
        <f>IFERROR(VLOOKUP(VLOOKUP(N81,N81,1,1),Categories!$K$4:$V$17,2+VLOOKUP(K81,K81,1,1)),"-"  )</f>
        <v>-</v>
      </c>
      <c r="M81" s="54" t="str">
        <f>IFERROR(VLOOKUP(VLOOKUP(N81,N81,1,1),Categories!$K$3:$V$17,7+VLOOKUP(K81,K81,1,1)),"-")</f>
        <v>-</v>
      </c>
      <c r="N81" s="55" t="s">
        <v>0</v>
      </c>
      <c r="O81" s="195">
        <v>0</v>
      </c>
      <c r="P81" s="202">
        <f t="shared" si="5"/>
        <v>0</v>
      </c>
      <c r="Q81" s="149"/>
      <c r="R81" s="142"/>
      <c r="S81" s="142"/>
      <c r="T81" s="142"/>
      <c r="U81" s="145"/>
      <c r="V81" s="145"/>
      <c r="W81" s="146"/>
      <c r="X81" s="147"/>
      <c r="Y81" s="147"/>
      <c r="Z81" s="147"/>
      <c r="AA81" s="147"/>
      <c r="AB81" s="147"/>
      <c r="AC81" s="147"/>
      <c r="AD81" s="147"/>
      <c r="AE81" s="147"/>
      <c r="AF81" s="146"/>
      <c r="AG81" s="148"/>
      <c r="AH81" s="141"/>
      <c r="AI81" s="48"/>
      <c r="AJ81" s="56"/>
      <c r="AK81" s="56"/>
    </row>
    <row r="82" spans="1:37" ht="31.95" customHeight="1" x14ac:dyDescent="0.3">
      <c r="A82" s="12"/>
      <c r="B82" s="122"/>
      <c r="C82" s="49"/>
      <c r="D82" s="49">
        <f>IF(H82=Categories!$E$4,VLOOKUP(G82,Categories!$A$4:$C$13,3,1),VLOOKUP(H82,Categories!$E$4:$G$24,3,1))</f>
        <v>60</v>
      </c>
      <c r="E82" s="49"/>
      <c r="F82" s="44">
        <v>7</v>
      </c>
      <c r="G82" s="50" t="s">
        <v>245</v>
      </c>
      <c r="H82" s="51" t="s">
        <v>0</v>
      </c>
      <c r="I82" s="52"/>
      <c r="J82" s="130">
        <v>3100</v>
      </c>
      <c r="K82" s="53" t="s">
        <v>0</v>
      </c>
      <c r="L82" s="54" t="str">
        <f>IFERROR(VLOOKUP(VLOOKUP(N82,N82,1,1),Categories!$K$4:$V$17,2+VLOOKUP(K82,K82,1,1)),"-"  )</f>
        <v>-</v>
      </c>
      <c r="M82" s="54" t="str">
        <f>IFERROR(VLOOKUP(VLOOKUP(N82,N82,1,1),Categories!$K$3:$V$17,7+VLOOKUP(K82,K82,1,1)),"-")</f>
        <v>-</v>
      </c>
      <c r="N82" s="55" t="s">
        <v>0</v>
      </c>
      <c r="O82" s="193">
        <v>0</v>
      </c>
      <c r="P82" s="202">
        <f t="shared" si="5"/>
        <v>0</v>
      </c>
      <c r="Q82" s="149"/>
      <c r="R82" s="142"/>
      <c r="S82" s="142"/>
      <c r="T82" s="142"/>
      <c r="U82" s="145"/>
      <c r="V82" s="145"/>
      <c r="W82" s="146"/>
      <c r="X82" s="147"/>
      <c r="Y82" s="147"/>
      <c r="Z82" s="147"/>
      <c r="AA82" s="147"/>
      <c r="AB82" s="147"/>
      <c r="AC82" s="147"/>
      <c r="AD82" s="147"/>
      <c r="AE82" s="147"/>
      <c r="AF82" s="146"/>
      <c r="AG82" s="148"/>
      <c r="AH82" s="141"/>
      <c r="AI82" s="48"/>
      <c r="AJ82" s="56"/>
      <c r="AK82" s="56"/>
    </row>
    <row r="83" spans="1:37" ht="31.95" customHeight="1" x14ac:dyDescent="0.3">
      <c r="A83" s="183"/>
      <c r="B83" s="184"/>
      <c r="C83" s="49"/>
      <c r="D83" s="49">
        <f>IF(H83=Categories!$E$4,VLOOKUP(G83,Categories!$A$4:$C$13,3,1),VLOOKUP(H83,Categories!$E$4:$G$24,3,1))</f>
        <v>60</v>
      </c>
      <c r="E83" s="49"/>
      <c r="F83" s="44">
        <v>8</v>
      </c>
      <c r="G83" s="50" t="s">
        <v>243</v>
      </c>
      <c r="H83" s="51" t="s">
        <v>60</v>
      </c>
      <c r="I83" s="52"/>
      <c r="J83" s="130">
        <v>3100</v>
      </c>
      <c r="K83" s="53" t="s">
        <v>0</v>
      </c>
      <c r="L83" s="54" t="str">
        <f>IFERROR(VLOOKUP(VLOOKUP(N83,N83,1,1),Categories!$K$4:$V$17,2+VLOOKUP(K83,K83,1,1)),"-"  )</f>
        <v>-</v>
      </c>
      <c r="M83" s="54" t="str">
        <f>IFERROR(VLOOKUP(VLOOKUP(N83,N83,1,1),Categories!$K$3:$V$17,7+VLOOKUP(K83,K83,1,1)),"-")</f>
        <v>-</v>
      </c>
      <c r="N83" s="55" t="s">
        <v>0</v>
      </c>
      <c r="O83" s="195">
        <v>20</v>
      </c>
      <c r="P83" s="202">
        <f t="shared" si="5"/>
        <v>0</v>
      </c>
      <c r="Q83" s="185"/>
      <c r="R83" s="186"/>
      <c r="S83" s="186"/>
      <c r="T83" s="142"/>
      <c r="U83" s="187"/>
      <c r="V83" s="187"/>
      <c r="W83" s="188"/>
      <c r="X83" s="189"/>
      <c r="Y83" s="189"/>
      <c r="Z83" s="189"/>
      <c r="AA83" s="189"/>
      <c r="AB83" s="189"/>
      <c r="AC83" s="189"/>
      <c r="AD83" s="189"/>
      <c r="AE83" s="189"/>
      <c r="AF83" s="188"/>
      <c r="AG83" s="190"/>
      <c r="AH83" s="141"/>
      <c r="AI83" s="56"/>
      <c r="AJ83" s="56"/>
      <c r="AK83" s="56"/>
    </row>
    <row r="84" spans="1:37" ht="31.95" customHeight="1" x14ac:dyDescent="0.3">
      <c r="A84" s="12"/>
      <c r="B84" s="122"/>
      <c r="C84" s="49"/>
      <c r="D84" s="49">
        <f>IF(H84=Categories!$E$4,VLOOKUP(G84,Categories!$A$4:$C$13,3,1),VLOOKUP(H84,Categories!$E$4:$G$24,3,1))</f>
        <v>120</v>
      </c>
      <c r="E84" s="49"/>
      <c r="F84" s="44">
        <v>8</v>
      </c>
      <c r="G84" s="50" t="s">
        <v>44</v>
      </c>
      <c r="H84" s="45" t="s">
        <v>0</v>
      </c>
      <c r="I84" s="52"/>
      <c r="J84" s="130">
        <v>3100</v>
      </c>
      <c r="K84" s="53" t="s">
        <v>0</v>
      </c>
      <c r="L84" s="54" t="str">
        <f>IFERROR(VLOOKUP(VLOOKUP(N84,N84,1,1),Categories!$K$4:$V$17,2+VLOOKUP(K84,K84,1,1)),"-"  )</f>
        <v>-</v>
      </c>
      <c r="M84" s="54" t="str">
        <f>IFERROR(VLOOKUP(VLOOKUP(N84,N84,1,1),Categories!$K$3:$V$17,7+VLOOKUP(K84,K84,1,1)),"-")</f>
        <v>-</v>
      </c>
      <c r="N84" s="55" t="s">
        <v>0</v>
      </c>
      <c r="O84" s="193">
        <v>20</v>
      </c>
      <c r="P84" s="202">
        <f t="shared" si="5"/>
        <v>0</v>
      </c>
      <c r="Q84" s="149"/>
      <c r="R84" s="142"/>
      <c r="S84" s="142"/>
      <c r="T84" s="142"/>
      <c r="U84" s="145"/>
      <c r="V84" s="145"/>
      <c r="W84" s="146"/>
      <c r="X84" s="147"/>
      <c r="Y84" s="147"/>
      <c r="Z84" s="147"/>
      <c r="AA84" s="147"/>
      <c r="AB84" s="147"/>
      <c r="AC84" s="147"/>
      <c r="AD84" s="147"/>
      <c r="AE84" s="147"/>
      <c r="AF84" s="146"/>
      <c r="AG84" s="148"/>
      <c r="AH84" s="141"/>
      <c r="AI84" s="48"/>
      <c r="AJ84" s="56"/>
      <c r="AK84" s="56"/>
    </row>
    <row r="85" spans="1:37" ht="31.95" customHeight="1" x14ac:dyDescent="0.3">
      <c r="A85" s="12"/>
      <c r="B85" s="122"/>
      <c r="C85" s="49"/>
      <c r="D85" s="49">
        <f>IF(H85=Categories!$E$4,VLOOKUP(G85,Categories!$A$4:$C$13,3,1),VLOOKUP(H85,Categories!$E$4:$G$24,3,1))</f>
        <v>60</v>
      </c>
      <c r="E85" s="49"/>
      <c r="F85" s="44">
        <v>8</v>
      </c>
      <c r="G85" s="50" t="s">
        <v>243</v>
      </c>
      <c r="H85" s="51" t="s">
        <v>60</v>
      </c>
      <c r="I85" s="52"/>
      <c r="J85" s="130">
        <v>3100</v>
      </c>
      <c r="K85" s="53" t="s">
        <v>0</v>
      </c>
      <c r="L85" s="54" t="str">
        <f>IFERROR(VLOOKUP(VLOOKUP(N85,N85,1,1),Categories!$K$4:$V$17,2+VLOOKUP(K85,K85,1,1)),"-"  )</f>
        <v>-</v>
      </c>
      <c r="M85" s="54" t="str">
        <f>IFERROR(VLOOKUP(VLOOKUP(N85,N85,1,1),Categories!$K$3:$V$17,7+VLOOKUP(K85,K85,1,1)),"-")</f>
        <v>-</v>
      </c>
      <c r="N85" s="55" t="s">
        <v>0</v>
      </c>
      <c r="O85" s="195">
        <v>40</v>
      </c>
      <c r="P85" s="202">
        <f t="shared" si="5"/>
        <v>0</v>
      </c>
      <c r="Q85" s="149"/>
      <c r="R85" s="142"/>
      <c r="S85" s="142"/>
      <c r="T85" s="142"/>
      <c r="U85" s="145"/>
      <c r="V85" s="145"/>
      <c r="W85" s="146"/>
      <c r="X85" s="147"/>
      <c r="Y85" s="147"/>
      <c r="Z85" s="147"/>
      <c r="AA85" s="147"/>
      <c r="AB85" s="147"/>
      <c r="AC85" s="147"/>
      <c r="AD85" s="147"/>
      <c r="AE85" s="147"/>
      <c r="AF85" s="146"/>
      <c r="AG85" s="148"/>
      <c r="AH85" s="141"/>
      <c r="AI85" s="48"/>
      <c r="AJ85" s="56"/>
      <c r="AK85" s="56"/>
    </row>
    <row r="86" spans="1:37" ht="31.95" customHeight="1" x14ac:dyDescent="0.3">
      <c r="A86" s="12"/>
      <c r="B86" s="122"/>
      <c r="C86" s="49"/>
      <c r="D86" s="49">
        <f>IF(H86=Categories!$E$4,VLOOKUP(G86,Categories!$A$4:$C$13,3,1),VLOOKUP(H86,Categories!$E$4:$G$24,3,1))</f>
        <v>120</v>
      </c>
      <c r="E86" s="49"/>
      <c r="F86" s="44">
        <v>8</v>
      </c>
      <c r="G86" s="50" t="s">
        <v>44</v>
      </c>
      <c r="H86" s="45" t="s">
        <v>0</v>
      </c>
      <c r="I86" s="52"/>
      <c r="J86" s="130">
        <v>3100</v>
      </c>
      <c r="K86" s="53" t="s">
        <v>0</v>
      </c>
      <c r="L86" s="54" t="str">
        <f>IFERROR(VLOOKUP(VLOOKUP(N86,N86,1,1),Categories!$K$4:$V$17,2+VLOOKUP(K86,K86,1,1)),"-"  )</f>
        <v>-</v>
      </c>
      <c r="M86" s="54" t="str">
        <f>IFERROR(VLOOKUP(VLOOKUP(N86,N86,1,1),Categories!$K$3:$V$17,7+VLOOKUP(K86,K86,1,1)),"-")</f>
        <v>-</v>
      </c>
      <c r="N86" s="55" t="s">
        <v>0</v>
      </c>
      <c r="O86" s="193">
        <v>40</v>
      </c>
      <c r="P86" s="202">
        <f t="shared" si="5"/>
        <v>0</v>
      </c>
      <c r="Q86" s="149"/>
      <c r="R86" s="142"/>
      <c r="S86" s="142"/>
      <c r="T86" s="142"/>
      <c r="U86" s="145"/>
      <c r="V86" s="145"/>
      <c r="W86" s="146"/>
      <c r="X86" s="147"/>
      <c r="Y86" s="147"/>
      <c r="Z86" s="147"/>
      <c r="AA86" s="147"/>
      <c r="AB86" s="147"/>
      <c r="AC86" s="147"/>
      <c r="AD86" s="147"/>
      <c r="AE86" s="147"/>
      <c r="AF86" s="146"/>
      <c r="AG86" s="148"/>
      <c r="AH86" s="141"/>
      <c r="AI86" s="48"/>
      <c r="AJ86" s="56"/>
      <c r="AK86" s="56"/>
    </row>
    <row r="87" spans="1:37" ht="31.95" customHeight="1" x14ac:dyDescent="0.3">
      <c r="A87" s="12"/>
      <c r="B87" s="122"/>
      <c r="C87" s="49"/>
      <c r="D87" s="49">
        <f>IF(H87=Categories!$E$4,VLOOKUP(G87,Categories!$A$4:$C$13,3,1),VLOOKUP(H87,Categories!$E$4:$G$24,3,1))</f>
        <v>60</v>
      </c>
      <c r="E87" s="49"/>
      <c r="F87" s="44">
        <v>8</v>
      </c>
      <c r="G87" s="50" t="s">
        <v>243</v>
      </c>
      <c r="H87" s="51" t="s">
        <v>60</v>
      </c>
      <c r="I87" s="52"/>
      <c r="J87" s="130">
        <v>3100</v>
      </c>
      <c r="K87" s="53" t="s">
        <v>0</v>
      </c>
      <c r="L87" s="54" t="str">
        <f>IFERROR(VLOOKUP(VLOOKUP(N87,N87,1,1),Categories!$K$4:$V$17,2+VLOOKUP(K87,K87,1,1)),"-"  )</f>
        <v>-</v>
      </c>
      <c r="M87" s="54" t="str">
        <f>IFERROR(VLOOKUP(VLOOKUP(N87,N87,1,1),Categories!$K$3:$V$17,7+VLOOKUP(K87,K87,1,1)),"-")</f>
        <v>-</v>
      </c>
      <c r="N87" s="55" t="s">
        <v>0</v>
      </c>
      <c r="O87" s="195">
        <v>60</v>
      </c>
      <c r="P87" s="202">
        <f t="shared" si="5"/>
        <v>0</v>
      </c>
      <c r="Q87" s="149"/>
      <c r="R87" s="142"/>
      <c r="S87" s="142"/>
      <c r="T87" s="142"/>
      <c r="U87" s="145"/>
      <c r="V87" s="145"/>
      <c r="W87" s="146"/>
      <c r="X87" s="147"/>
      <c r="Y87" s="147"/>
      <c r="Z87" s="147"/>
      <c r="AA87" s="147"/>
      <c r="AB87" s="147"/>
      <c r="AC87" s="147"/>
      <c r="AD87" s="147"/>
      <c r="AE87" s="147"/>
      <c r="AF87" s="146"/>
      <c r="AG87" s="148"/>
      <c r="AH87" s="141"/>
      <c r="AI87" s="48"/>
      <c r="AJ87" s="56"/>
      <c r="AK87" s="56"/>
    </row>
    <row r="88" spans="1:37" ht="31.95" customHeight="1" x14ac:dyDescent="0.3">
      <c r="A88" s="12"/>
      <c r="B88" s="122"/>
      <c r="C88" s="49"/>
      <c r="D88" s="49">
        <f>IF(H88=Categories!$E$4,VLOOKUP(G88,Categories!$A$4:$C$13,3,1),VLOOKUP(H88,Categories!$E$4:$G$24,3,1))</f>
        <v>120</v>
      </c>
      <c r="E88" s="49"/>
      <c r="F88" s="44">
        <v>8</v>
      </c>
      <c r="G88" s="50" t="s">
        <v>44</v>
      </c>
      <c r="H88" s="45" t="s">
        <v>0</v>
      </c>
      <c r="I88" s="52"/>
      <c r="J88" s="130">
        <v>3100</v>
      </c>
      <c r="K88" s="53" t="s">
        <v>0</v>
      </c>
      <c r="L88" s="54" t="str">
        <f>IFERROR(VLOOKUP(VLOOKUP(N88,N88,1,1),Categories!$K$4:$V$17,2+VLOOKUP(K88,K88,1,1)),"-"  )</f>
        <v>-</v>
      </c>
      <c r="M88" s="54" t="str">
        <f>IFERROR(VLOOKUP(VLOOKUP(N88,N88,1,1),Categories!$K$3:$V$17,7+VLOOKUP(K88,K88,1,1)),"-")</f>
        <v>-</v>
      </c>
      <c r="N88" s="55" t="s">
        <v>0</v>
      </c>
      <c r="O88" s="193">
        <v>60</v>
      </c>
      <c r="P88" s="202">
        <f t="shared" si="5"/>
        <v>0</v>
      </c>
      <c r="Q88" s="149"/>
      <c r="R88" s="142"/>
      <c r="S88" s="142"/>
      <c r="T88" s="142"/>
      <c r="U88" s="145"/>
      <c r="V88" s="145"/>
      <c r="W88" s="146"/>
      <c r="X88" s="147"/>
      <c r="Y88" s="147"/>
      <c r="Z88" s="147"/>
      <c r="AA88" s="147"/>
      <c r="AB88" s="147"/>
      <c r="AC88" s="147"/>
      <c r="AD88" s="147"/>
      <c r="AE88" s="147"/>
      <c r="AF88" s="146"/>
      <c r="AG88" s="148"/>
      <c r="AH88" s="141"/>
      <c r="AI88" s="48"/>
      <c r="AJ88" s="56"/>
      <c r="AK88" s="56"/>
    </row>
    <row r="89" spans="1:37" ht="31.95" customHeight="1" x14ac:dyDescent="0.3">
      <c r="A89" s="12"/>
      <c r="B89" s="122"/>
      <c r="C89" s="49"/>
      <c r="D89" s="49">
        <f>IF(H89=Categories!$E$4,VLOOKUP(G89,Categories!$A$4:$C$13,3,1),VLOOKUP(H89,Categories!$E$4:$G$24,3,1))</f>
        <v>60</v>
      </c>
      <c r="E89" s="49"/>
      <c r="F89" s="44">
        <v>8</v>
      </c>
      <c r="G89" s="50" t="s">
        <v>243</v>
      </c>
      <c r="H89" s="51" t="s">
        <v>60</v>
      </c>
      <c r="I89" s="52"/>
      <c r="J89" s="130">
        <v>3100</v>
      </c>
      <c r="K89" s="53" t="s">
        <v>0</v>
      </c>
      <c r="L89" s="54" t="str">
        <f>IFERROR(VLOOKUP(VLOOKUP(N89,N89,1,1),Categories!$K$4:$V$17,2+VLOOKUP(K89,K89,1,1)),"-"  )</f>
        <v>-</v>
      </c>
      <c r="M89" s="54" t="str">
        <f>IFERROR(VLOOKUP(VLOOKUP(N89,N89,1,1),Categories!$K$3:$V$17,7+VLOOKUP(K89,K89,1,1)),"-")</f>
        <v>-</v>
      </c>
      <c r="N89" s="55" t="s">
        <v>0</v>
      </c>
      <c r="O89" s="195">
        <v>80</v>
      </c>
      <c r="P89" s="202">
        <f t="shared" si="5"/>
        <v>0</v>
      </c>
      <c r="Q89" s="149"/>
      <c r="R89" s="142"/>
      <c r="S89" s="142"/>
      <c r="T89" s="186"/>
      <c r="U89" s="145"/>
      <c r="V89" s="145"/>
      <c r="W89" s="146"/>
      <c r="X89" s="147"/>
      <c r="Y89" s="147"/>
      <c r="Z89" s="147"/>
      <c r="AA89" s="147"/>
      <c r="AB89" s="147"/>
      <c r="AC89" s="147"/>
      <c r="AD89" s="147"/>
      <c r="AE89" s="147"/>
      <c r="AF89" s="146"/>
      <c r="AG89" s="148"/>
      <c r="AH89" s="141"/>
      <c r="AI89" s="48"/>
      <c r="AJ89" s="56"/>
      <c r="AK89" s="56"/>
    </row>
    <row r="90" spans="1:37" ht="31.95" customHeight="1" x14ac:dyDescent="0.3">
      <c r="A90" s="12"/>
      <c r="B90" s="122"/>
      <c r="C90" s="49"/>
      <c r="D90" s="49">
        <f>IF(H90=Categories!$E$4,VLOOKUP(G90,Categories!$A$4:$C$13,3,1),VLOOKUP(H90,Categories!$E$4:$G$24,3,1))</f>
        <v>120</v>
      </c>
      <c r="E90" s="49"/>
      <c r="F90" s="44">
        <v>8</v>
      </c>
      <c r="G90" s="50" t="s">
        <v>44</v>
      </c>
      <c r="H90" s="45" t="s">
        <v>0</v>
      </c>
      <c r="I90" s="52"/>
      <c r="J90" s="130">
        <v>3100</v>
      </c>
      <c r="K90" s="53" t="s">
        <v>0</v>
      </c>
      <c r="L90" s="54" t="str">
        <f>IFERROR(VLOOKUP(VLOOKUP(N90,N90,1,1),Categories!$K$4:$V$17,2+VLOOKUP(K90,K90,1,1)),"-"  )</f>
        <v>-</v>
      </c>
      <c r="M90" s="54" t="str">
        <f>IFERROR(VLOOKUP(VLOOKUP(N90,N90,1,1),Categories!$K$3:$V$17,7+VLOOKUP(K90,K90,1,1)),"-")</f>
        <v>-</v>
      </c>
      <c r="N90" s="55" t="s">
        <v>0</v>
      </c>
      <c r="O90" s="193">
        <v>80</v>
      </c>
      <c r="P90" s="202">
        <f t="shared" si="5"/>
        <v>0</v>
      </c>
      <c r="Q90" s="149"/>
      <c r="R90" s="142"/>
      <c r="S90" s="142"/>
      <c r="T90" s="186"/>
      <c r="U90" s="145"/>
      <c r="V90" s="145"/>
      <c r="W90" s="146"/>
      <c r="X90" s="147"/>
      <c r="Y90" s="147"/>
      <c r="Z90" s="147"/>
      <c r="AA90" s="147"/>
      <c r="AB90" s="147"/>
      <c r="AC90" s="147"/>
      <c r="AD90" s="147"/>
      <c r="AE90" s="147"/>
      <c r="AF90" s="146"/>
      <c r="AG90" s="148"/>
      <c r="AH90" s="141"/>
      <c r="AI90" s="48"/>
      <c r="AJ90" s="56"/>
      <c r="AK90" s="56"/>
    </row>
    <row r="91" spans="1:37" ht="31.95" customHeight="1" x14ac:dyDescent="0.3">
      <c r="A91" s="12"/>
      <c r="B91" s="122"/>
      <c r="C91" s="49"/>
      <c r="D91" s="49">
        <f>IF(H91=Categories!$E$4,VLOOKUP(G91,Categories!$A$4:$C$13,3,1),VLOOKUP(H91,Categories!$E$4:$G$24,3,1))</f>
        <v>60</v>
      </c>
      <c r="E91" s="49"/>
      <c r="F91" s="44">
        <v>8</v>
      </c>
      <c r="G91" s="50" t="s">
        <v>243</v>
      </c>
      <c r="H91" s="51" t="s">
        <v>60</v>
      </c>
      <c r="I91" s="52"/>
      <c r="J91" s="130">
        <v>3100</v>
      </c>
      <c r="K91" s="53" t="s">
        <v>0</v>
      </c>
      <c r="L91" s="54" t="str">
        <f>IFERROR(VLOOKUP(VLOOKUP(N91,N91,1,1),Categories!$K$4:$V$17,2+VLOOKUP(K91,K91,1,1)),"-"  )</f>
        <v>-</v>
      </c>
      <c r="M91" s="54" t="str">
        <f>IFERROR(VLOOKUP(VLOOKUP(N91,N91,1,1),Categories!$K$3:$V$17,7+VLOOKUP(K91,K91,1,1)),"-")</f>
        <v>-</v>
      </c>
      <c r="N91" s="55" t="s">
        <v>0</v>
      </c>
      <c r="O91" s="195">
        <v>0</v>
      </c>
      <c r="P91" s="202">
        <f t="shared" si="5"/>
        <v>0</v>
      </c>
      <c r="Q91" s="149"/>
      <c r="R91" s="142"/>
      <c r="S91" s="142"/>
      <c r="T91" s="186"/>
      <c r="U91" s="145"/>
      <c r="V91" s="145"/>
      <c r="W91" s="146"/>
      <c r="X91" s="147"/>
      <c r="Y91" s="147"/>
      <c r="Z91" s="147"/>
      <c r="AA91" s="147"/>
      <c r="AB91" s="147"/>
      <c r="AC91" s="147"/>
      <c r="AD91" s="147"/>
      <c r="AE91" s="147"/>
      <c r="AF91" s="146"/>
      <c r="AG91" s="148"/>
      <c r="AH91" s="141"/>
      <c r="AI91" s="48"/>
      <c r="AJ91" s="56"/>
      <c r="AK91" s="56"/>
    </row>
    <row r="92" spans="1:37" ht="31.95" customHeight="1" x14ac:dyDescent="0.3">
      <c r="A92" s="12"/>
      <c r="B92" s="122"/>
      <c r="C92" s="49"/>
      <c r="D92" s="49">
        <f>IF(H92=Categories!$E$4,VLOOKUP(G92,Categories!$A$4:$C$13,3,1),VLOOKUP(H92,Categories!$E$4:$G$24,3,1))</f>
        <v>60</v>
      </c>
      <c r="E92" s="49"/>
      <c r="F92" s="44">
        <v>8</v>
      </c>
      <c r="G92" s="50" t="s">
        <v>245</v>
      </c>
      <c r="H92" s="51" t="s">
        <v>0</v>
      </c>
      <c r="I92" s="52"/>
      <c r="J92" s="130">
        <v>3100</v>
      </c>
      <c r="K92" s="53" t="s">
        <v>0</v>
      </c>
      <c r="L92" s="54" t="str">
        <f>IFERROR(VLOOKUP(VLOOKUP(N92,N92,1,1),Categories!$K$4:$V$17,2+VLOOKUP(K92,K92,1,1)),"-"  )</f>
        <v>-</v>
      </c>
      <c r="M92" s="54" t="str">
        <f>IFERROR(VLOOKUP(VLOOKUP(N92,N92,1,1),Categories!$K$3:$V$17,7+VLOOKUP(K92,K92,1,1)),"-")</f>
        <v>-</v>
      </c>
      <c r="N92" s="55" t="s">
        <v>0</v>
      </c>
      <c r="O92" s="193">
        <v>0</v>
      </c>
      <c r="P92" s="202">
        <f t="shared" si="5"/>
        <v>0</v>
      </c>
      <c r="Q92" s="149"/>
      <c r="R92" s="142"/>
      <c r="S92" s="142"/>
      <c r="T92" s="186"/>
      <c r="U92" s="145"/>
      <c r="V92" s="145"/>
      <c r="W92" s="146"/>
      <c r="X92" s="147"/>
      <c r="Y92" s="147"/>
      <c r="Z92" s="147"/>
      <c r="AA92" s="147"/>
      <c r="AB92" s="147"/>
      <c r="AC92" s="147"/>
      <c r="AD92" s="147"/>
      <c r="AE92" s="147"/>
      <c r="AF92" s="146"/>
      <c r="AG92" s="148"/>
      <c r="AH92" s="141"/>
      <c r="AI92" s="48"/>
      <c r="AJ92" s="56"/>
      <c r="AK92" s="56"/>
    </row>
    <row r="93" spans="1:37" ht="31.95" customHeight="1" x14ac:dyDescent="0.3">
      <c r="A93" s="183"/>
      <c r="B93" s="184"/>
      <c r="C93" s="49"/>
      <c r="D93" s="49" t="str">
        <f>IF(H93=Categories!$E$4,VLOOKUP(G93,Categories!$A$4:$C$13,3,1),VLOOKUP(H93,Categories!$E$4:$G$24,3,1))</f>
        <v>-</v>
      </c>
      <c r="E93" s="49"/>
      <c r="F93" s="44" t="s">
        <v>0</v>
      </c>
      <c r="G93" s="50" t="s">
        <v>3</v>
      </c>
      <c r="H93" s="51" t="s">
        <v>0</v>
      </c>
      <c r="I93" s="52"/>
      <c r="J93" s="130">
        <v>3100</v>
      </c>
      <c r="K93" s="53" t="s">
        <v>0</v>
      </c>
      <c r="L93" s="54" t="str">
        <f>IFERROR(VLOOKUP(VLOOKUP(N93,N93,1,1),Categories!$K$4:$V$17,2+VLOOKUP(K93,K93,1,1)),"-"  )</f>
        <v>-</v>
      </c>
      <c r="M93" s="54" t="str">
        <f>IFERROR(VLOOKUP(VLOOKUP(N93,N93,1,1),Categories!$K$3:$V$17,7+VLOOKUP(K93,K93,1,1)),"-")</f>
        <v>-</v>
      </c>
      <c r="N93" s="55" t="s">
        <v>0</v>
      </c>
      <c r="O93" s="193" t="s">
        <v>0</v>
      </c>
      <c r="P93" s="202" t="s">
        <v>0</v>
      </c>
      <c r="Q93" s="185"/>
      <c r="R93" s="186"/>
      <c r="S93" s="186"/>
      <c r="T93" s="186"/>
      <c r="U93" s="187"/>
      <c r="V93" s="187"/>
      <c r="W93" s="188"/>
      <c r="X93" s="189"/>
      <c r="Y93" s="189"/>
      <c r="Z93" s="189"/>
      <c r="AA93" s="189"/>
      <c r="AB93" s="189"/>
      <c r="AC93" s="189"/>
      <c r="AD93" s="189"/>
      <c r="AE93" s="189"/>
      <c r="AF93" s="188"/>
      <c r="AG93" s="190"/>
      <c r="AH93" s="141"/>
      <c r="AI93" s="56"/>
      <c r="AJ93" s="56"/>
      <c r="AK93" s="56"/>
    </row>
    <row r="94" spans="1:37" ht="31.95" customHeight="1" x14ac:dyDescent="0.3">
      <c r="A94" s="183"/>
      <c r="B94" s="184"/>
      <c r="C94" s="49"/>
      <c r="D94" s="49">
        <f>IF(H94=Categories!$E$4,VLOOKUP(G94,Categories!$A$4:$C$13,3,1),VLOOKUP(H94,Categories!$E$4:$G$24,3,1))</f>
        <v>120</v>
      </c>
      <c r="E94" s="49"/>
      <c r="F94" s="44">
        <v>9</v>
      </c>
      <c r="G94" s="50" t="s">
        <v>1</v>
      </c>
      <c r="H94" s="51" t="s">
        <v>0</v>
      </c>
      <c r="I94" s="52"/>
      <c r="J94" s="130">
        <v>3100</v>
      </c>
      <c r="K94" s="53" t="s">
        <v>0</v>
      </c>
      <c r="L94" s="54" t="str">
        <f>IFERROR(VLOOKUP(VLOOKUP(N94,N94,1,1),Categories!$K$4:$V$17,2+VLOOKUP(K94,K94,1,1)),"-"  )</f>
        <v>-</v>
      </c>
      <c r="M94" s="54" t="str">
        <f>IFERROR(VLOOKUP(VLOOKUP(N94,N94,1,1),Categories!$K$3:$V$17,7+VLOOKUP(K94,K94,1,1)),"-")</f>
        <v>-</v>
      </c>
      <c r="N94" s="55" t="s">
        <v>0</v>
      </c>
      <c r="O94" s="193" t="s">
        <v>0</v>
      </c>
      <c r="P94" s="202" t="s">
        <v>0</v>
      </c>
      <c r="Q94" s="185"/>
      <c r="R94" s="186"/>
      <c r="S94" s="186"/>
      <c r="T94" s="186"/>
      <c r="U94" s="187"/>
      <c r="V94" s="187"/>
      <c r="W94" s="188"/>
      <c r="X94" s="189"/>
      <c r="Y94" s="189"/>
      <c r="Z94" s="189"/>
      <c r="AA94" s="189"/>
      <c r="AB94" s="189"/>
      <c r="AC94" s="189"/>
      <c r="AD94" s="189"/>
      <c r="AE94" s="189"/>
      <c r="AF94" s="188"/>
      <c r="AG94" s="190"/>
      <c r="AH94" s="141"/>
      <c r="AI94" s="56"/>
      <c r="AJ94" s="56"/>
      <c r="AK94" s="56"/>
    </row>
    <row r="95" spans="1:37" ht="31.95" customHeight="1" x14ac:dyDescent="0.3">
      <c r="A95" s="183"/>
      <c r="B95" s="184"/>
      <c r="C95" s="49"/>
      <c r="D95" s="49">
        <f>IF(H95=Categories!$E$4,VLOOKUP(G95,Categories!$A$4:$C$13,3,1),VLOOKUP(H95,Categories!$E$4:$G$24,3,1))</f>
        <v>45</v>
      </c>
      <c r="E95" s="49"/>
      <c r="F95" s="44">
        <v>9</v>
      </c>
      <c r="G95" s="50" t="s">
        <v>243</v>
      </c>
      <c r="H95" s="51" t="s">
        <v>2</v>
      </c>
      <c r="I95" s="52"/>
      <c r="J95" s="130">
        <v>2800</v>
      </c>
      <c r="K95" s="53" t="s">
        <v>0</v>
      </c>
      <c r="L95" s="54" t="str">
        <f>IFERROR(VLOOKUP(VLOOKUP(N95,N95,1,1),Categories!$K$4:$V$17,2+VLOOKUP(K95,K95,1,1)),"-"  )</f>
        <v>-</v>
      </c>
      <c r="M95" s="54" t="str">
        <f>IFERROR(VLOOKUP(VLOOKUP(N95,N95,1,1),Categories!$K$3:$V$17,7+VLOOKUP(K95,K95,1,1)),"-")</f>
        <v>-</v>
      </c>
      <c r="N95" s="55" t="s">
        <v>0</v>
      </c>
      <c r="O95" s="193" t="s">
        <v>0</v>
      </c>
      <c r="P95" s="202" t="s">
        <v>0</v>
      </c>
      <c r="Q95" s="185"/>
      <c r="R95" s="186"/>
      <c r="S95" s="186"/>
      <c r="T95" s="186"/>
      <c r="U95" s="187"/>
      <c r="V95" s="187"/>
      <c r="W95" s="188"/>
      <c r="X95" s="189"/>
      <c r="Y95" s="189"/>
      <c r="Z95" s="189"/>
      <c r="AA95" s="189"/>
      <c r="AB95" s="189"/>
      <c r="AC95" s="189"/>
      <c r="AD95" s="189"/>
      <c r="AE95" s="189"/>
      <c r="AF95" s="188"/>
      <c r="AG95" s="190"/>
      <c r="AH95" s="141"/>
      <c r="AI95" s="56"/>
      <c r="AJ95" s="56"/>
      <c r="AK95" s="56"/>
    </row>
    <row r="96" spans="1:37" ht="31.95" customHeight="1" x14ac:dyDescent="0.3">
      <c r="A96" s="183"/>
      <c r="B96" s="184"/>
      <c r="C96" s="49"/>
      <c r="D96" s="49">
        <f>IF(H96=Categories!$E$4,VLOOKUP(G96,Categories!$A$4:$C$13,3,1),VLOOKUP(H96,Categories!$E$4:$G$24,3,1))</f>
        <v>120</v>
      </c>
      <c r="E96" s="49"/>
      <c r="F96" s="44">
        <v>9</v>
      </c>
      <c r="G96" s="50" t="s">
        <v>1</v>
      </c>
      <c r="H96" s="51" t="s">
        <v>0</v>
      </c>
      <c r="I96" s="52"/>
      <c r="J96" s="130">
        <v>2800</v>
      </c>
      <c r="K96" s="53" t="s">
        <v>0</v>
      </c>
      <c r="L96" s="54" t="str">
        <f>IFERROR(VLOOKUP(VLOOKUP(N96,N96,1,1),Categories!$K$4:$V$17,2+VLOOKUP(K96,K96,1,1)),"-"  )</f>
        <v>-</v>
      </c>
      <c r="M96" s="54" t="str">
        <f>IFERROR(VLOOKUP(VLOOKUP(N96,N96,1,1),Categories!$K$3:$V$17,7+VLOOKUP(K96,K96,1,1)),"-")</f>
        <v>-</v>
      </c>
      <c r="N96" s="55" t="s">
        <v>0</v>
      </c>
      <c r="O96" s="193" t="s">
        <v>0</v>
      </c>
      <c r="P96" s="202" t="s">
        <v>0</v>
      </c>
      <c r="Q96" s="185"/>
      <c r="R96" s="186"/>
      <c r="S96" s="186"/>
      <c r="T96" s="186"/>
      <c r="U96" s="187"/>
      <c r="V96" s="187"/>
      <c r="W96" s="188"/>
      <c r="X96" s="189"/>
      <c r="Y96" s="189"/>
      <c r="Z96" s="189"/>
      <c r="AA96" s="189"/>
      <c r="AB96" s="189"/>
      <c r="AC96" s="189"/>
      <c r="AD96" s="189"/>
      <c r="AE96" s="189"/>
      <c r="AF96" s="188"/>
      <c r="AG96" s="190"/>
      <c r="AH96" s="141"/>
      <c r="AI96" s="56"/>
      <c r="AJ96" s="56"/>
      <c r="AK96" s="56"/>
    </row>
    <row r="97" spans="1:37" ht="31.95" customHeight="1" x14ac:dyDescent="0.3">
      <c r="A97" s="183"/>
      <c r="B97" s="184"/>
      <c r="C97" s="49"/>
      <c r="D97" s="49">
        <f>IF(H97=Categories!$E$4,VLOOKUP(G97,Categories!$A$4:$C$13,3,1),VLOOKUP(H97,Categories!$E$4:$G$24,3,1))</f>
        <v>45</v>
      </c>
      <c r="E97" s="49"/>
      <c r="F97" s="44">
        <v>9</v>
      </c>
      <c r="G97" s="50" t="s">
        <v>243</v>
      </c>
      <c r="H97" s="51" t="s">
        <v>2</v>
      </c>
      <c r="I97" s="52"/>
      <c r="J97" s="130">
        <v>2500</v>
      </c>
      <c r="K97" s="53" t="s">
        <v>0</v>
      </c>
      <c r="L97" s="54" t="str">
        <f>IFERROR(VLOOKUP(VLOOKUP(N97,N97,1,1),Categories!$K$4:$V$17,2+VLOOKUP(K97,K97,1,1)),"-"  )</f>
        <v>-</v>
      </c>
      <c r="M97" s="54" t="str">
        <f>IFERROR(VLOOKUP(VLOOKUP(N97,N97,1,1),Categories!$K$3:$V$17,7+VLOOKUP(K97,K97,1,1)),"-")</f>
        <v>-</v>
      </c>
      <c r="N97" s="55" t="s">
        <v>0</v>
      </c>
      <c r="O97" s="193" t="s">
        <v>0</v>
      </c>
      <c r="P97" s="202" t="s">
        <v>0</v>
      </c>
      <c r="Q97" s="185"/>
      <c r="R97" s="186"/>
      <c r="S97" s="186"/>
      <c r="T97" s="186"/>
      <c r="U97" s="187"/>
      <c r="V97" s="187"/>
      <c r="W97" s="188"/>
      <c r="X97" s="189"/>
      <c r="Y97" s="189"/>
      <c r="Z97" s="189"/>
      <c r="AA97" s="189"/>
      <c r="AB97" s="189"/>
      <c r="AC97" s="189"/>
      <c r="AD97" s="189"/>
      <c r="AE97" s="189"/>
      <c r="AF97" s="188"/>
      <c r="AG97" s="190"/>
      <c r="AH97" s="141"/>
      <c r="AI97" s="56"/>
      <c r="AJ97" s="56"/>
      <c r="AK97" s="56"/>
    </row>
    <row r="98" spans="1:37" ht="31.95" customHeight="1" x14ac:dyDescent="0.3">
      <c r="A98" s="183"/>
      <c r="B98" s="184"/>
      <c r="C98" s="49"/>
      <c r="D98" s="49">
        <f>IF(H98=Categories!$E$4,VLOOKUP(G98,Categories!$A$4:$C$13,3,1),VLOOKUP(H98,Categories!$E$4:$G$24,3,1))</f>
        <v>120</v>
      </c>
      <c r="E98" s="49"/>
      <c r="F98" s="44">
        <v>9</v>
      </c>
      <c r="G98" s="50" t="s">
        <v>1</v>
      </c>
      <c r="H98" s="51" t="s">
        <v>0</v>
      </c>
      <c r="I98" s="52"/>
      <c r="J98" s="130">
        <v>2500</v>
      </c>
      <c r="K98" s="53" t="s">
        <v>0</v>
      </c>
      <c r="L98" s="54" t="str">
        <f>IFERROR(VLOOKUP(VLOOKUP(N98,N98,1,1),Categories!$K$4:$V$17,2+VLOOKUP(K98,K98,1,1)),"-"  )</f>
        <v>-</v>
      </c>
      <c r="M98" s="54" t="str">
        <f>IFERROR(VLOOKUP(VLOOKUP(N98,N98,1,1),Categories!$K$3:$V$17,7+VLOOKUP(K98,K98,1,1)),"-")</f>
        <v>-</v>
      </c>
      <c r="N98" s="55" t="s">
        <v>0</v>
      </c>
      <c r="O98" s="193" t="s">
        <v>0</v>
      </c>
      <c r="P98" s="202" t="s">
        <v>0</v>
      </c>
      <c r="Q98" s="185"/>
      <c r="R98" s="186"/>
      <c r="S98" s="186"/>
      <c r="T98" s="142"/>
      <c r="U98" s="187"/>
      <c r="V98" s="187"/>
      <c r="W98" s="188"/>
      <c r="X98" s="189"/>
      <c r="Y98" s="189"/>
      <c r="Z98" s="189"/>
      <c r="AA98" s="189"/>
      <c r="AB98" s="189"/>
      <c r="AC98" s="189"/>
      <c r="AD98" s="189"/>
      <c r="AE98" s="189"/>
      <c r="AF98" s="188"/>
      <c r="AG98" s="190"/>
      <c r="AH98" s="141"/>
      <c r="AI98" s="56"/>
      <c r="AJ98" s="56"/>
      <c r="AK98" s="56"/>
    </row>
    <row r="99" spans="1:37" ht="31.95" customHeight="1" x14ac:dyDescent="0.3">
      <c r="A99" s="183"/>
      <c r="B99" s="184"/>
      <c r="C99" s="49"/>
      <c r="D99" s="49">
        <f>IF(H99=Categories!$E$4,VLOOKUP(G99,Categories!$A$4:$C$13,3,1),VLOOKUP(H99,Categories!$E$4:$G$24,3,1))</f>
        <v>45</v>
      </c>
      <c r="E99" s="49"/>
      <c r="F99" s="44">
        <v>9</v>
      </c>
      <c r="G99" s="50" t="s">
        <v>243</v>
      </c>
      <c r="H99" s="51" t="s">
        <v>2</v>
      </c>
      <c r="I99" s="52"/>
      <c r="J99" s="130">
        <v>2200</v>
      </c>
      <c r="K99" s="53" t="s">
        <v>0</v>
      </c>
      <c r="L99" s="54" t="str">
        <f>IFERROR(VLOOKUP(VLOOKUP(N99,N99,1,1),Categories!$K$4:$V$17,2+VLOOKUP(K99,K99,1,1)),"-"  )</f>
        <v>-</v>
      </c>
      <c r="M99" s="54" t="str">
        <f>IFERROR(VLOOKUP(VLOOKUP(N99,N99,1,1),Categories!$K$3:$V$17,7+VLOOKUP(K99,K99,1,1)),"-")</f>
        <v>-</v>
      </c>
      <c r="N99" s="55" t="s">
        <v>0</v>
      </c>
      <c r="O99" s="193" t="s">
        <v>0</v>
      </c>
      <c r="P99" s="202" t="s">
        <v>0</v>
      </c>
      <c r="Q99" s="185"/>
      <c r="R99" s="186"/>
      <c r="S99" s="186"/>
      <c r="T99" s="142"/>
      <c r="U99" s="187"/>
      <c r="V99" s="187"/>
      <c r="W99" s="188"/>
      <c r="X99" s="189"/>
      <c r="Y99" s="189"/>
      <c r="Z99" s="189"/>
      <c r="AA99" s="189"/>
      <c r="AB99" s="189"/>
      <c r="AC99" s="189"/>
      <c r="AD99" s="189"/>
      <c r="AE99" s="189"/>
      <c r="AF99" s="188"/>
      <c r="AG99" s="190"/>
      <c r="AH99" s="141"/>
      <c r="AI99" s="56"/>
      <c r="AJ99" s="56"/>
      <c r="AK99" s="56"/>
    </row>
    <row r="100" spans="1:37" ht="31.95" customHeight="1" x14ac:dyDescent="0.3">
      <c r="A100" s="183"/>
      <c r="B100" s="184"/>
      <c r="C100" s="49"/>
      <c r="D100" s="49">
        <f>IF(H100=Categories!$E$4,VLOOKUP(G100,Categories!$A$4:$C$13,3,1),VLOOKUP(H100,Categories!$E$4:$G$24,3,1))</f>
        <v>120</v>
      </c>
      <c r="E100" s="49"/>
      <c r="F100" s="44">
        <v>9</v>
      </c>
      <c r="G100" s="50" t="s">
        <v>1</v>
      </c>
      <c r="H100" s="51" t="s">
        <v>0</v>
      </c>
      <c r="I100" s="52"/>
      <c r="J100" s="130">
        <v>2200</v>
      </c>
      <c r="K100" s="53" t="s">
        <v>0</v>
      </c>
      <c r="L100" s="54" t="str">
        <f>IFERROR(VLOOKUP(VLOOKUP(N100,N100,1,1),Categories!$K$4:$V$17,2+VLOOKUP(K100,K100,1,1)),"-"  )</f>
        <v>-</v>
      </c>
      <c r="M100" s="54" t="str">
        <f>IFERROR(VLOOKUP(VLOOKUP(N100,N100,1,1),Categories!$K$3:$V$17,7+VLOOKUP(K100,K100,1,1)),"-")</f>
        <v>-</v>
      </c>
      <c r="N100" s="55" t="s">
        <v>0</v>
      </c>
      <c r="O100" s="193" t="s">
        <v>0</v>
      </c>
      <c r="P100" s="202" t="s">
        <v>0</v>
      </c>
      <c r="Q100" s="185"/>
      <c r="R100" s="186"/>
      <c r="S100" s="186"/>
      <c r="T100" s="142"/>
      <c r="U100" s="187"/>
      <c r="V100" s="187"/>
      <c r="W100" s="188"/>
      <c r="X100" s="189"/>
      <c r="Y100" s="189"/>
      <c r="Z100" s="189"/>
      <c r="AA100" s="189"/>
      <c r="AB100" s="189"/>
      <c r="AC100" s="189"/>
      <c r="AD100" s="189"/>
      <c r="AE100" s="189"/>
      <c r="AF100" s="188"/>
      <c r="AG100" s="190"/>
      <c r="AH100" s="141"/>
      <c r="AI100" s="56"/>
      <c r="AJ100" s="56"/>
      <c r="AK100" s="56"/>
    </row>
    <row r="101" spans="1:37" ht="31.95" customHeight="1" x14ac:dyDescent="0.3">
      <c r="A101" s="183"/>
      <c r="B101" s="184"/>
      <c r="C101" s="49"/>
      <c r="D101" s="49" t="str">
        <f>IF(H101=Categories!$E$4,VLOOKUP(G101,Categories!$A$4:$C$13,3,1),VLOOKUP(H101,Categories!$E$4:$G$24,3,1))</f>
        <v>-</v>
      </c>
      <c r="E101" s="49"/>
      <c r="F101" s="44" t="s">
        <v>0</v>
      </c>
      <c r="G101" s="50" t="s">
        <v>3</v>
      </c>
      <c r="H101" s="51" t="s">
        <v>63</v>
      </c>
      <c r="I101" s="52"/>
      <c r="J101" s="130">
        <v>2200</v>
      </c>
      <c r="K101" s="53">
        <v>1</v>
      </c>
      <c r="L101" s="54">
        <f>IFERROR(VLOOKUP(VLOOKUP(N101,N101,1,1),Categories!$K$4:$V$17,2+VLOOKUP(K101,K101,1,1)),"-"  )</f>
        <v>2.33</v>
      </c>
      <c r="M101" s="54" t="str">
        <f>IFERROR(VLOOKUP(VLOOKUP(N101,N101,1,1),Categories!$K$3:$V$17,7+VLOOKUP(K101,K101,1,1)),"-")</f>
        <v>0 rev.</v>
      </c>
      <c r="N101" s="55" t="s">
        <v>114</v>
      </c>
      <c r="O101" s="193" t="s">
        <v>0</v>
      </c>
      <c r="P101" s="202" t="s">
        <v>0</v>
      </c>
      <c r="Q101" s="185"/>
      <c r="R101" s="186"/>
      <c r="S101" s="186"/>
      <c r="T101" s="142"/>
      <c r="U101" s="187"/>
      <c r="V101" s="187"/>
      <c r="W101" s="188"/>
      <c r="X101" s="189"/>
      <c r="Y101" s="189"/>
      <c r="Z101" s="189"/>
      <c r="AA101" s="189"/>
      <c r="AB101" s="189"/>
      <c r="AC101" s="189"/>
      <c r="AD101" s="189"/>
      <c r="AE101" s="189"/>
      <c r="AF101" s="188"/>
      <c r="AG101" s="190"/>
      <c r="AH101" s="141" t="s">
        <v>253</v>
      </c>
      <c r="AI101" s="56" t="s">
        <v>280</v>
      </c>
      <c r="AJ101" s="56"/>
      <c r="AK101" s="56"/>
    </row>
    <row r="102" spans="1:37" ht="31.95" customHeight="1" x14ac:dyDescent="0.3">
      <c r="A102" s="183"/>
      <c r="B102" s="184"/>
      <c r="C102" s="49"/>
      <c r="D102" s="49">
        <f>IF(H102=Categories!$E$4,VLOOKUP(G102,Categories!$A$4:$C$13,3,1),VLOOKUP(H102,Categories!$E$4:$G$24,3,1))</f>
        <v>120</v>
      </c>
      <c r="E102" s="49"/>
      <c r="F102" s="44">
        <v>10</v>
      </c>
      <c r="G102" s="50" t="s">
        <v>44</v>
      </c>
      <c r="H102" s="51" t="s">
        <v>0</v>
      </c>
      <c r="I102" s="52"/>
      <c r="J102" s="130">
        <v>2200</v>
      </c>
      <c r="K102" s="53">
        <v>1</v>
      </c>
      <c r="L102" s="54">
        <f>IFERROR(VLOOKUP(VLOOKUP(N102,N102,1,1),Categories!$K$4:$V$17,2+VLOOKUP(K102,K102,1,1)),"-"  )</f>
        <v>2.33</v>
      </c>
      <c r="M102" s="54" t="str">
        <f>IFERROR(VLOOKUP(VLOOKUP(N102,N102,1,1),Categories!$K$3:$V$17,7+VLOOKUP(K102,K102,1,1)),"-")</f>
        <v>0 rev.</v>
      </c>
      <c r="N102" s="55" t="s">
        <v>114</v>
      </c>
      <c r="O102" s="193" t="s">
        <v>0</v>
      </c>
      <c r="P102" s="202" t="s">
        <v>0</v>
      </c>
      <c r="Q102" s="185"/>
      <c r="R102" s="186"/>
      <c r="S102" s="186"/>
      <c r="T102" s="142"/>
      <c r="U102" s="187"/>
      <c r="V102" s="187"/>
      <c r="W102" s="188"/>
      <c r="X102" s="189"/>
      <c r="Y102" s="189"/>
      <c r="Z102" s="189"/>
      <c r="AA102" s="189"/>
      <c r="AB102" s="189"/>
      <c r="AC102" s="189"/>
      <c r="AD102" s="189"/>
      <c r="AE102" s="189"/>
      <c r="AF102" s="188"/>
      <c r="AG102" s="190"/>
      <c r="AH102" s="141"/>
      <c r="AI102" s="56"/>
      <c r="AJ102" s="56"/>
      <c r="AK102" s="56"/>
    </row>
    <row r="103" spans="1:37" ht="31.95" customHeight="1" x14ac:dyDescent="0.3">
      <c r="A103" s="183"/>
      <c r="B103" s="184"/>
      <c r="C103" s="49"/>
      <c r="D103" s="49">
        <f>IF(H103=Categories!$E$4,VLOOKUP(G103,Categories!$A$4:$C$13,3,1),VLOOKUP(H103,Categories!$E$4:$G$24,3,1))</f>
        <v>45</v>
      </c>
      <c r="E103" s="49"/>
      <c r="F103" s="44">
        <v>10</v>
      </c>
      <c r="G103" s="50" t="s">
        <v>243</v>
      </c>
      <c r="H103" s="51" t="s">
        <v>249</v>
      </c>
      <c r="I103" s="52"/>
      <c r="J103" s="130">
        <v>2200</v>
      </c>
      <c r="K103" s="53">
        <v>2</v>
      </c>
      <c r="L103" s="54" t="str">
        <f>IFERROR(VLOOKUP(VLOOKUP(N103,N103,1,1),Categories!$K$4:$V$17,2+VLOOKUP(K103,K103,1,1)),"-"  )</f>
        <v>~9</v>
      </c>
      <c r="M103" s="54" t="str">
        <f>IFERROR(VLOOKUP(VLOOKUP(N103,N103,1,1),Categories!$K$3:$V$17,7+VLOOKUP(K103,K103,1,1)),"-")</f>
        <v>1.0 rev.</v>
      </c>
      <c r="N103" s="55" t="s">
        <v>114</v>
      </c>
      <c r="O103" s="193" t="s">
        <v>0</v>
      </c>
      <c r="P103" s="202" t="s">
        <v>0</v>
      </c>
      <c r="Q103" s="185"/>
      <c r="R103" s="186"/>
      <c r="S103" s="186"/>
      <c r="T103" s="142"/>
      <c r="U103" s="187"/>
      <c r="V103" s="187"/>
      <c r="W103" s="188"/>
      <c r="X103" s="189"/>
      <c r="Y103" s="189"/>
      <c r="Z103" s="189"/>
      <c r="AA103" s="189"/>
      <c r="AB103" s="189"/>
      <c r="AC103" s="189"/>
      <c r="AD103" s="189"/>
      <c r="AE103" s="189"/>
      <c r="AF103" s="188"/>
      <c r="AG103" s="190"/>
      <c r="AH103" s="141"/>
      <c r="AI103" s="56"/>
      <c r="AJ103" s="56"/>
      <c r="AK103" s="56"/>
    </row>
    <row r="104" spans="1:37" ht="31.95" customHeight="1" x14ac:dyDescent="0.3">
      <c r="A104" s="12"/>
      <c r="B104" s="122"/>
      <c r="C104" s="49"/>
      <c r="D104" s="49">
        <f>IF(H104=Categories!$E$4,VLOOKUP(G104,Categories!$A$4:$C$13,3,1),VLOOKUP(H104,Categories!$E$4:$G$24,3,1))</f>
        <v>120</v>
      </c>
      <c r="E104" s="49"/>
      <c r="F104" s="44">
        <v>10</v>
      </c>
      <c r="G104" s="50" t="s">
        <v>44</v>
      </c>
      <c r="H104" s="45" t="s">
        <v>0</v>
      </c>
      <c r="I104" s="52"/>
      <c r="J104" s="130">
        <v>2200</v>
      </c>
      <c r="K104" s="53">
        <v>2</v>
      </c>
      <c r="L104" s="54" t="str">
        <f>IFERROR(VLOOKUP(VLOOKUP(N104,N104,1,1),Categories!$K$4:$V$17,2+VLOOKUP(K104,K104,1,1)),"-"  )</f>
        <v>~9</v>
      </c>
      <c r="M104" s="54" t="str">
        <f>IFERROR(VLOOKUP(VLOOKUP(N104,N104,1,1),Categories!$K$3:$V$17,7+VLOOKUP(K104,K104,1,1)),"-")</f>
        <v>1.0 rev.</v>
      </c>
      <c r="N104" s="55" t="s">
        <v>114</v>
      </c>
      <c r="O104" s="193" t="s">
        <v>0</v>
      </c>
      <c r="P104" s="202" t="s">
        <v>0</v>
      </c>
      <c r="Q104" s="149"/>
      <c r="R104" s="142"/>
      <c r="S104" s="142"/>
      <c r="T104" s="142"/>
      <c r="U104" s="145"/>
      <c r="V104" s="145"/>
      <c r="W104" s="146"/>
      <c r="X104" s="147"/>
      <c r="Y104" s="147"/>
      <c r="Z104" s="147"/>
      <c r="AA104" s="147"/>
      <c r="AB104" s="147"/>
      <c r="AC104" s="147"/>
      <c r="AD104" s="147"/>
      <c r="AE104" s="147"/>
      <c r="AF104" s="146"/>
      <c r="AG104" s="148"/>
      <c r="AH104" s="141"/>
      <c r="AI104" s="48"/>
      <c r="AJ104" s="56"/>
      <c r="AK104" s="56"/>
    </row>
    <row r="105" spans="1:37" ht="31.95" customHeight="1" x14ac:dyDescent="0.3">
      <c r="A105" s="12"/>
      <c r="B105" s="122"/>
      <c r="C105" s="49"/>
      <c r="D105" s="49">
        <f>IF(H105=Categories!$E$4,VLOOKUP(G105,Categories!$A$4:$C$13,3,1),VLOOKUP(H105,Categories!$E$4:$G$24,3,1))</f>
        <v>45</v>
      </c>
      <c r="E105" s="49"/>
      <c r="F105" s="44">
        <v>10</v>
      </c>
      <c r="G105" s="50" t="s">
        <v>243</v>
      </c>
      <c r="H105" s="51" t="s">
        <v>249</v>
      </c>
      <c r="I105" s="52"/>
      <c r="J105" s="130">
        <v>2200</v>
      </c>
      <c r="K105" s="53">
        <v>3</v>
      </c>
      <c r="L105" s="54" t="str">
        <f>IFERROR(VLOOKUP(VLOOKUP(N105,N105,1,1),Categories!$K$4:$V$17,2+VLOOKUP(K105,K105,1,1)),"-"  )</f>
        <v>~10</v>
      </c>
      <c r="M105" s="54" t="str">
        <f>IFERROR(VLOOKUP(VLOOKUP(N105,N105,1,1),Categories!$K$3:$V$17,7+VLOOKUP(K105,K105,1,1)),"-")</f>
        <v>1.5 rev.</v>
      </c>
      <c r="N105" s="55" t="s">
        <v>114</v>
      </c>
      <c r="O105" s="193" t="s">
        <v>0</v>
      </c>
      <c r="P105" s="202" t="s">
        <v>0</v>
      </c>
      <c r="Q105" s="149"/>
      <c r="R105" s="142"/>
      <c r="S105" s="142"/>
      <c r="T105" s="142"/>
      <c r="U105" s="145"/>
      <c r="V105" s="145"/>
      <c r="W105" s="146"/>
      <c r="X105" s="147"/>
      <c r="Y105" s="147"/>
      <c r="Z105" s="147"/>
      <c r="AA105" s="147"/>
      <c r="AB105" s="147"/>
      <c r="AC105" s="147"/>
      <c r="AD105" s="147"/>
      <c r="AE105" s="147"/>
      <c r="AF105" s="146"/>
      <c r="AG105" s="148"/>
      <c r="AH105" s="141"/>
      <c r="AI105" s="48"/>
      <c r="AJ105" s="56"/>
      <c r="AK105" s="56"/>
    </row>
    <row r="106" spans="1:37" ht="31.95" customHeight="1" x14ac:dyDescent="0.3">
      <c r="A106" s="12"/>
      <c r="B106" s="122"/>
      <c r="C106" s="49"/>
      <c r="D106" s="49">
        <f>IF(H106=Categories!$E$4,VLOOKUP(G106,Categories!$A$4:$C$13,3,1),VLOOKUP(H106,Categories!$E$4:$G$24,3,1))</f>
        <v>120</v>
      </c>
      <c r="E106" s="49"/>
      <c r="F106" s="44">
        <v>10</v>
      </c>
      <c r="G106" s="50" t="s">
        <v>44</v>
      </c>
      <c r="H106" s="45" t="s">
        <v>0</v>
      </c>
      <c r="I106" s="52"/>
      <c r="J106" s="130">
        <v>2200</v>
      </c>
      <c r="K106" s="53">
        <v>3</v>
      </c>
      <c r="L106" s="54" t="str">
        <f>IFERROR(VLOOKUP(VLOOKUP(N106,N106,1,1),Categories!$K$4:$V$17,2+VLOOKUP(K106,K106,1,1)),"-"  )</f>
        <v>~10</v>
      </c>
      <c r="M106" s="54" t="str">
        <f>IFERROR(VLOOKUP(VLOOKUP(N106,N106,1,1),Categories!$K$3:$V$17,7+VLOOKUP(K106,K106,1,1)),"-")</f>
        <v>1.5 rev.</v>
      </c>
      <c r="N106" s="55" t="s">
        <v>114</v>
      </c>
      <c r="O106" s="193" t="s">
        <v>0</v>
      </c>
      <c r="P106" s="202" t="s">
        <v>0</v>
      </c>
      <c r="Q106" s="149"/>
      <c r="R106" s="142"/>
      <c r="S106" s="142"/>
      <c r="T106" s="142"/>
      <c r="U106" s="145"/>
      <c r="V106" s="145"/>
      <c r="W106" s="146"/>
      <c r="X106" s="147"/>
      <c r="Y106" s="147"/>
      <c r="Z106" s="147"/>
      <c r="AA106" s="147"/>
      <c r="AB106" s="147"/>
      <c r="AC106" s="147"/>
      <c r="AD106" s="147"/>
      <c r="AE106" s="147"/>
      <c r="AF106" s="146"/>
      <c r="AG106" s="148"/>
      <c r="AH106" s="141"/>
      <c r="AI106" s="48"/>
      <c r="AJ106" s="56"/>
      <c r="AK106" s="56"/>
    </row>
    <row r="107" spans="1:37" ht="31.95" customHeight="1" x14ac:dyDescent="0.3">
      <c r="A107" s="12"/>
      <c r="B107" s="122"/>
      <c r="C107" s="49"/>
      <c r="D107" s="49">
        <f>IF(H107=Categories!$E$4,VLOOKUP(G107,Categories!$A$4:$C$13,3,1),VLOOKUP(H107,Categories!$E$4:$G$24,3,1))</f>
        <v>45</v>
      </c>
      <c r="E107" s="49"/>
      <c r="F107" s="44">
        <v>10</v>
      </c>
      <c r="G107" s="50" t="s">
        <v>243</v>
      </c>
      <c r="H107" s="51" t="s">
        <v>249</v>
      </c>
      <c r="I107" s="52"/>
      <c r="J107" s="130">
        <v>2200</v>
      </c>
      <c r="K107" s="53">
        <v>4</v>
      </c>
      <c r="L107" s="54" t="str">
        <f>IFERROR(VLOOKUP(VLOOKUP(N107,N107,1,1),Categories!$K$4:$V$17,2+VLOOKUP(K107,K107,1,1)),"-"  )</f>
        <v>~11</v>
      </c>
      <c r="M107" s="54" t="str">
        <f>IFERROR(VLOOKUP(VLOOKUP(N107,N107,1,1),Categories!$K$3:$V$17,7+VLOOKUP(K107,K107,1,1)),"-")</f>
        <v>2.0 rev.</v>
      </c>
      <c r="N107" s="55" t="s">
        <v>114</v>
      </c>
      <c r="O107" s="193" t="s">
        <v>0</v>
      </c>
      <c r="P107" s="202" t="s">
        <v>0</v>
      </c>
      <c r="Q107" s="149"/>
      <c r="R107" s="142"/>
      <c r="S107" s="142"/>
      <c r="T107" s="142"/>
      <c r="U107" s="145"/>
      <c r="V107" s="145"/>
      <c r="W107" s="146"/>
      <c r="X107" s="147"/>
      <c r="Y107" s="147"/>
      <c r="Z107" s="147"/>
      <c r="AA107" s="147"/>
      <c r="AB107" s="147"/>
      <c r="AC107" s="147"/>
      <c r="AD107" s="147"/>
      <c r="AE107" s="147"/>
      <c r="AF107" s="146"/>
      <c r="AG107" s="148"/>
      <c r="AH107" s="141"/>
      <c r="AI107" s="48"/>
      <c r="AJ107" s="56"/>
      <c r="AK107" s="56"/>
    </row>
    <row r="108" spans="1:37" ht="31.95" customHeight="1" x14ac:dyDescent="0.3">
      <c r="A108" s="12"/>
      <c r="B108" s="122"/>
      <c r="C108" s="49"/>
      <c r="D108" s="49">
        <f>IF(H108=Categories!$E$4,VLOOKUP(G108,Categories!$A$4:$C$13,3,1),VLOOKUP(H108,Categories!$E$4:$G$24,3,1))</f>
        <v>120</v>
      </c>
      <c r="E108" s="49"/>
      <c r="F108" s="44">
        <v>10</v>
      </c>
      <c r="G108" s="50" t="s">
        <v>44</v>
      </c>
      <c r="H108" s="45" t="s">
        <v>0</v>
      </c>
      <c r="I108" s="52"/>
      <c r="J108" s="130">
        <v>2200</v>
      </c>
      <c r="K108" s="53">
        <v>4</v>
      </c>
      <c r="L108" s="54" t="str">
        <f>IFERROR(VLOOKUP(VLOOKUP(N108,N108,1,1),Categories!$K$4:$V$17,2+VLOOKUP(K108,K108,1,1)),"-"  )</f>
        <v>~11</v>
      </c>
      <c r="M108" s="54" t="str">
        <f>IFERROR(VLOOKUP(VLOOKUP(N108,N108,1,1),Categories!$K$3:$V$17,7+VLOOKUP(K108,K108,1,1)),"-")</f>
        <v>2.0 rev.</v>
      </c>
      <c r="N108" s="55" t="s">
        <v>114</v>
      </c>
      <c r="O108" s="193" t="s">
        <v>0</v>
      </c>
      <c r="P108" s="202" t="s">
        <v>0</v>
      </c>
      <c r="Q108" s="149"/>
      <c r="R108" s="142"/>
      <c r="S108" s="142"/>
      <c r="T108" s="186"/>
      <c r="U108" s="145"/>
      <c r="V108" s="145"/>
      <c r="W108" s="146"/>
      <c r="X108" s="147"/>
      <c r="Y108" s="147"/>
      <c r="Z108" s="147"/>
      <c r="AA108" s="147"/>
      <c r="AB108" s="147"/>
      <c r="AC108" s="147"/>
      <c r="AD108" s="147"/>
      <c r="AE108" s="147"/>
      <c r="AF108" s="146"/>
      <c r="AG108" s="148"/>
      <c r="AH108" s="141"/>
      <c r="AI108" s="48"/>
      <c r="AJ108" s="56"/>
      <c r="AK108" s="56"/>
    </row>
    <row r="109" spans="1:37" ht="31.95" customHeight="1" x14ac:dyDescent="0.3">
      <c r="A109" s="12"/>
      <c r="B109" s="122"/>
      <c r="C109" s="49"/>
      <c r="D109" s="49">
        <f>IF(H109=Categories!$E$4,VLOOKUP(G109,Categories!$A$4:$C$13,3,1),VLOOKUP(H109,Categories!$E$4:$G$24,3,1))</f>
        <v>45</v>
      </c>
      <c r="E109" s="49"/>
      <c r="F109" s="44">
        <v>10</v>
      </c>
      <c r="G109" s="50" t="s">
        <v>243</v>
      </c>
      <c r="H109" s="51" t="s">
        <v>249</v>
      </c>
      <c r="I109" s="52"/>
      <c r="J109" s="130">
        <v>2200</v>
      </c>
      <c r="K109" s="53">
        <v>5</v>
      </c>
      <c r="L109" s="54" t="str">
        <f>IFERROR(VLOOKUP(VLOOKUP(N109,N109,1,1),Categories!$K$4:$V$17,2+VLOOKUP(K109,K109,1,1)),"-"  )</f>
        <v>~12</v>
      </c>
      <c r="M109" s="54" t="str">
        <f>IFERROR(VLOOKUP(VLOOKUP(N109,N109,1,1),Categories!$K$3:$V$17,7+VLOOKUP(K109,K109,1,1)),"-")</f>
        <v>2.5 rev.</v>
      </c>
      <c r="N109" s="55" t="s">
        <v>114</v>
      </c>
      <c r="O109" s="193" t="s">
        <v>0</v>
      </c>
      <c r="P109" s="202" t="s">
        <v>0</v>
      </c>
      <c r="Q109" s="149"/>
      <c r="R109" s="142"/>
      <c r="S109" s="142"/>
      <c r="T109" s="186"/>
      <c r="U109" s="145"/>
      <c r="V109" s="145"/>
      <c r="W109" s="146"/>
      <c r="X109" s="147"/>
      <c r="Y109" s="147"/>
      <c r="Z109" s="147"/>
      <c r="AA109" s="147"/>
      <c r="AB109" s="147"/>
      <c r="AC109" s="147"/>
      <c r="AD109" s="147"/>
      <c r="AE109" s="147"/>
      <c r="AF109" s="146"/>
      <c r="AG109" s="148"/>
      <c r="AH109" s="141"/>
      <c r="AI109" s="48"/>
      <c r="AJ109" s="56"/>
      <c r="AK109" s="56"/>
    </row>
    <row r="110" spans="1:37" ht="31.95" customHeight="1" x14ac:dyDescent="0.3">
      <c r="A110" s="12"/>
      <c r="B110" s="122"/>
      <c r="C110" s="49"/>
      <c r="D110" s="49">
        <f>IF(H110=Categories!$E$4,VLOOKUP(G110,Categories!$A$4:$C$13,3,1),VLOOKUP(H110,Categories!$E$4:$G$24,3,1))</f>
        <v>120</v>
      </c>
      <c r="E110" s="49"/>
      <c r="F110" s="44">
        <v>10</v>
      </c>
      <c r="G110" s="50" t="s">
        <v>44</v>
      </c>
      <c r="H110" s="45" t="s">
        <v>0</v>
      </c>
      <c r="I110" s="52"/>
      <c r="J110" s="130">
        <v>2200</v>
      </c>
      <c r="K110" s="53">
        <v>5</v>
      </c>
      <c r="L110" s="54" t="str">
        <f>IFERROR(VLOOKUP(VLOOKUP(N110,N110,1,1),Categories!$K$4:$V$17,2+VLOOKUP(K110,K110,1,1)),"-"  )</f>
        <v>~12</v>
      </c>
      <c r="M110" s="54" t="str">
        <f>IFERROR(VLOOKUP(VLOOKUP(N110,N110,1,1),Categories!$K$3:$V$17,7+VLOOKUP(K110,K110,1,1)),"-")</f>
        <v>2.5 rev.</v>
      </c>
      <c r="N110" s="55" t="s">
        <v>114</v>
      </c>
      <c r="O110" s="193" t="s">
        <v>0</v>
      </c>
      <c r="P110" s="202" t="s">
        <v>0</v>
      </c>
      <c r="Q110" s="149"/>
      <c r="R110" s="142"/>
      <c r="S110" s="142"/>
      <c r="T110" s="142"/>
      <c r="U110" s="145"/>
      <c r="V110" s="145"/>
      <c r="W110" s="146"/>
      <c r="X110" s="147"/>
      <c r="Y110" s="147"/>
      <c r="Z110" s="147"/>
      <c r="AA110" s="147"/>
      <c r="AB110" s="147"/>
      <c r="AC110" s="147"/>
      <c r="AD110" s="147"/>
      <c r="AE110" s="147"/>
      <c r="AF110" s="146"/>
      <c r="AG110" s="148"/>
      <c r="AH110" s="141"/>
      <c r="AI110" s="48"/>
      <c r="AJ110" s="56"/>
      <c r="AK110" s="56"/>
    </row>
    <row r="111" spans="1:37" ht="31.95" customHeight="1" x14ac:dyDescent="0.3">
      <c r="A111" s="12"/>
      <c r="B111" s="122"/>
      <c r="C111" s="49"/>
      <c r="D111" s="49">
        <f>IF(H111=Categories!$E$4,VLOOKUP(G111,Categories!$A$4:$C$13,3,1),VLOOKUP(H111,Categories!$E$4:$G$24,3,1))</f>
        <v>45</v>
      </c>
      <c r="E111" s="49"/>
      <c r="F111" s="44">
        <v>10</v>
      </c>
      <c r="G111" s="50" t="s">
        <v>243</v>
      </c>
      <c r="H111" s="51" t="s">
        <v>250</v>
      </c>
      <c r="I111" s="52"/>
      <c r="J111" s="130">
        <v>2200</v>
      </c>
      <c r="K111" s="53">
        <v>1</v>
      </c>
      <c r="L111" s="54">
        <f>IFERROR(VLOOKUP(VLOOKUP(N111,N111,1,1),Categories!$K$4:$V$17,2+VLOOKUP(K111,K111,1,1)),"-"  )</f>
        <v>2.33</v>
      </c>
      <c r="M111" s="54" t="str">
        <f>IFERROR(VLOOKUP(VLOOKUP(N111,N111,1,1),Categories!$K$3:$V$17,7+VLOOKUP(K111,K111,1,1)),"-")</f>
        <v>0 rev.</v>
      </c>
      <c r="N111" s="55" t="s">
        <v>114</v>
      </c>
      <c r="O111" s="193" t="s">
        <v>0</v>
      </c>
      <c r="P111" s="202" t="s">
        <v>0</v>
      </c>
      <c r="Q111" s="149"/>
      <c r="R111" s="142"/>
      <c r="S111" s="142"/>
      <c r="T111" s="142"/>
      <c r="U111" s="145"/>
      <c r="V111" s="145"/>
      <c r="W111" s="146"/>
      <c r="X111" s="147"/>
      <c r="Y111" s="147"/>
      <c r="Z111" s="147"/>
      <c r="AA111" s="147"/>
      <c r="AB111" s="147"/>
      <c r="AC111" s="147"/>
      <c r="AD111" s="147"/>
      <c r="AE111" s="147"/>
      <c r="AF111" s="146"/>
      <c r="AG111" s="148"/>
      <c r="AH111" s="141"/>
      <c r="AI111" s="48"/>
      <c r="AJ111" s="56"/>
      <c r="AK111" s="56"/>
    </row>
    <row r="112" spans="1:37" ht="31.95" customHeight="1" x14ac:dyDescent="0.3">
      <c r="A112" s="12"/>
      <c r="B112" s="122"/>
      <c r="C112" s="49"/>
      <c r="D112" s="49">
        <f>IF(H112=Categories!$E$4,VLOOKUP(G112,Categories!$A$4:$C$13,3,1),VLOOKUP(H112,Categories!$E$4:$G$24,3,1))</f>
        <v>120</v>
      </c>
      <c r="E112" s="49"/>
      <c r="F112" s="44">
        <v>10</v>
      </c>
      <c r="G112" s="50" t="s">
        <v>247</v>
      </c>
      <c r="H112" s="45" t="s">
        <v>0</v>
      </c>
      <c r="I112" s="52"/>
      <c r="J112" s="130">
        <v>2200</v>
      </c>
      <c r="K112" s="53">
        <v>1</v>
      </c>
      <c r="L112" s="54">
        <f>IFERROR(VLOOKUP(VLOOKUP(N112,N112,1,1),Categories!$K$4:$V$17,2+VLOOKUP(K112,K112,1,1)),"-"  )</f>
        <v>2.33</v>
      </c>
      <c r="M112" s="54" t="str">
        <f>IFERROR(VLOOKUP(VLOOKUP(N112,N112,1,1),Categories!$K$3:$V$17,7+VLOOKUP(K112,K112,1,1)),"-")</f>
        <v>0 rev.</v>
      </c>
      <c r="N112" s="55" t="s">
        <v>114</v>
      </c>
      <c r="O112" s="193" t="s">
        <v>0</v>
      </c>
      <c r="P112" s="202" t="s">
        <v>0</v>
      </c>
      <c r="Q112" s="149"/>
      <c r="R112" s="142"/>
      <c r="S112" s="142"/>
      <c r="T112" s="142"/>
      <c r="U112" s="145"/>
      <c r="V112" s="145"/>
      <c r="W112" s="146"/>
      <c r="X112" s="147"/>
      <c r="Y112" s="147"/>
      <c r="Z112" s="147"/>
      <c r="AA112" s="147"/>
      <c r="AB112" s="147"/>
      <c r="AC112" s="147"/>
      <c r="AD112" s="147"/>
      <c r="AE112" s="147"/>
      <c r="AF112" s="146"/>
      <c r="AG112" s="148"/>
      <c r="AH112" s="141"/>
      <c r="AI112" s="48"/>
      <c r="AJ112" s="56"/>
      <c r="AK112" s="56"/>
    </row>
    <row r="113" spans="1:37" ht="31.95" customHeight="1" x14ac:dyDescent="0.3">
      <c r="A113" s="12"/>
      <c r="B113" s="203"/>
      <c r="C113" s="49"/>
      <c r="D113" s="49">
        <f>IF(H113=Categories!$E$4,VLOOKUP(G113,Categories!$A$4:$C$13,3,1),VLOOKUP(H113,Categories!$E$4:$G$24,3,1))</f>
        <v>45</v>
      </c>
      <c r="E113" s="49"/>
      <c r="F113" s="44" t="s">
        <v>0</v>
      </c>
      <c r="G113" s="50" t="s">
        <v>3</v>
      </c>
      <c r="H113" s="51" t="s">
        <v>2</v>
      </c>
      <c r="I113" s="52"/>
      <c r="J113" s="130">
        <v>2500</v>
      </c>
      <c r="K113" s="53">
        <v>1</v>
      </c>
      <c r="L113" s="54">
        <f>IFERROR(VLOOKUP(VLOOKUP(N113,N113,1,1),Categories!$K$4:$V$17,2+VLOOKUP(K113,K113,1,1)),"-"  )</f>
        <v>2.33</v>
      </c>
      <c r="M113" s="54" t="str">
        <f>IFERROR(VLOOKUP(VLOOKUP(N113,N113,1,1),Categories!$K$3:$V$17,7+VLOOKUP(K113,K113,1,1)),"-")</f>
        <v>0 rev.</v>
      </c>
      <c r="N113" s="55" t="s">
        <v>114</v>
      </c>
      <c r="O113" s="193" t="s">
        <v>0</v>
      </c>
      <c r="P113" s="202" t="s">
        <v>0</v>
      </c>
      <c r="Q113" s="149"/>
      <c r="R113" s="142"/>
      <c r="S113" s="142"/>
      <c r="T113" s="142"/>
      <c r="U113" s="145"/>
      <c r="V113" s="145"/>
      <c r="W113" s="146"/>
      <c r="X113" s="147"/>
      <c r="Y113" s="147"/>
      <c r="Z113" s="147"/>
      <c r="AA113" s="147"/>
      <c r="AB113" s="147"/>
      <c r="AC113" s="147"/>
      <c r="AD113" s="147"/>
      <c r="AE113" s="147"/>
      <c r="AF113" s="146"/>
      <c r="AG113" s="148"/>
      <c r="AH113" s="141"/>
      <c r="AI113" s="48"/>
      <c r="AJ113" s="56"/>
      <c r="AK113" s="56"/>
    </row>
    <row r="114" spans="1:37" ht="31.95" customHeight="1" x14ac:dyDescent="0.3">
      <c r="A114" s="183"/>
      <c r="B114" s="204"/>
      <c r="C114" s="49"/>
      <c r="D114" s="49">
        <f>IF(H114=Categories!$E$4,VLOOKUP(G114,Categories!$A$4:$C$13,3,1),VLOOKUP(H114,Categories!$E$4:$G$24,3,1))</f>
        <v>120</v>
      </c>
      <c r="E114" s="49"/>
      <c r="F114" s="44">
        <v>11</v>
      </c>
      <c r="G114" s="50" t="s">
        <v>44</v>
      </c>
      <c r="H114" s="51" t="s">
        <v>0</v>
      </c>
      <c r="I114" s="52"/>
      <c r="J114" s="130">
        <v>2500</v>
      </c>
      <c r="K114" s="53">
        <v>1</v>
      </c>
      <c r="L114" s="54">
        <f>IFERROR(VLOOKUP(VLOOKUP(N114,N114,1,1),Categories!$K$4:$V$17,2+VLOOKUP(K114,K114,1,1)),"-"  )</f>
        <v>2.33</v>
      </c>
      <c r="M114" s="54" t="str">
        <f>IFERROR(VLOOKUP(VLOOKUP(N114,N114,1,1),Categories!$K$3:$V$17,7+VLOOKUP(K114,K114,1,1)),"-")</f>
        <v>0 rev.</v>
      </c>
      <c r="N114" s="55" t="s">
        <v>114</v>
      </c>
      <c r="O114" s="193" t="s">
        <v>0</v>
      </c>
      <c r="P114" s="202" t="s">
        <v>0</v>
      </c>
      <c r="Q114" s="185"/>
      <c r="R114" s="186"/>
      <c r="S114" s="186"/>
      <c r="T114" s="142"/>
      <c r="U114" s="187"/>
      <c r="V114" s="187"/>
      <c r="W114" s="188"/>
      <c r="X114" s="189"/>
      <c r="Y114" s="189"/>
      <c r="Z114" s="189"/>
      <c r="AA114" s="189"/>
      <c r="AB114" s="189"/>
      <c r="AC114" s="189"/>
      <c r="AD114" s="189"/>
      <c r="AE114" s="189"/>
      <c r="AF114" s="188"/>
      <c r="AG114" s="190"/>
      <c r="AH114" s="141"/>
      <c r="AI114" s="56"/>
      <c r="AJ114" s="56"/>
      <c r="AK114" s="56"/>
    </row>
    <row r="115" spans="1:37" ht="31.95" customHeight="1" x14ac:dyDescent="0.3">
      <c r="A115" s="183"/>
      <c r="B115" s="184"/>
      <c r="C115" s="49"/>
      <c r="D115" s="49">
        <f>IF(H115=Categories!$E$4,VLOOKUP(G115,Categories!$A$4:$C$13,3,1),VLOOKUP(H115,Categories!$E$4:$G$24,3,1))</f>
        <v>45</v>
      </c>
      <c r="E115" s="49"/>
      <c r="F115" s="44">
        <v>11</v>
      </c>
      <c r="G115" s="50" t="s">
        <v>243</v>
      </c>
      <c r="H115" s="51" t="s">
        <v>249</v>
      </c>
      <c r="I115" s="52"/>
      <c r="J115" s="130">
        <v>2500</v>
      </c>
      <c r="K115" s="53">
        <v>2</v>
      </c>
      <c r="L115" s="54" t="str">
        <f>IFERROR(VLOOKUP(VLOOKUP(N115,N115,1,1),Categories!$K$4:$V$17,2+VLOOKUP(K115,K115,1,1)),"-"  )</f>
        <v>~9</v>
      </c>
      <c r="M115" s="54" t="str">
        <f>IFERROR(VLOOKUP(VLOOKUP(N115,N115,1,1),Categories!$K$3:$V$17,7+VLOOKUP(K115,K115,1,1)),"-")</f>
        <v>1.0 rev.</v>
      </c>
      <c r="N115" s="55" t="s">
        <v>114</v>
      </c>
      <c r="O115" s="193" t="s">
        <v>0</v>
      </c>
      <c r="P115" s="202" t="s">
        <v>0</v>
      </c>
      <c r="Q115" s="185"/>
      <c r="R115" s="186"/>
      <c r="S115" s="186"/>
      <c r="T115" s="142"/>
      <c r="U115" s="187"/>
      <c r="V115" s="187"/>
      <c r="W115" s="188"/>
      <c r="X115" s="189"/>
      <c r="Y115" s="189"/>
      <c r="Z115" s="189"/>
      <c r="AA115" s="189"/>
      <c r="AB115" s="189"/>
      <c r="AC115" s="189"/>
      <c r="AD115" s="189"/>
      <c r="AE115" s="189"/>
      <c r="AF115" s="188"/>
      <c r="AG115" s="190"/>
      <c r="AH115" s="141"/>
      <c r="AI115" s="56"/>
      <c r="AJ115" s="56"/>
      <c r="AK115" s="56"/>
    </row>
    <row r="116" spans="1:37" ht="31.95" customHeight="1" x14ac:dyDescent="0.3">
      <c r="A116" s="12"/>
      <c r="B116" s="122"/>
      <c r="C116" s="49"/>
      <c r="D116" s="49">
        <f>IF(H116=Categories!$E$4,VLOOKUP(G116,Categories!$A$4:$C$13,3,1),VLOOKUP(H116,Categories!$E$4:$G$24,3,1))</f>
        <v>120</v>
      </c>
      <c r="E116" s="49"/>
      <c r="F116" s="44">
        <v>11</v>
      </c>
      <c r="G116" s="50" t="s">
        <v>44</v>
      </c>
      <c r="H116" s="45" t="s">
        <v>0</v>
      </c>
      <c r="I116" s="52"/>
      <c r="J116" s="130">
        <v>2500</v>
      </c>
      <c r="K116" s="53">
        <v>2</v>
      </c>
      <c r="L116" s="54" t="str">
        <f>IFERROR(VLOOKUP(VLOOKUP(N116,N116,1,1),Categories!$K$4:$V$17,2+VLOOKUP(K116,K116,1,1)),"-"  )</f>
        <v>~9</v>
      </c>
      <c r="M116" s="54" t="str">
        <f>IFERROR(VLOOKUP(VLOOKUP(N116,N116,1,1),Categories!$K$3:$V$17,7+VLOOKUP(K116,K116,1,1)),"-")</f>
        <v>1.0 rev.</v>
      </c>
      <c r="N116" s="55" t="s">
        <v>114</v>
      </c>
      <c r="O116" s="193" t="s">
        <v>0</v>
      </c>
      <c r="P116" s="202" t="s">
        <v>0</v>
      </c>
      <c r="Q116" s="149"/>
      <c r="R116" s="142"/>
      <c r="S116" s="142"/>
      <c r="T116" s="142"/>
      <c r="U116" s="145"/>
      <c r="V116" s="145"/>
      <c r="W116" s="146"/>
      <c r="X116" s="147"/>
      <c r="Y116" s="147"/>
      <c r="Z116" s="147"/>
      <c r="AA116" s="147"/>
      <c r="AB116" s="147"/>
      <c r="AC116" s="147"/>
      <c r="AD116" s="147"/>
      <c r="AE116" s="147"/>
      <c r="AF116" s="146"/>
      <c r="AG116" s="148"/>
      <c r="AH116" s="141"/>
      <c r="AI116" s="48"/>
      <c r="AJ116" s="56"/>
      <c r="AK116" s="56"/>
    </row>
    <row r="117" spans="1:37" ht="31.95" customHeight="1" x14ac:dyDescent="0.3">
      <c r="A117" s="12"/>
      <c r="B117" s="122"/>
      <c r="C117" s="49"/>
      <c r="D117" s="49">
        <f>IF(H117=Categories!$E$4,VLOOKUP(G117,Categories!$A$4:$C$13,3,1),VLOOKUP(H117,Categories!$E$4:$G$24,3,1))</f>
        <v>45</v>
      </c>
      <c r="E117" s="49"/>
      <c r="F117" s="44">
        <v>11</v>
      </c>
      <c r="G117" s="50" t="s">
        <v>243</v>
      </c>
      <c r="H117" s="51" t="s">
        <v>249</v>
      </c>
      <c r="I117" s="52"/>
      <c r="J117" s="130">
        <v>2500</v>
      </c>
      <c r="K117" s="53">
        <v>3</v>
      </c>
      <c r="L117" s="54" t="str">
        <f>IFERROR(VLOOKUP(VLOOKUP(N117,N117,1,1),Categories!$K$4:$V$17,2+VLOOKUP(K117,K117,1,1)),"-"  )</f>
        <v>~10</v>
      </c>
      <c r="M117" s="54" t="str">
        <f>IFERROR(VLOOKUP(VLOOKUP(N117,N117,1,1),Categories!$K$3:$V$17,7+VLOOKUP(K117,K117,1,1)),"-")</f>
        <v>1.5 rev.</v>
      </c>
      <c r="N117" s="55" t="s">
        <v>114</v>
      </c>
      <c r="O117" s="193" t="s">
        <v>0</v>
      </c>
      <c r="P117" s="202" t="s">
        <v>0</v>
      </c>
      <c r="Q117" s="149"/>
      <c r="R117" s="142"/>
      <c r="S117" s="142"/>
      <c r="T117" s="142"/>
      <c r="U117" s="145"/>
      <c r="V117" s="145"/>
      <c r="W117" s="146"/>
      <c r="X117" s="147"/>
      <c r="Y117" s="147"/>
      <c r="Z117" s="147"/>
      <c r="AA117" s="147"/>
      <c r="AB117" s="147"/>
      <c r="AC117" s="147"/>
      <c r="AD117" s="147"/>
      <c r="AE117" s="147"/>
      <c r="AF117" s="146"/>
      <c r="AG117" s="148"/>
      <c r="AH117" s="141"/>
      <c r="AI117" s="48"/>
      <c r="AJ117" s="56"/>
      <c r="AK117" s="56"/>
    </row>
    <row r="118" spans="1:37" ht="31.95" customHeight="1" x14ac:dyDescent="0.3">
      <c r="A118" s="12"/>
      <c r="B118" s="122"/>
      <c r="C118" s="49"/>
      <c r="D118" s="49">
        <f>IF(H118=Categories!$E$4,VLOOKUP(G118,Categories!$A$4:$C$13,3,1),VLOOKUP(H118,Categories!$E$4:$G$24,3,1))</f>
        <v>120</v>
      </c>
      <c r="E118" s="49"/>
      <c r="F118" s="44">
        <v>11</v>
      </c>
      <c r="G118" s="50" t="s">
        <v>44</v>
      </c>
      <c r="H118" s="45" t="s">
        <v>0</v>
      </c>
      <c r="I118" s="52"/>
      <c r="J118" s="130">
        <v>2500</v>
      </c>
      <c r="K118" s="53">
        <v>3</v>
      </c>
      <c r="L118" s="54" t="str">
        <f>IFERROR(VLOOKUP(VLOOKUP(N118,N118,1,1),Categories!$K$4:$V$17,2+VLOOKUP(K118,K118,1,1)),"-"  )</f>
        <v>~10</v>
      </c>
      <c r="M118" s="54" t="str">
        <f>IFERROR(VLOOKUP(VLOOKUP(N118,N118,1,1),Categories!$K$3:$V$17,7+VLOOKUP(K118,K118,1,1)),"-")</f>
        <v>1.5 rev.</v>
      </c>
      <c r="N118" s="55" t="s">
        <v>114</v>
      </c>
      <c r="O118" s="193" t="s">
        <v>0</v>
      </c>
      <c r="P118" s="202" t="s">
        <v>0</v>
      </c>
      <c r="Q118" s="149"/>
      <c r="R118" s="142"/>
      <c r="S118" s="142"/>
      <c r="T118" s="142"/>
      <c r="U118" s="145"/>
      <c r="V118" s="145"/>
      <c r="W118" s="146"/>
      <c r="X118" s="147"/>
      <c r="Y118" s="147"/>
      <c r="Z118" s="147"/>
      <c r="AA118" s="147"/>
      <c r="AB118" s="147"/>
      <c r="AC118" s="147"/>
      <c r="AD118" s="147"/>
      <c r="AE118" s="147"/>
      <c r="AF118" s="146"/>
      <c r="AG118" s="148"/>
      <c r="AH118" s="141"/>
      <c r="AI118" s="48"/>
      <c r="AJ118" s="56"/>
      <c r="AK118" s="56"/>
    </row>
    <row r="119" spans="1:37" ht="31.95" customHeight="1" x14ac:dyDescent="0.3">
      <c r="A119" s="12"/>
      <c r="B119" s="122"/>
      <c r="C119" s="49"/>
      <c r="D119" s="49">
        <f>IF(H119=Categories!$E$4,VLOOKUP(G119,Categories!$A$4:$C$13,3,1),VLOOKUP(H119,Categories!$E$4:$G$24,3,1))</f>
        <v>45</v>
      </c>
      <c r="E119" s="49"/>
      <c r="F119" s="44">
        <v>11</v>
      </c>
      <c r="G119" s="50" t="s">
        <v>243</v>
      </c>
      <c r="H119" s="51" t="s">
        <v>249</v>
      </c>
      <c r="I119" s="52"/>
      <c r="J119" s="130">
        <v>2500</v>
      </c>
      <c r="K119" s="53">
        <v>4</v>
      </c>
      <c r="L119" s="54" t="str">
        <f>IFERROR(VLOOKUP(VLOOKUP(N119,N119,1,1),Categories!$K$4:$V$17,2+VLOOKUP(K119,K119,1,1)),"-"  )</f>
        <v>~11</v>
      </c>
      <c r="M119" s="54" t="str">
        <f>IFERROR(VLOOKUP(VLOOKUP(N119,N119,1,1),Categories!$K$3:$V$17,7+VLOOKUP(K119,K119,1,1)),"-")</f>
        <v>2.0 rev.</v>
      </c>
      <c r="N119" s="55" t="s">
        <v>114</v>
      </c>
      <c r="O119" s="193" t="s">
        <v>0</v>
      </c>
      <c r="P119" s="202" t="s">
        <v>0</v>
      </c>
      <c r="Q119" s="149"/>
      <c r="R119" s="142"/>
      <c r="S119" s="142"/>
      <c r="T119" s="142"/>
      <c r="U119" s="145"/>
      <c r="V119" s="145"/>
      <c r="W119" s="146"/>
      <c r="X119" s="147"/>
      <c r="Y119" s="147"/>
      <c r="Z119" s="147"/>
      <c r="AA119" s="147"/>
      <c r="AB119" s="147"/>
      <c r="AC119" s="147"/>
      <c r="AD119" s="147"/>
      <c r="AE119" s="147"/>
      <c r="AF119" s="146"/>
      <c r="AG119" s="148"/>
      <c r="AH119" s="141"/>
      <c r="AI119" s="48"/>
      <c r="AJ119" s="56"/>
      <c r="AK119" s="56"/>
    </row>
    <row r="120" spans="1:37" ht="31.95" customHeight="1" x14ac:dyDescent="0.3">
      <c r="A120" s="12"/>
      <c r="B120" s="122"/>
      <c r="C120" s="49"/>
      <c r="D120" s="49">
        <f>IF(H120=Categories!$E$4,VLOOKUP(G120,Categories!$A$4:$C$13,3,1),VLOOKUP(H120,Categories!$E$4:$G$24,3,1))</f>
        <v>120</v>
      </c>
      <c r="E120" s="49"/>
      <c r="F120" s="44">
        <v>11</v>
      </c>
      <c r="G120" s="50" t="s">
        <v>44</v>
      </c>
      <c r="H120" s="45" t="s">
        <v>0</v>
      </c>
      <c r="I120" s="52"/>
      <c r="J120" s="130">
        <v>2500</v>
      </c>
      <c r="K120" s="53">
        <v>4</v>
      </c>
      <c r="L120" s="54" t="str">
        <f>IFERROR(VLOOKUP(VLOOKUP(N120,N120,1,1),Categories!$K$4:$V$17,2+VLOOKUP(K120,K120,1,1)),"-"  )</f>
        <v>~11</v>
      </c>
      <c r="M120" s="54" t="str">
        <f>IFERROR(VLOOKUP(VLOOKUP(N120,N120,1,1),Categories!$K$3:$V$17,7+VLOOKUP(K120,K120,1,1)),"-")</f>
        <v>2.0 rev.</v>
      </c>
      <c r="N120" s="55" t="s">
        <v>114</v>
      </c>
      <c r="O120" s="193" t="s">
        <v>0</v>
      </c>
      <c r="P120" s="202" t="s">
        <v>0</v>
      </c>
      <c r="Q120" s="149"/>
      <c r="R120" s="142"/>
      <c r="S120" s="142"/>
      <c r="T120" s="186"/>
      <c r="U120" s="145"/>
      <c r="V120" s="145"/>
      <c r="W120" s="146"/>
      <c r="X120" s="147"/>
      <c r="Y120" s="147"/>
      <c r="Z120" s="147"/>
      <c r="AA120" s="147"/>
      <c r="AB120" s="147"/>
      <c r="AC120" s="147"/>
      <c r="AD120" s="147"/>
      <c r="AE120" s="147"/>
      <c r="AF120" s="146"/>
      <c r="AG120" s="148"/>
      <c r="AH120" s="141"/>
      <c r="AI120" s="48"/>
      <c r="AJ120" s="56"/>
      <c r="AK120" s="56"/>
    </row>
    <row r="121" spans="1:37" ht="31.95" customHeight="1" x14ac:dyDescent="0.3">
      <c r="A121" s="12"/>
      <c r="B121" s="122"/>
      <c r="C121" s="49"/>
      <c r="D121" s="49">
        <f>IF(H121=Categories!$E$4,VLOOKUP(G121,Categories!$A$4:$C$13,3,1),VLOOKUP(H121,Categories!$E$4:$G$24,3,1))</f>
        <v>45</v>
      </c>
      <c r="E121" s="49"/>
      <c r="F121" s="44">
        <v>11</v>
      </c>
      <c r="G121" s="50" t="s">
        <v>243</v>
      </c>
      <c r="H121" s="51" t="s">
        <v>249</v>
      </c>
      <c r="I121" s="52"/>
      <c r="J121" s="130">
        <v>2500</v>
      </c>
      <c r="K121" s="53">
        <v>5</v>
      </c>
      <c r="L121" s="54" t="str">
        <f>IFERROR(VLOOKUP(VLOOKUP(N121,N121,1,1),Categories!$K$4:$V$17,2+VLOOKUP(K121,K121,1,1)),"-"  )</f>
        <v>~12</v>
      </c>
      <c r="M121" s="54" t="str">
        <f>IFERROR(VLOOKUP(VLOOKUP(N121,N121,1,1),Categories!$K$3:$V$17,7+VLOOKUP(K121,K121,1,1)),"-")</f>
        <v>2.5 rev.</v>
      </c>
      <c r="N121" s="55" t="s">
        <v>114</v>
      </c>
      <c r="O121" s="193" t="s">
        <v>0</v>
      </c>
      <c r="P121" s="202" t="s">
        <v>0</v>
      </c>
      <c r="Q121" s="149"/>
      <c r="R121" s="142"/>
      <c r="S121" s="142"/>
      <c r="T121" s="186"/>
      <c r="U121" s="145"/>
      <c r="V121" s="145"/>
      <c r="W121" s="146"/>
      <c r="X121" s="147"/>
      <c r="Y121" s="147"/>
      <c r="Z121" s="147"/>
      <c r="AA121" s="147"/>
      <c r="AB121" s="147"/>
      <c r="AC121" s="147"/>
      <c r="AD121" s="147"/>
      <c r="AE121" s="147"/>
      <c r="AF121" s="146"/>
      <c r="AG121" s="148"/>
      <c r="AH121" s="141"/>
      <c r="AI121" s="48"/>
      <c r="AJ121" s="56"/>
      <c r="AK121" s="56"/>
    </row>
    <row r="122" spans="1:37" ht="31.95" customHeight="1" x14ac:dyDescent="0.3">
      <c r="A122" s="12"/>
      <c r="B122" s="122"/>
      <c r="C122" s="49"/>
      <c r="D122" s="49">
        <f>IF(H122=Categories!$E$4,VLOOKUP(G122,Categories!$A$4:$C$13,3,1),VLOOKUP(H122,Categories!$E$4:$G$24,3,1))</f>
        <v>120</v>
      </c>
      <c r="E122" s="49"/>
      <c r="F122" s="44">
        <v>11</v>
      </c>
      <c r="G122" s="50" t="s">
        <v>44</v>
      </c>
      <c r="H122" s="45" t="s">
        <v>0</v>
      </c>
      <c r="I122" s="52"/>
      <c r="J122" s="130">
        <v>2500</v>
      </c>
      <c r="K122" s="53">
        <v>5</v>
      </c>
      <c r="L122" s="54" t="str">
        <f>IFERROR(VLOOKUP(VLOOKUP(N122,N122,1,1),Categories!$K$4:$V$17,2+VLOOKUP(K122,K122,1,1)),"-"  )</f>
        <v>~12</v>
      </c>
      <c r="M122" s="54" t="str">
        <f>IFERROR(VLOOKUP(VLOOKUP(N122,N122,1,1),Categories!$K$3:$V$17,7+VLOOKUP(K122,K122,1,1)),"-")</f>
        <v>2.5 rev.</v>
      </c>
      <c r="N122" s="55" t="s">
        <v>114</v>
      </c>
      <c r="O122" s="193" t="s">
        <v>0</v>
      </c>
      <c r="P122" s="202" t="s">
        <v>0</v>
      </c>
      <c r="Q122" s="149"/>
      <c r="R122" s="142"/>
      <c r="S122" s="142"/>
      <c r="T122" s="142"/>
      <c r="U122" s="145"/>
      <c r="V122" s="145"/>
      <c r="W122" s="146"/>
      <c r="X122" s="147"/>
      <c r="Y122" s="147"/>
      <c r="Z122" s="147"/>
      <c r="AA122" s="147"/>
      <c r="AB122" s="147"/>
      <c r="AC122" s="147"/>
      <c r="AD122" s="147"/>
      <c r="AE122" s="147"/>
      <c r="AF122" s="146"/>
      <c r="AG122" s="148"/>
      <c r="AH122" s="141"/>
      <c r="AI122" s="48"/>
      <c r="AJ122" s="56"/>
      <c r="AK122" s="56"/>
    </row>
    <row r="123" spans="1:37" ht="31.95" customHeight="1" x14ac:dyDescent="0.3">
      <c r="A123" s="12"/>
      <c r="B123" s="122"/>
      <c r="C123" s="49"/>
      <c r="D123" s="49">
        <f>IF(H123=Categories!$E$4,VLOOKUP(G123,Categories!$A$4:$C$13,3,1),VLOOKUP(H123,Categories!$E$4:$G$24,3,1))</f>
        <v>45</v>
      </c>
      <c r="E123" s="49"/>
      <c r="F123" s="44">
        <v>11</v>
      </c>
      <c r="G123" s="50" t="s">
        <v>243</v>
      </c>
      <c r="H123" s="51" t="s">
        <v>250</v>
      </c>
      <c r="I123" s="52"/>
      <c r="J123" s="130">
        <v>2500</v>
      </c>
      <c r="K123" s="53">
        <v>1</v>
      </c>
      <c r="L123" s="54">
        <f>IFERROR(VLOOKUP(VLOOKUP(N123,N123,1,1),Categories!$K$4:$V$17,2+VLOOKUP(K123,K123,1,1)),"-"  )</f>
        <v>2.33</v>
      </c>
      <c r="M123" s="54" t="str">
        <f>IFERROR(VLOOKUP(VLOOKUP(N123,N123,1,1),Categories!$K$3:$V$17,7+VLOOKUP(K123,K123,1,1)),"-")</f>
        <v>0 rev.</v>
      </c>
      <c r="N123" s="55" t="s">
        <v>114</v>
      </c>
      <c r="O123" s="193" t="s">
        <v>0</v>
      </c>
      <c r="P123" s="202" t="s">
        <v>0</v>
      </c>
      <c r="Q123" s="149"/>
      <c r="R123" s="142"/>
      <c r="S123" s="142"/>
      <c r="T123" s="142"/>
      <c r="U123" s="145"/>
      <c r="V123" s="145"/>
      <c r="W123" s="146"/>
      <c r="X123" s="147"/>
      <c r="Y123" s="147"/>
      <c r="Z123" s="147"/>
      <c r="AA123" s="147"/>
      <c r="AB123" s="147"/>
      <c r="AC123" s="147"/>
      <c r="AD123" s="147"/>
      <c r="AE123" s="147"/>
      <c r="AF123" s="146"/>
      <c r="AG123" s="148"/>
      <c r="AH123" s="141"/>
      <c r="AI123" s="48"/>
      <c r="AJ123" s="56"/>
      <c r="AK123" s="56"/>
    </row>
    <row r="124" spans="1:37" ht="31.95" customHeight="1" x14ac:dyDescent="0.3">
      <c r="A124" s="12"/>
      <c r="B124" s="203"/>
      <c r="C124" s="49"/>
      <c r="D124" s="49">
        <f>IF(H124=Categories!$E$4,VLOOKUP(G124,Categories!$A$4:$C$13,3,1),VLOOKUP(H124,Categories!$E$4:$G$24,3,1))</f>
        <v>120</v>
      </c>
      <c r="E124" s="49"/>
      <c r="F124" s="44">
        <v>11</v>
      </c>
      <c r="G124" s="50" t="s">
        <v>247</v>
      </c>
      <c r="H124" s="45" t="s">
        <v>0</v>
      </c>
      <c r="I124" s="52"/>
      <c r="J124" s="130">
        <v>2500</v>
      </c>
      <c r="K124" s="53">
        <v>1</v>
      </c>
      <c r="L124" s="54">
        <f>IFERROR(VLOOKUP(VLOOKUP(N124,N124,1,1),Categories!$K$4:$V$17,2+VLOOKUP(K124,K124,1,1)),"-"  )</f>
        <v>2.33</v>
      </c>
      <c r="M124" s="54" t="str">
        <f>IFERROR(VLOOKUP(VLOOKUP(N124,N124,1,1),Categories!$K$3:$V$17,7+VLOOKUP(K124,K124,1,1)),"-")</f>
        <v>0 rev.</v>
      </c>
      <c r="N124" s="55" t="s">
        <v>114</v>
      </c>
      <c r="O124" s="193" t="s">
        <v>0</v>
      </c>
      <c r="P124" s="202" t="s">
        <v>0</v>
      </c>
      <c r="Q124" s="149"/>
      <c r="R124" s="142"/>
      <c r="S124" s="142"/>
      <c r="T124" s="142"/>
      <c r="U124" s="145"/>
      <c r="V124" s="145"/>
      <c r="W124" s="146"/>
      <c r="X124" s="147"/>
      <c r="Y124" s="147"/>
      <c r="Z124" s="147"/>
      <c r="AA124" s="147"/>
      <c r="AB124" s="147"/>
      <c r="AC124" s="147"/>
      <c r="AD124" s="147"/>
      <c r="AE124" s="147"/>
      <c r="AF124" s="146"/>
      <c r="AG124" s="148"/>
      <c r="AH124" s="141"/>
      <c r="AI124" s="48"/>
      <c r="AJ124" s="56"/>
      <c r="AK124" s="56"/>
    </row>
    <row r="125" spans="1:37" ht="31.95" customHeight="1" x14ac:dyDescent="0.3">
      <c r="A125" s="12"/>
      <c r="B125" s="122"/>
      <c r="C125" s="49"/>
      <c r="D125" s="49">
        <f>IF(H125=Categories!$E$4,VLOOKUP(G125,Categories!$A$4:$C$13,3,1),VLOOKUP(H125,Categories!$E$4:$G$24,3,1))</f>
        <v>45</v>
      </c>
      <c r="E125" s="49"/>
      <c r="F125" s="44" t="s">
        <v>0</v>
      </c>
      <c r="G125" s="50" t="s">
        <v>243</v>
      </c>
      <c r="H125" s="51" t="s">
        <v>2</v>
      </c>
      <c r="I125" s="52"/>
      <c r="J125" s="130">
        <v>2800</v>
      </c>
      <c r="K125" s="53">
        <v>1</v>
      </c>
      <c r="L125" s="54">
        <f>IFERROR(VLOOKUP(VLOOKUP(N125,N125,1,1),Categories!$K$4:$V$17,2+VLOOKUP(K125,K125,1,1)),"-"  )</f>
        <v>2.33</v>
      </c>
      <c r="M125" s="54" t="str">
        <f>IFERROR(VLOOKUP(VLOOKUP(N125,N125,1,1),Categories!$K$3:$V$17,7+VLOOKUP(K125,K125,1,1)),"-")</f>
        <v>0 rev.</v>
      </c>
      <c r="N125" s="55" t="s">
        <v>114</v>
      </c>
      <c r="O125" s="193" t="s">
        <v>0</v>
      </c>
      <c r="P125" s="202" t="s">
        <v>0</v>
      </c>
      <c r="Q125" s="149"/>
      <c r="R125" s="142"/>
      <c r="S125" s="142"/>
      <c r="T125" s="142"/>
      <c r="U125" s="145"/>
      <c r="V125" s="145"/>
      <c r="W125" s="146"/>
      <c r="X125" s="147"/>
      <c r="Y125" s="147"/>
      <c r="Z125" s="147"/>
      <c r="AA125" s="147"/>
      <c r="AB125" s="147"/>
      <c r="AC125" s="147"/>
      <c r="AD125" s="147"/>
      <c r="AE125" s="147"/>
      <c r="AF125" s="146"/>
      <c r="AG125" s="148"/>
      <c r="AH125" s="141" t="s">
        <v>253</v>
      </c>
      <c r="AI125" s="56" t="s">
        <v>281</v>
      </c>
      <c r="AJ125" s="56"/>
      <c r="AK125" s="56"/>
    </row>
    <row r="126" spans="1:37" ht="31.95" customHeight="1" x14ac:dyDescent="0.3">
      <c r="A126" s="183"/>
      <c r="B126" s="184"/>
      <c r="C126" s="49"/>
      <c r="D126" s="49">
        <f>IF(H126=Categories!$E$4,VLOOKUP(G126,Categories!$A$4:$C$13,3,1),VLOOKUP(H126,Categories!$E$4:$G$24,3,1))</f>
        <v>120</v>
      </c>
      <c r="E126" s="49"/>
      <c r="F126" s="44">
        <v>12</v>
      </c>
      <c r="G126" s="50" t="s">
        <v>44</v>
      </c>
      <c r="H126" s="51" t="s">
        <v>0</v>
      </c>
      <c r="I126" s="52"/>
      <c r="J126" s="130">
        <v>2800</v>
      </c>
      <c r="K126" s="53">
        <v>1</v>
      </c>
      <c r="L126" s="54">
        <f>IFERROR(VLOOKUP(VLOOKUP(N126,N126,1,1),Categories!$K$4:$V$17,2+VLOOKUP(K126,K126,1,1)),"-"  )</f>
        <v>2.33</v>
      </c>
      <c r="M126" s="54" t="str">
        <f>IFERROR(VLOOKUP(VLOOKUP(N126,N126,1,1),Categories!$K$3:$V$17,7+VLOOKUP(K126,K126,1,1)),"-")</f>
        <v>0 rev.</v>
      </c>
      <c r="N126" s="55" t="s">
        <v>114</v>
      </c>
      <c r="O126" s="193" t="s">
        <v>0</v>
      </c>
      <c r="P126" s="202" t="s">
        <v>0</v>
      </c>
      <c r="Q126" s="185"/>
      <c r="R126" s="186"/>
      <c r="S126" s="186"/>
      <c r="T126" s="142"/>
      <c r="U126" s="187"/>
      <c r="V126" s="187"/>
      <c r="W126" s="188"/>
      <c r="X126" s="189"/>
      <c r="Y126" s="189"/>
      <c r="Z126" s="189"/>
      <c r="AA126" s="189"/>
      <c r="AB126" s="189"/>
      <c r="AC126" s="189"/>
      <c r="AD126" s="189"/>
      <c r="AE126" s="189"/>
      <c r="AF126" s="188"/>
      <c r="AG126" s="190"/>
      <c r="AH126" s="141" t="s">
        <v>263</v>
      </c>
      <c r="AI126" s="56"/>
      <c r="AJ126" s="56"/>
      <c r="AK126" s="56"/>
    </row>
    <row r="127" spans="1:37" ht="31.95" customHeight="1" x14ac:dyDescent="0.3">
      <c r="A127" s="183"/>
      <c r="B127" s="184"/>
      <c r="C127" s="49"/>
      <c r="D127" s="49">
        <f>IF(H127=Categories!$E$4,VLOOKUP(G127,Categories!$A$4:$C$13,3,1),VLOOKUP(H127,Categories!$E$4:$G$24,3,1))</f>
        <v>45</v>
      </c>
      <c r="E127" s="49"/>
      <c r="F127" s="44">
        <v>12</v>
      </c>
      <c r="G127" s="50" t="s">
        <v>243</v>
      </c>
      <c r="H127" s="51" t="s">
        <v>249</v>
      </c>
      <c r="I127" s="52"/>
      <c r="J127" s="130">
        <v>2800</v>
      </c>
      <c r="K127" s="53">
        <v>2</v>
      </c>
      <c r="L127" s="54" t="str">
        <f>IFERROR(VLOOKUP(VLOOKUP(N127,N127,1,1),Categories!$K$4:$V$17,2+VLOOKUP(K127,K127,1,1)),"-"  )</f>
        <v>~9</v>
      </c>
      <c r="M127" s="54" t="str">
        <f>IFERROR(VLOOKUP(VLOOKUP(N127,N127,1,1),Categories!$K$3:$V$17,7+VLOOKUP(K127,K127,1,1)),"-")</f>
        <v>1.0 rev.</v>
      </c>
      <c r="N127" s="55" t="s">
        <v>114</v>
      </c>
      <c r="O127" s="193" t="s">
        <v>0</v>
      </c>
      <c r="P127" s="202" t="s">
        <v>0</v>
      </c>
      <c r="Q127" s="185"/>
      <c r="R127" s="186"/>
      <c r="S127" s="186"/>
      <c r="T127" s="142"/>
      <c r="U127" s="187"/>
      <c r="V127" s="187"/>
      <c r="W127" s="188"/>
      <c r="X127" s="189"/>
      <c r="Y127" s="189"/>
      <c r="Z127" s="189"/>
      <c r="AA127" s="189"/>
      <c r="AB127" s="189"/>
      <c r="AC127" s="189"/>
      <c r="AD127" s="189"/>
      <c r="AE127" s="189"/>
      <c r="AF127" s="188"/>
      <c r="AG127" s="190"/>
      <c r="AH127" s="141"/>
      <c r="AI127" s="56"/>
      <c r="AJ127" s="56"/>
      <c r="AK127" s="56"/>
    </row>
    <row r="128" spans="1:37" ht="31.95" customHeight="1" x14ac:dyDescent="0.3">
      <c r="A128" s="12"/>
      <c r="B128" s="122"/>
      <c r="C128" s="49"/>
      <c r="D128" s="49">
        <f>IF(H128=Categories!$E$4,VLOOKUP(G128,Categories!$A$4:$C$13,3,1),VLOOKUP(H128,Categories!$E$4:$G$24,3,1))</f>
        <v>120</v>
      </c>
      <c r="E128" s="49"/>
      <c r="F128" s="44">
        <v>12</v>
      </c>
      <c r="G128" s="50" t="s">
        <v>44</v>
      </c>
      <c r="H128" s="45" t="s">
        <v>0</v>
      </c>
      <c r="I128" s="52"/>
      <c r="J128" s="130">
        <v>2800</v>
      </c>
      <c r="K128" s="53">
        <v>2</v>
      </c>
      <c r="L128" s="54" t="str">
        <f>IFERROR(VLOOKUP(VLOOKUP(N128,N128,1,1),Categories!$K$4:$V$17,2+VLOOKUP(K128,K128,1,1)),"-"  )</f>
        <v>~9</v>
      </c>
      <c r="M128" s="54" t="str">
        <f>IFERROR(VLOOKUP(VLOOKUP(N128,N128,1,1),Categories!$K$3:$V$17,7+VLOOKUP(K128,K128,1,1)),"-")</f>
        <v>1.0 rev.</v>
      </c>
      <c r="N128" s="55" t="s">
        <v>114</v>
      </c>
      <c r="O128" s="193" t="s">
        <v>0</v>
      </c>
      <c r="P128" s="202" t="s">
        <v>0</v>
      </c>
      <c r="Q128" s="149"/>
      <c r="R128" s="142"/>
      <c r="S128" s="142"/>
      <c r="T128" s="142"/>
      <c r="U128" s="145"/>
      <c r="V128" s="145"/>
      <c r="W128" s="146"/>
      <c r="X128" s="147"/>
      <c r="Y128" s="147"/>
      <c r="Z128" s="147"/>
      <c r="AA128" s="147"/>
      <c r="AB128" s="147"/>
      <c r="AC128" s="147"/>
      <c r="AD128" s="147"/>
      <c r="AE128" s="147"/>
      <c r="AF128" s="146"/>
      <c r="AG128" s="148"/>
      <c r="AH128" s="141" t="s">
        <v>263</v>
      </c>
      <c r="AI128" s="48"/>
      <c r="AJ128" s="56"/>
      <c r="AK128" s="56"/>
    </row>
    <row r="129" spans="1:37" ht="31.95" customHeight="1" x14ac:dyDescent="0.3">
      <c r="A129" s="12"/>
      <c r="B129" s="122"/>
      <c r="C129" s="49"/>
      <c r="D129" s="49">
        <f>IF(H129=Categories!$E$4,VLOOKUP(G129,Categories!$A$4:$C$13,3,1),VLOOKUP(H129,Categories!$E$4:$G$24,3,1))</f>
        <v>45</v>
      </c>
      <c r="E129" s="49"/>
      <c r="F129" s="44">
        <v>12</v>
      </c>
      <c r="G129" s="50" t="s">
        <v>243</v>
      </c>
      <c r="H129" s="51" t="s">
        <v>249</v>
      </c>
      <c r="I129" s="52"/>
      <c r="J129" s="130">
        <v>2800</v>
      </c>
      <c r="K129" s="53">
        <v>3</v>
      </c>
      <c r="L129" s="54" t="str">
        <f>IFERROR(VLOOKUP(VLOOKUP(N129,N129,1,1),Categories!$K$4:$V$17,2+VLOOKUP(K129,K129,1,1)),"-"  )</f>
        <v>~10</v>
      </c>
      <c r="M129" s="54" t="str">
        <f>IFERROR(VLOOKUP(VLOOKUP(N129,N129,1,1),Categories!$K$3:$V$17,7+VLOOKUP(K129,K129,1,1)),"-")</f>
        <v>1.5 rev.</v>
      </c>
      <c r="N129" s="55" t="s">
        <v>114</v>
      </c>
      <c r="O129" s="193" t="s">
        <v>0</v>
      </c>
      <c r="P129" s="202" t="s">
        <v>0</v>
      </c>
      <c r="Q129" s="149"/>
      <c r="R129" s="142"/>
      <c r="S129" s="142"/>
      <c r="T129" s="142"/>
      <c r="U129" s="145"/>
      <c r="V129" s="145"/>
      <c r="W129" s="146"/>
      <c r="X129" s="147"/>
      <c r="Y129" s="147"/>
      <c r="Z129" s="147"/>
      <c r="AA129" s="147"/>
      <c r="AB129" s="147"/>
      <c r="AC129" s="147"/>
      <c r="AD129" s="147"/>
      <c r="AE129" s="147"/>
      <c r="AF129" s="146"/>
      <c r="AG129" s="148"/>
      <c r="AH129" s="141"/>
      <c r="AI129" s="48"/>
      <c r="AJ129" s="56"/>
      <c r="AK129" s="56"/>
    </row>
    <row r="130" spans="1:37" ht="31.95" customHeight="1" x14ac:dyDescent="0.3">
      <c r="A130" s="12"/>
      <c r="B130" s="122"/>
      <c r="C130" s="49"/>
      <c r="D130" s="49">
        <f>IF(H130=Categories!$E$4,VLOOKUP(G130,Categories!$A$4:$C$13,3,1),VLOOKUP(H130,Categories!$E$4:$G$24,3,1))</f>
        <v>120</v>
      </c>
      <c r="E130" s="49"/>
      <c r="F130" s="44">
        <v>12</v>
      </c>
      <c r="G130" s="50" t="s">
        <v>44</v>
      </c>
      <c r="H130" s="45" t="s">
        <v>0</v>
      </c>
      <c r="I130" s="52"/>
      <c r="J130" s="130">
        <v>2800</v>
      </c>
      <c r="K130" s="53">
        <v>3</v>
      </c>
      <c r="L130" s="54" t="str">
        <f>IFERROR(VLOOKUP(VLOOKUP(N130,N130,1,1),Categories!$K$4:$V$17,2+VLOOKUP(K130,K130,1,1)),"-"  )</f>
        <v>~10</v>
      </c>
      <c r="M130" s="54" t="str">
        <f>IFERROR(VLOOKUP(VLOOKUP(N130,N130,1,1),Categories!$K$3:$V$17,7+VLOOKUP(K130,K130,1,1)),"-")</f>
        <v>1.5 rev.</v>
      </c>
      <c r="N130" s="55" t="s">
        <v>114</v>
      </c>
      <c r="O130" s="193" t="s">
        <v>0</v>
      </c>
      <c r="P130" s="202" t="s">
        <v>0</v>
      </c>
      <c r="Q130" s="149"/>
      <c r="R130" s="142"/>
      <c r="S130" s="142"/>
      <c r="T130" s="142"/>
      <c r="U130" s="145"/>
      <c r="V130" s="145"/>
      <c r="W130" s="146"/>
      <c r="X130" s="147"/>
      <c r="Y130" s="147"/>
      <c r="Z130" s="147"/>
      <c r="AA130" s="147"/>
      <c r="AB130" s="147"/>
      <c r="AC130" s="147"/>
      <c r="AD130" s="147"/>
      <c r="AE130" s="147"/>
      <c r="AF130" s="146"/>
      <c r="AG130" s="148"/>
      <c r="AH130" s="141" t="s">
        <v>263</v>
      </c>
      <c r="AI130" s="48"/>
      <c r="AJ130" s="56"/>
      <c r="AK130" s="56"/>
    </row>
    <row r="131" spans="1:37" ht="31.95" customHeight="1" x14ac:dyDescent="0.3">
      <c r="A131" s="12"/>
      <c r="B131" s="122"/>
      <c r="C131" s="49"/>
      <c r="D131" s="49">
        <f>IF(H131=Categories!$E$4,VLOOKUP(G131,Categories!$A$4:$C$13,3,1),VLOOKUP(H131,Categories!$E$4:$G$24,3,1))</f>
        <v>45</v>
      </c>
      <c r="E131" s="49"/>
      <c r="F131" s="44">
        <v>12</v>
      </c>
      <c r="G131" s="50" t="s">
        <v>243</v>
      </c>
      <c r="H131" s="51" t="s">
        <v>249</v>
      </c>
      <c r="I131" s="52"/>
      <c r="J131" s="130">
        <v>2800</v>
      </c>
      <c r="K131" s="53">
        <v>4</v>
      </c>
      <c r="L131" s="54" t="str">
        <f>IFERROR(VLOOKUP(VLOOKUP(N131,N131,1,1),Categories!$K$4:$V$17,2+VLOOKUP(K131,K131,1,1)),"-"  )</f>
        <v>~11</v>
      </c>
      <c r="M131" s="54" t="str">
        <f>IFERROR(VLOOKUP(VLOOKUP(N131,N131,1,1),Categories!$K$3:$V$17,7+VLOOKUP(K131,K131,1,1)),"-")</f>
        <v>2.0 rev.</v>
      </c>
      <c r="N131" s="55" t="s">
        <v>114</v>
      </c>
      <c r="O131" s="193" t="s">
        <v>0</v>
      </c>
      <c r="P131" s="202" t="s">
        <v>0</v>
      </c>
      <c r="Q131" s="149"/>
      <c r="R131" s="142"/>
      <c r="S131" s="142"/>
      <c r="T131" s="142"/>
      <c r="U131" s="145"/>
      <c r="V131" s="145"/>
      <c r="W131" s="146"/>
      <c r="X131" s="147"/>
      <c r="Y131" s="147"/>
      <c r="Z131" s="147"/>
      <c r="AA131" s="147"/>
      <c r="AB131" s="147"/>
      <c r="AC131" s="147"/>
      <c r="AD131" s="147"/>
      <c r="AE131" s="147"/>
      <c r="AF131" s="146"/>
      <c r="AG131" s="148"/>
      <c r="AH131" s="141"/>
      <c r="AI131" s="48"/>
      <c r="AJ131" s="56"/>
      <c r="AK131" s="56"/>
    </row>
    <row r="132" spans="1:37" ht="31.95" customHeight="1" x14ac:dyDescent="0.3">
      <c r="A132" s="12"/>
      <c r="B132" s="122"/>
      <c r="C132" s="49"/>
      <c r="D132" s="49">
        <f>IF(H132=Categories!$E$4,VLOOKUP(G132,Categories!$A$4:$C$13,3,1),VLOOKUP(H132,Categories!$E$4:$G$24,3,1))</f>
        <v>120</v>
      </c>
      <c r="E132" s="49"/>
      <c r="F132" s="44">
        <v>12</v>
      </c>
      <c r="G132" s="50" t="s">
        <v>44</v>
      </c>
      <c r="H132" s="45" t="s">
        <v>0</v>
      </c>
      <c r="I132" s="52"/>
      <c r="J132" s="130">
        <v>2800</v>
      </c>
      <c r="K132" s="53">
        <v>4</v>
      </c>
      <c r="L132" s="54" t="str">
        <f>IFERROR(VLOOKUP(VLOOKUP(N132,N132,1,1),Categories!$K$4:$V$17,2+VLOOKUP(K132,K132,1,1)),"-"  )</f>
        <v>~11</v>
      </c>
      <c r="M132" s="54" t="str">
        <f>IFERROR(VLOOKUP(VLOOKUP(N132,N132,1,1),Categories!$K$3:$V$17,7+VLOOKUP(K132,K132,1,1)),"-")</f>
        <v>2.0 rev.</v>
      </c>
      <c r="N132" s="55" t="s">
        <v>114</v>
      </c>
      <c r="O132" s="193" t="s">
        <v>0</v>
      </c>
      <c r="P132" s="202" t="s">
        <v>0</v>
      </c>
      <c r="Q132" s="149"/>
      <c r="R132" s="142"/>
      <c r="S132" s="142"/>
      <c r="T132" s="186"/>
      <c r="U132" s="145"/>
      <c r="V132" s="145"/>
      <c r="W132" s="146"/>
      <c r="X132" s="147"/>
      <c r="Y132" s="147"/>
      <c r="Z132" s="147"/>
      <c r="AA132" s="147"/>
      <c r="AB132" s="147"/>
      <c r="AC132" s="147"/>
      <c r="AD132" s="147"/>
      <c r="AE132" s="147"/>
      <c r="AF132" s="146"/>
      <c r="AG132" s="148"/>
      <c r="AH132" s="141" t="s">
        <v>263</v>
      </c>
      <c r="AI132" s="48"/>
      <c r="AJ132" s="56"/>
      <c r="AK132" s="56"/>
    </row>
    <row r="133" spans="1:37" ht="31.95" customHeight="1" x14ac:dyDescent="0.3">
      <c r="A133" s="12"/>
      <c r="B133" s="122"/>
      <c r="C133" s="49"/>
      <c r="D133" s="49">
        <f>IF(H133=Categories!$E$4,VLOOKUP(G133,Categories!$A$4:$C$13,3,1),VLOOKUP(H133,Categories!$E$4:$G$24,3,1))</f>
        <v>45</v>
      </c>
      <c r="E133" s="49"/>
      <c r="F133" s="44">
        <v>12</v>
      </c>
      <c r="G133" s="50" t="s">
        <v>243</v>
      </c>
      <c r="H133" s="51" t="s">
        <v>249</v>
      </c>
      <c r="I133" s="52"/>
      <c r="J133" s="130">
        <v>2800</v>
      </c>
      <c r="K133" s="53">
        <v>5</v>
      </c>
      <c r="L133" s="54" t="str">
        <f>IFERROR(VLOOKUP(VLOOKUP(N133,N133,1,1),Categories!$K$4:$V$17,2+VLOOKUP(K133,K133,1,1)),"-"  )</f>
        <v>~12</v>
      </c>
      <c r="M133" s="54" t="str">
        <f>IFERROR(VLOOKUP(VLOOKUP(N133,N133,1,1),Categories!$K$3:$V$17,7+VLOOKUP(K133,K133,1,1)),"-")</f>
        <v>2.5 rev.</v>
      </c>
      <c r="N133" s="55" t="s">
        <v>114</v>
      </c>
      <c r="O133" s="193" t="s">
        <v>0</v>
      </c>
      <c r="P133" s="202" t="s">
        <v>0</v>
      </c>
      <c r="Q133" s="149"/>
      <c r="R133" s="142"/>
      <c r="S133" s="142"/>
      <c r="T133" s="186"/>
      <c r="U133" s="145"/>
      <c r="V133" s="145"/>
      <c r="W133" s="146"/>
      <c r="X133" s="147"/>
      <c r="Y133" s="147"/>
      <c r="Z133" s="147"/>
      <c r="AA133" s="147"/>
      <c r="AB133" s="147"/>
      <c r="AC133" s="147"/>
      <c r="AD133" s="147"/>
      <c r="AE133" s="147"/>
      <c r="AF133" s="146"/>
      <c r="AG133" s="148"/>
      <c r="AH133" s="141"/>
      <c r="AI133" s="48"/>
      <c r="AJ133" s="56"/>
      <c r="AK133" s="56"/>
    </row>
    <row r="134" spans="1:37" ht="31.95" customHeight="1" x14ac:dyDescent="0.3">
      <c r="A134" s="12"/>
      <c r="B134" s="122"/>
      <c r="C134" s="49"/>
      <c r="D134" s="49">
        <f>IF(H134=Categories!$E$4,VLOOKUP(G134,Categories!$A$4:$C$13,3,1),VLOOKUP(H134,Categories!$E$4:$G$24,3,1))</f>
        <v>120</v>
      </c>
      <c r="E134" s="49"/>
      <c r="F134" s="44">
        <v>12</v>
      </c>
      <c r="G134" s="50" t="s">
        <v>44</v>
      </c>
      <c r="H134" s="45" t="s">
        <v>0</v>
      </c>
      <c r="I134" s="52"/>
      <c r="J134" s="130">
        <v>2800</v>
      </c>
      <c r="K134" s="53">
        <v>5</v>
      </c>
      <c r="L134" s="54" t="str">
        <f>IFERROR(VLOOKUP(VLOOKUP(N134,N134,1,1),Categories!$K$4:$V$17,2+VLOOKUP(K134,K134,1,1)),"-"  )</f>
        <v>~12</v>
      </c>
      <c r="M134" s="54" t="str">
        <f>IFERROR(VLOOKUP(VLOOKUP(N134,N134,1,1),Categories!$K$3:$V$17,7+VLOOKUP(K134,K134,1,1)),"-")</f>
        <v>2.5 rev.</v>
      </c>
      <c r="N134" s="55" t="s">
        <v>114</v>
      </c>
      <c r="O134" s="193" t="s">
        <v>0</v>
      </c>
      <c r="P134" s="202" t="s">
        <v>0</v>
      </c>
      <c r="Q134" s="149"/>
      <c r="R134" s="142"/>
      <c r="S134" s="142"/>
      <c r="T134" s="186"/>
      <c r="U134" s="145"/>
      <c r="V134" s="145"/>
      <c r="W134" s="146"/>
      <c r="X134" s="147"/>
      <c r="Y134" s="147"/>
      <c r="Z134" s="147"/>
      <c r="AA134" s="147"/>
      <c r="AB134" s="147"/>
      <c r="AC134" s="147"/>
      <c r="AD134" s="147"/>
      <c r="AE134" s="147"/>
      <c r="AF134" s="146"/>
      <c r="AG134" s="148"/>
      <c r="AH134" s="141" t="s">
        <v>263</v>
      </c>
      <c r="AI134" s="48"/>
      <c r="AJ134" s="56"/>
      <c r="AK134" s="56"/>
    </row>
    <row r="135" spans="1:37" ht="31.95" customHeight="1" x14ac:dyDescent="0.3">
      <c r="A135" s="12"/>
      <c r="B135" s="122"/>
      <c r="C135" s="49"/>
      <c r="D135" s="49">
        <f>IF(H135=Categories!$E$4,VLOOKUP(G135,Categories!$A$4:$C$13,3,1),VLOOKUP(H135,Categories!$E$4:$G$24,3,1))</f>
        <v>45</v>
      </c>
      <c r="E135" s="49"/>
      <c r="F135" s="44">
        <v>12</v>
      </c>
      <c r="G135" s="50" t="s">
        <v>243</v>
      </c>
      <c r="H135" s="51" t="s">
        <v>250</v>
      </c>
      <c r="I135" s="52"/>
      <c r="J135" s="130">
        <v>2800</v>
      </c>
      <c r="K135" s="53">
        <v>1</v>
      </c>
      <c r="L135" s="54">
        <f>IFERROR(VLOOKUP(VLOOKUP(N135,N135,1,1),Categories!$K$4:$V$17,2+VLOOKUP(K135,K135,1,1)),"-"  )</f>
        <v>2.33</v>
      </c>
      <c r="M135" s="54" t="str">
        <f>IFERROR(VLOOKUP(VLOOKUP(N135,N135,1,1),Categories!$K$3:$V$17,7+VLOOKUP(K135,K135,1,1)),"-")</f>
        <v>0 rev.</v>
      </c>
      <c r="N135" s="55" t="s">
        <v>114</v>
      </c>
      <c r="O135" s="193" t="s">
        <v>0</v>
      </c>
      <c r="P135" s="202" t="s">
        <v>0</v>
      </c>
      <c r="Q135" s="149"/>
      <c r="R135" s="142"/>
      <c r="S135" s="142"/>
      <c r="T135" s="186"/>
      <c r="U135" s="145"/>
      <c r="V135" s="145"/>
      <c r="W135" s="146"/>
      <c r="X135" s="147"/>
      <c r="Y135" s="147"/>
      <c r="Z135" s="147"/>
      <c r="AA135" s="147"/>
      <c r="AB135" s="147"/>
      <c r="AC135" s="147"/>
      <c r="AD135" s="147"/>
      <c r="AE135" s="147"/>
      <c r="AF135" s="146"/>
      <c r="AG135" s="148"/>
      <c r="AH135" s="141"/>
      <c r="AI135" s="48"/>
      <c r="AJ135" s="56"/>
      <c r="AK135" s="56"/>
    </row>
    <row r="136" spans="1:37" ht="31.95" customHeight="1" x14ac:dyDescent="0.3">
      <c r="A136" s="12"/>
      <c r="B136" s="122"/>
      <c r="C136" s="49"/>
      <c r="D136" s="49">
        <f>IF(H136=Categories!$E$4,VLOOKUP(G136,Categories!$A$4:$C$13,3,1),VLOOKUP(H136,Categories!$E$4:$G$24,3,1))</f>
        <v>120</v>
      </c>
      <c r="E136" s="49"/>
      <c r="F136" s="44">
        <v>12</v>
      </c>
      <c r="G136" s="50" t="s">
        <v>247</v>
      </c>
      <c r="H136" s="45" t="s">
        <v>0</v>
      </c>
      <c r="I136" s="52"/>
      <c r="J136" s="130">
        <v>2800</v>
      </c>
      <c r="K136" s="53">
        <v>1</v>
      </c>
      <c r="L136" s="54">
        <f>IFERROR(VLOOKUP(VLOOKUP(N136,N136,1,1),Categories!$K$4:$V$17,2+VLOOKUP(K136,K136,1,1)),"-"  )</f>
        <v>2.33</v>
      </c>
      <c r="M136" s="54" t="str">
        <f>IFERROR(VLOOKUP(VLOOKUP(N136,N136,1,1),Categories!$K$3:$V$17,7+VLOOKUP(K136,K136,1,1)),"-")</f>
        <v>0 rev.</v>
      </c>
      <c r="N136" s="55" t="s">
        <v>114</v>
      </c>
      <c r="O136" s="193" t="s">
        <v>0</v>
      </c>
      <c r="P136" s="202" t="s">
        <v>0</v>
      </c>
      <c r="Q136" s="149"/>
      <c r="R136" s="142"/>
      <c r="S136" s="142"/>
      <c r="T136" s="142"/>
      <c r="U136" s="145"/>
      <c r="V136" s="145"/>
      <c r="W136" s="146"/>
      <c r="X136" s="147"/>
      <c r="Y136" s="147"/>
      <c r="Z136" s="147"/>
      <c r="AA136" s="147"/>
      <c r="AB136" s="147"/>
      <c r="AC136" s="147"/>
      <c r="AD136" s="147"/>
      <c r="AE136" s="147"/>
      <c r="AF136" s="146"/>
      <c r="AG136" s="148"/>
      <c r="AH136" s="141"/>
      <c r="AI136" s="48"/>
      <c r="AJ136" s="56"/>
      <c r="AK136" s="56"/>
    </row>
    <row r="137" spans="1:37" ht="31.95" customHeight="1" x14ac:dyDescent="0.3">
      <c r="A137" s="12"/>
      <c r="B137" s="122"/>
      <c r="C137" s="49"/>
      <c r="D137" s="49">
        <f>IF(H137=Categories!$E$4,VLOOKUP(G137,Categories!$A$4:$C$13,3,1),VLOOKUP(H137,Categories!$E$4:$G$24,3,1))</f>
        <v>45</v>
      </c>
      <c r="E137" s="49"/>
      <c r="F137" s="44" t="s">
        <v>0</v>
      </c>
      <c r="G137" s="50" t="s">
        <v>243</v>
      </c>
      <c r="H137" s="51" t="s">
        <v>2</v>
      </c>
      <c r="I137" s="52"/>
      <c r="J137" s="130">
        <v>3100</v>
      </c>
      <c r="K137" s="53">
        <v>1</v>
      </c>
      <c r="L137" s="54">
        <f>IFERROR(VLOOKUP(VLOOKUP(N137,N137,1,1),Categories!$K$4:$V$17,2+VLOOKUP(K137,K137,1,1)),"-"  )</f>
        <v>2.33</v>
      </c>
      <c r="M137" s="54" t="str">
        <f>IFERROR(VLOOKUP(VLOOKUP(N137,N137,1,1),Categories!$K$3:$V$17,7+VLOOKUP(K137,K137,1,1)),"-")</f>
        <v>0 rev.</v>
      </c>
      <c r="N137" s="55" t="s">
        <v>114</v>
      </c>
      <c r="O137" s="193" t="s">
        <v>0</v>
      </c>
      <c r="P137" s="202" t="s">
        <v>0</v>
      </c>
      <c r="Q137" s="149"/>
      <c r="R137" s="142"/>
      <c r="S137" s="142"/>
      <c r="T137" s="142"/>
      <c r="U137" s="145"/>
      <c r="V137" s="145"/>
      <c r="W137" s="146"/>
      <c r="X137" s="147"/>
      <c r="Y137" s="147"/>
      <c r="Z137" s="147"/>
      <c r="AA137" s="147"/>
      <c r="AB137" s="147"/>
      <c r="AC137" s="147"/>
      <c r="AD137" s="147"/>
      <c r="AE137" s="147"/>
      <c r="AF137" s="146"/>
      <c r="AG137" s="148"/>
      <c r="AH137" s="141"/>
      <c r="AI137" s="48"/>
      <c r="AJ137" s="56"/>
      <c r="AK137" s="56"/>
    </row>
    <row r="138" spans="1:37" ht="31.95" customHeight="1" x14ac:dyDescent="0.3">
      <c r="A138" s="183"/>
      <c r="B138" s="184"/>
      <c r="C138" s="49"/>
      <c r="D138" s="49">
        <f>IF(H138=Categories!$E$4,VLOOKUP(G138,Categories!$A$4:$C$13,3,1),VLOOKUP(H138,Categories!$E$4:$G$24,3,1))</f>
        <v>120</v>
      </c>
      <c r="E138" s="49"/>
      <c r="F138" s="44">
        <v>13</v>
      </c>
      <c r="G138" s="50" t="s">
        <v>44</v>
      </c>
      <c r="H138" s="51" t="s">
        <v>0</v>
      </c>
      <c r="I138" s="52"/>
      <c r="J138" s="130">
        <v>3100</v>
      </c>
      <c r="K138" s="53">
        <v>1</v>
      </c>
      <c r="L138" s="54">
        <f>IFERROR(VLOOKUP(VLOOKUP(N138,N138,1,1),Categories!$K$4:$V$17,2+VLOOKUP(K138,K138,1,1)),"-"  )</f>
        <v>2.33</v>
      </c>
      <c r="M138" s="54" t="str">
        <f>IFERROR(VLOOKUP(VLOOKUP(N138,N138,1,1),Categories!$K$3:$V$17,7+VLOOKUP(K138,K138,1,1)),"-")</f>
        <v>0 rev.</v>
      </c>
      <c r="N138" s="55" t="s">
        <v>114</v>
      </c>
      <c r="O138" s="193" t="s">
        <v>0</v>
      </c>
      <c r="P138" s="202" t="s">
        <v>0</v>
      </c>
      <c r="Q138" s="185"/>
      <c r="R138" s="186"/>
      <c r="S138" s="186"/>
      <c r="T138" s="142"/>
      <c r="U138" s="187"/>
      <c r="V138" s="187"/>
      <c r="W138" s="188"/>
      <c r="X138" s="189"/>
      <c r="Y138" s="189"/>
      <c r="Z138" s="189"/>
      <c r="AA138" s="189"/>
      <c r="AB138" s="189"/>
      <c r="AC138" s="189"/>
      <c r="AD138" s="189"/>
      <c r="AE138" s="189"/>
      <c r="AF138" s="188"/>
      <c r="AG138" s="190"/>
      <c r="AH138" s="141"/>
      <c r="AI138" s="56"/>
      <c r="AJ138" s="56"/>
      <c r="AK138" s="56"/>
    </row>
    <row r="139" spans="1:37" ht="31.95" customHeight="1" x14ac:dyDescent="0.3">
      <c r="A139" s="183"/>
      <c r="B139" s="184"/>
      <c r="C139" s="49"/>
      <c r="D139" s="49">
        <f>IF(H139=Categories!$E$4,VLOOKUP(G139,Categories!$A$4:$C$13,3,1),VLOOKUP(H139,Categories!$E$4:$G$24,3,1))</f>
        <v>45</v>
      </c>
      <c r="E139" s="49"/>
      <c r="F139" s="44">
        <v>13</v>
      </c>
      <c r="G139" s="50" t="s">
        <v>243</v>
      </c>
      <c r="H139" s="51" t="s">
        <v>249</v>
      </c>
      <c r="I139" s="52"/>
      <c r="J139" s="130">
        <v>3100</v>
      </c>
      <c r="K139" s="53">
        <v>2</v>
      </c>
      <c r="L139" s="54" t="str">
        <f>IFERROR(VLOOKUP(VLOOKUP(N139,N139,1,1),Categories!$K$4:$V$17,2+VLOOKUP(K139,K139,1,1)),"-"  )</f>
        <v>~9</v>
      </c>
      <c r="M139" s="54" t="str">
        <f>IFERROR(VLOOKUP(VLOOKUP(N139,N139,1,1),Categories!$K$3:$V$17,7+VLOOKUP(K139,K139,1,1)),"-")</f>
        <v>1.0 rev.</v>
      </c>
      <c r="N139" s="55" t="s">
        <v>114</v>
      </c>
      <c r="O139" s="193" t="s">
        <v>0</v>
      </c>
      <c r="P139" s="202" t="s">
        <v>0</v>
      </c>
      <c r="Q139" s="185"/>
      <c r="R139" s="186"/>
      <c r="S139" s="186"/>
      <c r="T139" s="142"/>
      <c r="U139" s="187"/>
      <c r="V139" s="187"/>
      <c r="W139" s="188"/>
      <c r="X139" s="189"/>
      <c r="Y139" s="189"/>
      <c r="Z139" s="189"/>
      <c r="AA139" s="189"/>
      <c r="AB139" s="189"/>
      <c r="AC139" s="189"/>
      <c r="AD139" s="189"/>
      <c r="AE139" s="189"/>
      <c r="AF139" s="188"/>
      <c r="AG139" s="190"/>
      <c r="AH139" s="141"/>
      <c r="AI139" s="56"/>
      <c r="AJ139" s="56"/>
      <c r="AK139" s="56"/>
    </row>
    <row r="140" spans="1:37" ht="31.95" customHeight="1" x14ac:dyDescent="0.3">
      <c r="A140" s="12"/>
      <c r="B140" s="122"/>
      <c r="C140" s="49"/>
      <c r="D140" s="49">
        <f>IF(H140=Categories!$E$4,VLOOKUP(G140,Categories!$A$4:$C$13,3,1),VLOOKUP(H140,Categories!$E$4:$G$24,3,1))</f>
        <v>120</v>
      </c>
      <c r="E140" s="49"/>
      <c r="F140" s="44">
        <v>13</v>
      </c>
      <c r="G140" s="50" t="s">
        <v>44</v>
      </c>
      <c r="H140" s="45" t="s">
        <v>0</v>
      </c>
      <c r="I140" s="52"/>
      <c r="J140" s="130">
        <v>3100</v>
      </c>
      <c r="K140" s="53">
        <v>2</v>
      </c>
      <c r="L140" s="54" t="str">
        <f>IFERROR(VLOOKUP(VLOOKUP(N140,N140,1,1),Categories!$K$4:$V$17,2+VLOOKUP(K140,K140,1,1)),"-"  )</f>
        <v>~9</v>
      </c>
      <c r="M140" s="54" t="str">
        <f>IFERROR(VLOOKUP(VLOOKUP(N140,N140,1,1),Categories!$K$3:$V$17,7+VLOOKUP(K140,K140,1,1)),"-")</f>
        <v>1.0 rev.</v>
      </c>
      <c r="N140" s="55" t="s">
        <v>114</v>
      </c>
      <c r="O140" s="193" t="s">
        <v>0</v>
      </c>
      <c r="P140" s="202" t="s">
        <v>0</v>
      </c>
      <c r="Q140" s="149"/>
      <c r="R140" s="142"/>
      <c r="S140" s="142"/>
      <c r="T140" s="142"/>
      <c r="U140" s="145"/>
      <c r="V140" s="145"/>
      <c r="W140" s="146"/>
      <c r="X140" s="147"/>
      <c r="Y140" s="147"/>
      <c r="Z140" s="147"/>
      <c r="AA140" s="147"/>
      <c r="AB140" s="147"/>
      <c r="AC140" s="147"/>
      <c r="AD140" s="147"/>
      <c r="AE140" s="147"/>
      <c r="AF140" s="146"/>
      <c r="AG140" s="148"/>
      <c r="AH140" s="141"/>
      <c r="AI140" s="48"/>
      <c r="AJ140" s="56"/>
      <c r="AK140" s="56"/>
    </row>
    <row r="141" spans="1:37" ht="31.95" customHeight="1" x14ac:dyDescent="0.3">
      <c r="A141" s="12"/>
      <c r="B141" s="122"/>
      <c r="C141" s="49"/>
      <c r="D141" s="49">
        <f>IF(H141=Categories!$E$4,VLOOKUP(G141,Categories!$A$4:$C$13,3,1),VLOOKUP(H141,Categories!$E$4:$G$24,3,1))</f>
        <v>45</v>
      </c>
      <c r="E141" s="49"/>
      <c r="F141" s="44">
        <v>13</v>
      </c>
      <c r="G141" s="50" t="s">
        <v>243</v>
      </c>
      <c r="H141" s="51" t="s">
        <v>249</v>
      </c>
      <c r="I141" s="52"/>
      <c r="J141" s="130">
        <v>3100</v>
      </c>
      <c r="K141" s="53">
        <v>3</v>
      </c>
      <c r="L141" s="54" t="str">
        <f>IFERROR(VLOOKUP(VLOOKUP(N141,N141,1,1),Categories!$K$4:$V$17,2+VLOOKUP(K141,K141,1,1)),"-"  )</f>
        <v>~10</v>
      </c>
      <c r="M141" s="54" t="str">
        <f>IFERROR(VLOOKUP(VLOOKUP(N141,N141,1,1),Categories!$K$3:$V$17,7+VLOOKUP(K141,K141,1,1)),"-")</f>
        <v>1.5 rev.</v>
      </c>
      <c r="N141" s="55" t="s">
        <v>114</v>
      </c>
      <c r="O141" s="193" t="s">
        <v>0</v>
      </c>
      <c r="P141" s="202" t="s">
        <v>0</v>
      </c>
      <c r="Q141" s="149"/>
      <c r="R141" s="142"/>
      <c r="S141" s="142"/>
      <c r="T141" s="142"/>
      <c r="U141" s="145"/>
      <c r="V141" s="145"/>
      <c r="W141" s="146"/>
      <c r="X141" s="147"/>
      <c r="Y141" s="147"/>
      <c r="Z141" s="147"/>
      <c r="AA141" s="147"/>
      <c r="AB141" s="147"/>
      <c r="AC141" s="147"/>
      <c r="AD141" s="147"/>
      <c r="AE141" s="147"/>
      <c r="AF141" s="146"/>
      <c r="AG141" s="148"/>
      <c r="AH141" s="141"/>
      <c r="AI141" s="48"/>
      <c r="AJ141" s="56"/>
      <c r="AK141" s="56"/>
    </row>
    <row r="142" spans="1:37" ht="31.95" customHeight="1" x14ac:dyDescent="0.3">
      <c r="A142" s="12"/>
      <c r="B142" s="122"/>
      <c r="C142" s="49"/>
      <c r="D142" s="49">
        <f>IF(H142=Categories!$E$4,VLOOKUP(G142,Categories!$A$4:$C$13,3,1),VLOOKUP(H142,Categories!$E$4:$G$24,3,1))</f>
        <v>120</v>
      </c>
      <c r="E142" s="49"/>
      <c r="F142" s="44">
        <v>13</v>
      </c>
      <c r="G142" s="50" t="s">
        <v>44</v>
      </c>
      <c r="H142" s="45" t="s">
        <v>0</v>
      </c>
      <c r="I142" s="52"/>
      <c r="J142" s="130">
        <v>3100</v>
      </c>
      <c r="K142" s="53">
        <v>3</v>
      </c>
      <c r="L142" s="54" t="str">
        <f>IFERROR(VLOOKUP(VLOOKUP(N142,N142,1,1),Categories!$K$4:$V$17,2+VLOOKUP(K142,K142,1,1)),"-"  )</f>
        <v>~10</v>
      </c>
      <c r="M142" s="54" t="str">
        <f>IFERROR(VLOOKUP(VLOOKUP(N142,N142,1,1),Categories!$K$3:$V$17,7+VLOOKUP(K142,K142,1,1)),"-")</f>
        <v>1.5 rev.</v>
      </c>
      <c r="N142" s="55" t="s">
        <v>114</v>
      </c>
      <c r="O142" s="193" t="s">
        <v>0</v>
      </c>
      <c r="P142" s="202" t="s">
        <v>0</v>
      </c>
      <c r="Q142" s="149"/>
      <c r="R142" s="142"/>
      <c r="S142" s="142"/>
      <c r="T142" s="186"/>
      <c r="U142" s="145"/>
      <c r="V142" s="145"/>
      <c r="W142" s="146"/>
      <c r="X142" s="147"/>
      <c r="Y142" s="147"/>
      <c r="Z142" s="147"/>
      <c r="AA142" s="147"/>
      <c r="AB142" s="147"/>
      <c r="AC142" s="147"/>
      <c r="AD142" s="147"/>
      <c r="AE142" s="147"/>
      <c r="AF142" s="146"/>
      <c r="AG142" s="148"/>
      <c r="AH142" s="141"/>
      <c r="AI142" s="48"/>
      <c r="AJ142" s="56"/>
      <c r="AK142" s="56"/>
    </row>
    <row r="143" spans="1:37" ht="31.95" customHeight="1" x14ac:dyDescent="0.3">
      <c r="A143" s="12"/>
      <c r="B143" s="122"/>
      <c r="C143" s="49"/>
      <c r="D143" s="49">
        <f>IF(H143=Categories!$E$4,VLOOKUP(G143,Categories!$A$4:$C$13,3,1),VLOOKUP(H143,Categories!$E$4:$G$24,3,1))</f>
        <v>45</v>
      </c>
      <c r="E143" s="49"/>
      <c r="F143" s="44">
        <v>13</v>
      </c>
      <c r="G143" s="50" t="s">
        <v>243</v>
      </c>
      <c r="H143" s="51" t="s">
        <v>249</v>
      </c>
      <c r="I143" s="52"/>
      <c r="J143" s="130">
        <v>3100</v>
      </c>
      <c r="K143" s="53">
        <v>4</v>
      </c>
      <c r="L143" s="54" t="str">
        <f>IFERROR(VLOOKUP(VLOOKUP(N143,N143,1,1),Categories!$K$4:$V$17,2+VLOOKUP(K143,K143,1,1)),"-"  )</f>
        <v>~11</v>
      </c>
      <c r="M143" s="54" t="str">
        <f>IFERROR(VLOOKUP(VLOOKUP(N143,N143,1,1),Categories!$K$3:$V$17,7+VLOOKUP(K143,K143,1,1)),"-")</f>
        <v>2.0 rev.</v>
      </c>
      <c r="N143" s="55" t="s">
        <v>114</v>
      </c>
      <c r="O143" s="193" t="s">
        <v>0</v>
      </c>
      <c r="P143" s="202" t="s">
        <v>0</v>
      </c>
      <c r="Q143" s="149"/>
      <c r="R143" s="142"/>
      <c r="S143" s="142"/>
      <c r="T143" s="186"/>
      <c r="U143" s="145"/>
      <c r="V143" s="145"/>
      <c r="W143" s="146"/>
      <c r="X143" s="147"/>
      <c r="Y143" s="147"/>
      <c r="Z143" s="147"/>
      <c r="AA143" s="147"/>
      <c r="AB143" s="147"/>
      <c r="AC143" s="147"/>
      <c r="AD143" s="147"/>
      <c r="AE143" s="147"/>
      <c r="AF143" s="146"/>
      <c r="AG143" s="148"/>
      <c r="AH143" s="141"/>
      <c r="AI143" s="48"/>
      <c r="AJ143" s="56"/>
      <c r="AK143" s="56"/>
    </row>
    <row r="144" spans="1:37" ht="31.95" customHeight="1" x14ac:dyDescent="0.3">
      <c r="A144" s="12"/>
      <c r="B144" s="122"/>
      <c r="C144" s="49"/>
      <c r="D144" s="49">
        <f>IF(H144=Categories!$E$4,VLOOKUP(G144,Categories!$A$4:$C$13,3,1),VLOOKUP(H144,Categories!$E$4:$G$24,3,1))</f>
        <v>120</v>
      </c>
      <c r="E144" s="49"/>
      <c r="F144" s="44">
        <v>13</v>
      </c>
      <c r="G144" s="50" t="s">
        <v>44</v>
      </c>
      <c r="H144" s="45" t="s">
        <v>0</v>
      </c>
      <c r="I144" s="52"/>
      <c r="J144" s="130">
        <v>3100</v>
      </c>
      <c r="K144" s="53">
        <v>4</v>
      </c>
      <c r="L144" s="54" t="str">
        <f>IFERROR(VLOOKUP(VLOOKUP(N144,N144,1,1),Categories!$K$4:$V$17,2+VLOOKUP(K144,K144,1,1)),"-"  )</f>
        <v>~11</v>
      </c>
      <c r="M144" s="54" t="str">
        <f>IFERROR(VLOOKUP(VLOOKUP(N144,N144,1,1),Categories!$K$3:$V$17,7+VLOOKUP(K144,K144,1,1)),"-")</f>
        <v>2.0 rev.</v>
      </c>
      <c r="N144" s="55" t="s">
        <v>114</v>
      </c>
      <c r="O144" s="193" t="s">
        <v>0</v>
      </c>
      <c r="P144" s="202" t="s">
        <v>0</v>
      </c>
      <c r="Q144" s="149"/>
      <c r="R144" s="142"/>
      <c r="S144" s="142"/>
      <c r="T144" s="142"/>
      <c r="U144" s="145"/>
      <c r="V144" s="145"/>
      <c r="W144" s="146"/>
      <c r="X144" s="147"/>
      <c r="Y144" s="147"/>
      <c r="Z144" s="147"/>
      <c r="AA144" s="147"/>
      <c r="AB144" s="147"/>
      <c r="AC144" s="147"/>
      <c r="AD144" s="147"/>
      <c r="AE144" s="147"/>
      <c r="AF144" s="146"/>
      <c r="AG144" s="148"/>
      <c r="AH144" s="141"/>
      <c r="AI144" s="48"/>
      <c r="AJ144" s="56"/>
      <c r="AK144" s="56"/>
    </row>
    <row r="145" spans="1:37" ht="31.95" customHeight="1" x14ac:dyDescent="0.3">
      <c r="A145" s="12"/>
      <c r="B145" s="122"/>
      <c r="C145" s="49"/>
      <c r="D145" s="49">
        <f>IF(H145=Categories!$E$4,VLOOKUP(G145,Categories!$A$4:$C$13,3,1),VLOOKUP(H145,Categories!$E$4:$G$24,3,1))</f>
        <v>45</v>
      </c>
      <c r="E145" s="49"/>
      <c r="F145" s="44">
        <v>13</v>
      </c>
      <c r="G145" s="50" t="s">
        <v>243</v>
      </c>
      <c r="H145" s="51" t="s">
        <v>249</v>
      </c>
      <c r="I145" s="52"/>
      <c r="J145" s="130">
        <v>3100</v>
      </c>
      <c r="K145" s="53">
        <v>5</v>
      </c>
      <c r="L145" s="54" t="str">
        <f>IFERROR(VLOOKUP(VLOOKUP(N145,N145,1,1),Categories!$K$4:$V$17,2+VLOOKUP(K145,K145,1,1)),"-"  )</f>
        <v>~12</v>
      </c>
      <c r="M145" s="54" t="str">
        <f>IFERROR(VLOOKUP(VLOOKUP(N145,N145,1,1),Categories!$K$3:$V$17,7+VLOOKUP(K145,K145,1,1)),"-")</f>
        <v>2.5 rev.</v>
      </c>
      <c r="N145" s="55" t="s">
        <v>114</v>
      </c>
      <c r="O145" s="193" t="s">
        <v>0</v>
      </c>
      <c r="P145" s="202" t="s">
        <v>0</v>
      </c>
      <c r="Q145" s="149"/>
      <c r="R145" s="142"/>
      <c r="S145" s="142"/>
      <c r="T145" s="142"/>
      <c r="U145" s="145"/>
      <c r="V145" s="145"/>
      <c r="W145" s="146"/>
      <c r="X145" s="147"/>
      <c r="Y145" s="147"/>
      <c r="Z145" s="147"/>
      <c r="AA145" s="147"/>
      <c r="AB145" s="147"/>
      <c r="AC145" s="147"/>
      <c r="AD145" s="147"/>
      <c r="AE145" s="147"/>
      <c r="AF145" s="146"/>
      <c r="AG145" s="148"/>
      <c r="AH145" s="141"/>
      <c r="AI145" s="48"/>
      <c r="AJ145" s="56"/>
      <c r="AK145" s="56"/>
    </row>
    <row r="146" spans="1:37" ht="31.95" customHeight="1" x14ac:dyDescent="0.3">
      <c r="A146" s="12"/>
      <c r="B146" s="122"/>
      <c r="C146" s="49"/>
      <c r="D146" s="49">
        <f>IF(H146=Categories!$E$4,VLOOKUP(G146,Categories!$A$4:$C$13,3,1),VLOOKUP(H146,Categories!$E$4:$G$24,3,1))</f>
        <v>120</v>
      </c>
      <c r="E146" s="49"/>
      <c r="F146" s="44">
        <v>13</v>
      </c>
      <c r="G146" s="50" t="s">
        <v>44</v>
      </c>
      <c r="H146" s="45" t="s">
        <v>0</v>
      </c>
      <c r="I146" s="52"/>
      <c r="J146" s="130">
        <v>3100</v>
      </c>
      <c r="K146" s="53">
        <v>5</v>
      </c>
      <c r="L146" s="54" t="str">
        <f>IFERROR(VLOOKUP(VLOOKUP(N146,N146,1,1),Categories!$K$4:$V$17,2+VLOOKUP(K146,K146,1,1)),"-"  )</f>
        <v>~12</v>
      </c>
      <c r="M146" s="54" t="str">
        <f>IFERROR(VLOOKUP(VLOOKUP(N146,N146,1,1),Categories!$K$3:$V$17,7+VLOOKUP(K146,K146,1,1)),"-")</f>
        <v>2.5 rev.</v>
      </c>
      <c r="N146" s="55" t="s">
        <v>114</v>
      </c>
      <c r="O146" s="193" t="s">
        <v>0</v>
      </c>
      <c r="P146" s="202" t="s">
        <v>0</v>
      </c>
      <c r="Q146" s="149"/>
      <c r="R146" s="142"/>
      <c r="S146" s="142"/>
      <c r="T146" s="142"/>
      <c r="U146" s="145"/>
      <c r="V146" s="145"/>
      <c r="W146" s="146"/>
      <c r="X146" s="147"/>
      <c r="Y146" s="147"/>
      <c r="Z146" s="147"/>
      <c r="AA146" s="147"/>
      <c r="AB146" s="147"/>
      <c r="AC146" s="147"/>
      <c r="AD146" s="147"/>
      <c r="AE146" s="147"/>
      <c r="AF146" s="146"/>
      <c r="AG146" s="148"/>
      <c r="AH146" s="141"/>
      <c r="AI146" s="48"/>
      <c r="AJ146" s="56"/>
      <c r="AK146" s="56"/>
    </row>
    <row r="147" spans="1:37" ht="31.95" customHeight="1" x14ac:dyDescent="0.3">
      <c r="A147" s="12"/>
      <c r="B147" s="122"/>
      <c r="C147" s="49"/>
      <c r="D147" s="49">
        <f>IF(H147=Categories!$E$4,VLOOKUP(G147,Categories!$A$4:$C$13,3,1),VLOOKUP(H147,Categories!$E$4:$G$24,3,1))</f>
        <v>45</v>
      </c>
      <c r="E147" s="49"/>
      <c r="F147" s="44">
        <v>13</v>
      </c>
      <c r="G147" s="50" t="s">
        <v>243</v>
      </c>
      <c r="H147" s="51" t="s">
        <v>250</v>
      </c>
      <c r="I147" s="52"/>
      <c r="J147" s="130">
        <v>3100</v>
      </c>
      <c r="K147" s="53">
        <v>1</v>
      </c>
      <c r="L147" s="54">
        <f>IFERROR(VLOOKUP(VLOOKUP(N147,N147,1,1),Categories!$K$4:$V$17,2+VLOOKUP(K147,K147,1,1)),"-"  )</f>
        <v>2.33</v>
      </c>
      <c r="M147" s="54" t="str">
        <f>IFERROR(VLOOKUP(VLOOKUP(N147,N147,1,1),Categories!$K$3:$V$17,7+VLOOKUP(K147,K147,1,1)),"-")</f>
        <v>0 rev.</v>
      </c>
      <c r="N147" s="55" t="s">
        <v>114</v>
      </c>
      <c r="O147" s="193" t="s">
        <v>0</v>
      </c>
      <c r="P147" s="202" t="s">
        <v>0</v>
      </c>
      <c r="Q147" s="149"/>
      <c r="R147" s="142"/>
      <c r="S147" s="142"/>
      <c r="T147" s="142"/>
      <c r="U147" s="145"/>
      <c r="V147" s="145"/>
      <c r="W147" s="146"/>
      <c r="X147" s="147"/>
      <c r="Y147" s="147"/>
      <c r="Z147" s="147"/>
      <c r="AA147" s="147"/>
      <c r="AB147" s="147"/>
      <c r="AC147" s="147"/>
      <c r="AD147" s="147"/>
      <c r="AE147" s="147"/>
      <c r="AF147" s="146"/>
      <c r="AG147" s="148"/>
      <c r="AH147" s="141"/>
      <c r="AI147" s="48"/>
      <c r="AJ147" s="56"/>
      <c r="AK147" s="56"/>
    </row>
    <row r="148" spans="1:37" ht="31.95" customHeight="1" x14ac:dyDescent="0.3">
      <c r="A148" s="12"/>
      <c r="B148" s="122"/>
      <c r="C148" s="49"/>
      <c r="D148" s="49">
        <f>IF(H148=Categories!$E$4,VLOOKUP(G148,Categories!$A$4:$C$13,3,1),VLOOKUP(H148,Categories!$E$4:$G$24,3,1))</f>
        <v>120</v>
      </c>
      <c r="E148" s="49"/>
      <c r="F148" s="44">
        <v>13</v>
      </c>
      <c r="G148" s="50" t="s">
        <v>247</v>
      </c>
      <c r="H148" s="45" t="s">
        <v>0</v>
      </c>
      <c r="I148" s="52"/>
      <c r="J148" s="130">
        <v>3100</v>
      </c>
      <c r="K148" s="53">
        <v>1</v>
      </c>
      <c r="L148" s="54">
        <f>IFERROR(VLOOKUP(VLOOKUP(N148,N148,1,1),Categories!$K$4:$V$17,2+VLOOKUP(K148,K148,1,1)),"-"  )</f>
        <v>2.33</v>
      </c>
      <c r="M148" s="54" t="str">
        <f>IFERROR(VLOOKUP(VLOOKUP(N148,N148,1,1),Categories!$K$3:$V$17,7+VLOOKUP(K148,K148,1,1)),"-")</f>
        <v>0 rev.</v>
      </c>
      <c r="N148" s="55" t="s">
        <v>114</v>
      </c>
      <c r="O148" s="193" t="s">
        <v>0</v>
      </c>
      <c r="P148" s="202" t="s">
        <v>0</v>
      </c>
      <c r="Q148" s="149"/>
      <c r="R148" s="142"/>
      <c r="S148" s="142"/>
      <c r="T148" s="142"/>
      <c r="U148" s="145"/>
      <c r="V148" s="145"/>
      <c r="W148" s="146"/>
      <c r="X148" s="147"/>
      <c r="Y148" s="147"/>
      <c r="Z148" s="147"/>
      <c r="AA148" s="147"/>
      <c r="AB148" s="147"/>
      <c r="AC148" s="147"/>
      <c r="AD148" s="147"/>
      <c r="AE148" s="147"/>
      <c r="AF148" s="146"/>
      <c r="AG148" s="148"/>
      <c r="AH148" s="141"/>
      <c r="AI148" s="48"/>
      <c r="AJ148" s="56"/>
      <c r="AK148" s="56"/>
    </row>
    <row r="149" spans="1:37" ht="31.95" customHeight="1" x14ac:dyDescent="0.3">
      <c r="A149" s="12"/>
      <c r="B149" s="122"/>
      <c r="C149" s="49"/>
      <c r="D149" s="49">
        <f>IF(H149=Categories!$E$4,VLOOKUP(G149,Categories!$A$4:$C$13,3,1),VLOOKUP(H149,Categories!$E$4:$G$24,3,1))</f>
        <v>45</v>
      </c>
      <c r="E149" s="49"/>
      <c r="F149" s="44" t="s">
        <v>0</v>
      </c>
      <c r="G149" s="50" t="s">
        <v>3</v>
      </c>
      <c r="H149" s="51" t="s">
        <v>2</v>
      </c>
      <c r="I149" s="52"/>
      <c r="J149" s="130">
        <v>2200</v>
      </c>
      <c r="K149" s="53">
        <v>1</v>
      </c>
      <c r="L149" s="54">
        <f>IFERROR(VLOOKUP(VLOOKUP(N149,N149,1,1),Categories!$K$4:$V$17,2+VLOOKUP(K149,K149,1,1)),"-"  )</f>
        <v>2.33</v>
      </c>
      <c r="M149" s="54" t="str">
        <f>IFERROR(VLOOKUP(VLOOKUP(N149,N149,1,1),Categories!$K$3:$V$17,7+VLOOKUP(K149,K149,1,1)),"-")</f>
        <v>0 rev.</v>
      </c>
      <c r="N149" s="55" t="s">
        <v>114</v>
      </c>
      <c r="O149" s="193" t="s">
        <v>0</v>
      </c>
      <c r="P149" s="202" t="s">
        <v>0</v>
      </c>
      <c r="Q149" s="149"/>
      <c r="R149" s="142"/>
      <c r="S149" s="142"/>
      <c r="T149" s="142"/>
      <c r="U149" s="145"/>
      <c r="V149" s="145"/>
      <c r="W149" s="146"/>
      <c r="X149" s="147"/>
      <c r="Y149" s="147"/>
      <c r="Z149" s="147"/>
      <c r="AA149" s="147"/>
      <c r="AB149" s="147"/>
      <c r="AC149" s="147"/>
      <c r="AD149" s="147"/>
      <c r="AE149" s="147"/>
      <c r="AF149" s="146"/>
      <c r="AG149" s="148"/>
      <c r="AH149" s="141"/>
      <c r="AI149" s="48"/>
      <c r="AJ149" s="56"/>
      <c r="AK149" s="56"/>
    </row>
    <row r="150" spans="1:37" ht="31.95" customHeight="1" x14ac:dyDescent="0.3">
      <c r="A150" s="183"/>
      <c r="B150" s="184"/>
      <c r="C150" s="49"/>
      <c r="D150" s="49" t="str">
        <f>IF(H150=Categories!$E$4,VLOOKUP(G150,Categories!$A$4:$C$13,3,1),VLOOKUP(H150,Categories!$E$4:$G$24,3,1))</f>
        <v>-</v>
      </c>
      <c r="E150" s="49"/>
      <c r="F150" s="44" t="s">
        <v>0</v>
      </c>
      <c r="G150" s="50" t="s">
        <v>3</v>
      </c>
      <c r="H150" s="51" t="s">
        <v>62</v>
      </c>
      <c r="I150" s="52"/>
      <c r="J150" s="130">
        <v>2200</v>
      </c>
      <c r="K150" s="53" t="s">
        <v>0</v>
      </c>
      <c r="L150" s="54" t="str">
        <f>IFERROR(VLOOKUP(VLOOKUP(N150,N150,1,1),Categories!$K$4:$V$17,2+VLOOKUP(K150,K150,1,1)),"-"  )</f>
        <v>-</v>
      </c>
      <c r="M150" s="54" t="str">
        <f>IFERROR(VLOOKUP(VLOOKUP(N150,N150,1,1),Categories!$K$3:$V$17,7+VLOOKUP(K150,K150,1,1)),"-")</f>
        <v>-</v>
      </c>
      <c r="N150" s="55" t="s">
        <v>0</v>
      </c>
      <c r="O150" s="193" t="s">
        <v>0</v>
      </c>
      <c r="P150" s="202" t="s">
        <v>0</v>
      </c>
      <c r="Q150" s="185"/>
      <c r="R150" s="186"/>
      <c r="S150" s="186"/>
      <c r="T150" s="186"/>
      <c r="U150" s="187"/>
      <c r="V150" s="187"/>
      <c r="W150" s="188"/>
      <c r="X150" s="189"/>
      <c r="Y150" s="189"/>
      <c r="Z150" s="189"/>
      <c r="AA150" s="189"/>
      <c r="AB150" s="189"/>
      <c r="AC150" s="189"/>
      <c r="AD150" s="189"/>
      <c r="AE150" s="189"/>
      <c r="AF150" s="188"/>
      <c r="AG150" s="190"/>
      <c r="AH150" s="141"/>
      <c r="AI150" s="56"/>
      <c r="AJ150" s="56"/>
      <c r="AK150" s="56"/>
    </row>
    <row r="151" spans="1:37" ht="31.95" customHeight="1" x14ac:dyDescent="0.3">
      <c r="A151" s="183"/>
      <c r="B151" s="184"/>
      <c r="C151" s="49"/>
      <c r="D151" s="49" t="str">
        <f>IF(H151=Categories!$E$4,VLOOKUP(G151,Categories!$A$4:$C$13,3,1),VLOOKUP(H151,Categories!$E$4:$G$24,3,1))</f>
        <v>-</v>
      </c>
      <c r="E151" s="49"/>
      <c r="F151" s="44" t="s">
        <v>0</v>
      </c>
      <c r="G151" s="50" t="s">
        <v>3</v>
      </c>
      <c r="H151" s="51" t="s">
        <v>63</v>
      </c>
      <c r="I151" s="52"/>
      <c r="J151" s="130">
        <v>2200</v>
      </c>
      <c r="K151" s="53">
        <v>1</v>
      </c>
      <c r="L151" s="54">
        <f>IFERROR(VLOOKUP(VLOOKUP(N151,N151,1,1),Categories!$K$4:$V$17,2+VLOOKUP(K151,K151,1,1)),"-"  )</f>
        <v>1.67</v>
      </c>
      <c r="M151" s="54" t="str">
        <f>IFERROR(VLOOKUP(VLOOKUP(N151,N151,1,1),Categories!$K$3:$V$17,7+VLOOKUP(K151,K151,1,1)),"-")</f>
        <v>0 ATM</v>
      </c>
      <c r="N151" s="55" t="s">
        <v>59</v>
      </c>
      <c r="O151" s="193" t="s">
        <v>0</v>
      </c>
      <c r="P151" s="202" t="s">
        <v>0</v>
      </c>
      <c r="Q151" s="185"/>
      <c r="R151" s="186"/>
      <c r="S151" s="186"/>
      <c r="T151" s="186"/>
      <c r="U151" s="187"/>
      <c r="V151" s="187"/>
      <c r="W151" s="188"/>
      <c r="X151" s="189"/>
      <c r="Y151" s="189"/>
      <c r="Z151" s="189"/>
      <c r="AA151" s="189"/>
      <c r="AB151" s="189"/>
      <c r="AC151" s="189"/>
      <c r="AD151" s="189"/>
      <c r="AE151" s="189"/>
      <c r="AF151" s="188"/>
      <c r="AG151" s="190"/>
      <c r="AH151" s="141" t="s">
        <v>253</v>
      </c>
      <c r="AI151" s="56" t="s">
        <v>281</v>
      </c>
      <c r="AJ151" s="56"/>
      <c r="AK151" s="56"/>
    </row>
    <row r="152" spans="1:37" ht="31.95" customHeight="1" x14ac:dyDescent="0.3">
      <c r="A152" s="183"/>
      <c r="B152" s="184"/>
      <c r="C152" s="49"/>
      <c r="D152" s="49">
        <f>IF(H152=Categories!$E$4,VLOOKUP(G152,Categories!$A$4:$C$13,3,1),VLOOKUP(H152,Categories!$E$4:$G$24,3,1))</f>
        <v>120</v>
      </c>
      <c r="E152" s="49"/>
      <c r="F152" s="44">
        <v>14</v>
      </c>
      <c r="G152" s="50" t="s">
        <v>44</v>
      </c>
      <c r="H152" s="51" t="s">
        <v>0</v>
      </c>
      <c r="I152" s="52"/>
      <c r="J152" s="130">
        <v>2200</v>
      </c>
      <c r="K152" s="53">
        <v>1</v>
      </c>
      <c r="L152" s="54">
        <f>IFERROR(VLOOKUP(VLOOKUP(N152,N152,1,1),Categories!$K$4:$V$17,2+VLOOKUP(K152,K152,1,1)),"-"  )</f>
        <v>1.67</v>
      </c>
      <c r="M152" s="54" t="str">
        <f>IFERROR(VLOOKUP(VLOOKUP(N152,N152,1,1),Categories!$K$3:$V$17,7+VLOOKUP(K152,K152,1,1)),"-")</f>
        <v>0 ATM</v>
      </c>
      <c r="N152" s="55" t="s">
        <v>59</v>
      </c>
      <c r="O152" s="193" t="s">
        <v>0</v>
      </c>
      <c r="P152" s="202" t="s">
        <v>0</v>
      </c>
      <c r="Q152" s="185"/>
      <c r="R152" s="186"/>
      <c r="S152" s="186"/>
      <c r="T152" s="142"/>
      <c r="U152" s="187"/>
      <c r="V152" s="187"/>
      <c r="W152" s="188"/>
      <c r="X152" s="189"/>
      <c r="Y152" s="189"/>
      <c r="Z152" s="189"/>
      <c r="AA152" s="189"/>
      <c r="AB152" s="189"/>
      <c r="AC152" s="189"/>
      <c r="AD152" s="189"/>
      <c r="AE152" s="189"/>
      <c r="AF152" s="188"/>
      <c r="AG152" s="190"/>
      <c r="AH152" s="141"/>
      <c r="AI152" s="56"/>
      <c r="AJ152" s="56"/>
      <c r="AK152" s="56"/>
    </row>
    <row r="153" spans="1:37" ht="31.95" customHeight="1" x14ac:dyDescent="0.3">
      <c r="A153" s="183"/>
      <c r="B153" s="184"/>
      <c r="C153" s="49"/>
      <c r="D153" s="49">
        <f>IF(H153=Categories!$E$4,VLOOKUP(G153,Categories!$A$4:$C$13,3,1),VLOOKUP(H153,Categories!$E$4:$G$24,3,1))</f>
        <v>45</v>
      </c>
      <c r="E153" s="49"/>
      <c r="F153" s="44">
        <v>14</v>
      </c>
      <c r="G153" s="50" t="s">
        <v>243</v>
      </c>
      <c r="H153" s="51" t="s">
        <v>249</v>
      </c>
      <c r="I153" s="52"/>
      <c r="J153" s="130">
        <v>2200</v>
      </c>
      <c r="K153" s="53">
        <v>2</v>
      </c>
      <c r="L153" s="54">
        <f>IFERROR(VLOOKUP(VLOOKUP(N153,N153,1,1),Categories!$K$4:$V$17,2+VLOOKUP(K153,K153,1,1)),"-"  )</f>
        <v>7.3</v>
      </c>
      <c r="M153" s="54" t="str">
        <f>IFERROR(VLOOKUP(VLOOKUP(N153,N153,1,1),Categories!$K$3:$V$17,7+VLOOKUP(K153,K153,1,1)),"-")</f>
        <v>4 ATM</v>
      </c>
      <c r="N153" s="55" t="s">
        <v>59</v>
      </c>
      <c r="O153" s="193" t="s">
        <v>0</v>
      </c>
      <c r="P153" s="202" t="s">
        <v>0</v>
      </c>
      <c r="Q153" s="185"/>
      <c r="R153" s="186"/>
      <c r="S153" s="186"/>
      <c r="T153" s="142"/>
      <c r="U153" s="187"/>
      <c r="V153" s="187"/>
      <c r="W153" s="188"/>
      <c r="X153" s="189"/>
      <c r="Y153" s="189"/>
      <c r="Z153" s="189"/>
      <c r="AA153" s="189"/>
      <c r="AB153" s="189"/>
      <c r="AC153" s="189"/>
      <c r="AD153" s="189"/>
      <c r="AE153" s="189"/>
      <c r="AF153" s="188"/>
      <c r="AG153" s="190"/>
      <c r="AH153" s="141"/>
      <c r="AI153" s="56"/>
      <c r="AJ153" s="56"/>
      <c r="AK153" s="56"/>
    </row>
    <row r="154" spans="1:37" ht="31.95" customHeight="1" x14ac:dyDescent="0.3">
      <c r="A154" s="12"/>
      <c r="B154" s="122"/>
      <c r="C154" s="49"/>
      <c r="D154" s="49">
        <f>IF(H154=Categories!$E$4,VLOOKUP(G154,Categories!$A$4:$C$13,3,1),VLOOKUP(H154,Categories!$E$4:$G$24,3,1))</f>
        <v>120</v>
      </c>
      <c r="E154" s="49"/>
      <c r="F154" s="44">
        <v>14</v>
      </c>
      <c r="G154" s="50" t="s">
        <v>44</v>
      </c>
      <c r="H154" s="45" t="s">
        <v>0</v>
      </c>
      <c r="I154" s="52"/>
      <c r="J154" s="130">
        <v>2200</v>
      </c>
      <c r="K154" s="53">
        <v>2</v>
      </c>
      <c r="L154" s="54">
        <f>IFERROR(VLOOKUP(VLOOKUP(N154,N154,1,1),Categories!$K$4:$V$17,2+VLOOKUP(K154,K154,1,1)),"-"  )</f>
        <v>7.3</v>
      </c>
      <c r="M154" s="54" t="str">
        <f>IFERROR(VLOOKUP(VLOOKUP(N154,N154,1,1),Categories!$K$3:$V$17,7+VLOOKUP(K154,K154,1,1)),"-")</f>
        <v>4 ATM</v>
      </c>
      <c r="N154" s="55" t="s">
        <v>59</v>
      </c>
      <c r="O154" s="193" t="s">
        <v>0</v>
      </c>
      <c r="P154" s="202" t="s">
        <v>0</v>
      </c>
      <c r="Q154" s="149"/>
      <c r="R154" s="142"/>
      <c r="S154" s="142"/>
      <c r="T154" s="142"/>
      <c r="U154" s="145"/>
      <c r="V154" s="145"/>
      <c r="W154" s="146"/>
      <c r="X154" s="147"/>
      <c r="Y154" s="147"/>
      <c r="Z154" s="147"/>
      <c r="AA154" s="147"/>
      <c r="AB154" s="147"/>
      <c r="AC154" s="147"/>
      <c r="AD154" s="147"/>
      <c r="AE154" s="147"/>
      <c r="AF154" s="146"/>
      <c r="AG154" s="148"/>
      <c r="AH154" s="141"/>
      <c r="AI154" s="48"/>
      <c r="AJ154" s="56"/>
      <c r="AK154" s="56"/>
    </row>
    <row r="155" spans="1:37" ht="31.95" customHeight="1" x14ac:dyDescent="0.3">
      <c r="A155" s="12"/>
      <c r="B155" s="122"/>
      <c r="C155" s="49"/>
      <c r="D155" s="49">
        <f>IF(H155=Categories!$E$4,VLOOKUP(G155,Categories!$A$4:$C$13,3,1),VLOOKUP(H155,Categories!$E$4:$G$24,3,1))</f>
        <v>45</v>
      </c>
      <c r="E155" s="49"/>
      <c r="F155" s="44">
        <v>14</v>
      </c>
      <c r="G155" s="50" t="s">
        <v>243</v>
      </c>
      <c r="H155" s="51" t="s">
        <v>249</v>
      </c>
      <c r="I155" s="52"/>
      <c r="J155" s="130">
        <v>2200</v>
      </c>
      <c r="K155" s="53">
        <v>3</v>
      </c>
      <c r="L155" s="54">
        <f>IFERROR(VLOOKUP(VLOOKUP(N155,N155,1,1),Categories!$K$4:$V$17,2+VLOOKUP(K155,K155,1,1)),"-"  )</f>
        <v>8.52</v>
      </c>
      <c r="M155" s="54" t="str">
        <f>IFERROR(VLOOKUP(VLOOKUP(N155,N155,1,1),Categories!$K$3:$V$17,7+VLOOKUP(K155,K155,1,1)),"-")</f>
        <v>13 ATM</v>
      </c>
      <c r="N155" s="55" t="s">
        <v>59</v>
      </c>
      <c r="O155" s="193" t="s">
        <v>0</v>
      </c>
      <c r="P155" s="202" t="s">
        <v>0</v>
      </c>
      <c r="Q155" s="149"/>
      <c r="R155" s="142"/>
      <c r="S155" s="142"/>
      <c r="T155" s="142"/>
      <c r="U155" s="145"/>
      <c r="V155" s="145"/>
      <c r="W155" s="146"/>
      <c r="X155" s="147"/>
      <c r="Y155" s="147"/>
      <c r="Z155" s="147"/>
      <c r="AA155" s="147"/>
      <c r="AB155" s="147"/>
      <c r="AC155" s="147"/>
      <c r="AD155" s="147"/>
      <c r="AE155" s="147"/>
      <c r="AF155" s="146"/>
      <c r="AG155" s="148"/>
      <c r="AH155" s="141"/>
      <c r="AI155" s="48"/>
      <c r="AJ155" s="56"/>
      <c r="AK155" s="205"/>
    </row>
    <row r="156" spans="1:37" ht="31.95" customHeight="1" x14ac:dyDescent="0.3">
      <c r="A156" s="12"/>
      <c r="B156" s="122"/>
      <c r="C156" s="49"/>
      <c r="D156" s="49">
        <f>IF(H156=Categories!$E$4,VLOOKUP(G156,Categories!$A$4:$C$13,3,1),VLOOKUP(H156,Categories!$E$4:$G$24,3,1))</f>
        <v>120</v>
      </c>
      <c r="E156" s="49"/>
      <c r="F156" s="44">
        <v>14</v>
      </c>
      <c r="G156" s="50" t="s">
        <v>44</v>
      </c>
      <c r="H156" s="45" t="s">
        <v>0</v>
      </c>
      <c r="I156" s="52"/>
      <c r="J156" s="130">
        <v>2200</v>
      </c>
      <c r="K156" s="53">
        <v>3</v>
      </c>
      <c r="L156" s="54">
        <f>IFERROR(VLOOKUP(VLOOKUP(N156,N156,1,1),Categories!$K$4:$V$17,2+VLOOKUP(K156,K156,1,1)),"-"  )</f>
        <v>8.52</v>
      </c>
      <c r="M156" s="54" t="str">
        <f>IFERROR(VLOOKUP(VLOOKUP(N156,N156,1,1),Categories!$K$3:$V$17,7+VLOOKUP(K156,K156,1,1)),"-")</f>
        <v>13 ATM</v>
      </c>
      <c r="N156" s="55" t="s">
        <v>59</v>
      </c>
      <c r="O156" s="193" t="s">
        <v>0</v>
      </c>
      <c r="P156" s="202" t="s">
        <v>0</v>
      </c>
      <c r="Q156" s="149"/>
      <c r="R156" s="142"/>
      <c r="S156" s="142"/>
      <c r="T156" s="142"/>
      <c r="U156" s="145"/>
      <c r="V156" s="145"/>
      <c r="W156" s="146"/>
      <c r="X156" s="147"/>
      <c r="Y156" s="147"/>
      <c r="Z156" s="147"/>
      <c r="AA156" s="147"/>
      <c r="AB156" s="147"/>
      <c r="AC156" s="147"/>
      <c r="AD156" s="147"/>
      <c r="AE156" s="147"/>
      <c r="AF156" s="146"/>
      <c r="AG156" s="148"/>
      <c r="AH156" s="141"/>
      <c r="AI156" s="48"/>
      <c r="AJ156" s="56"/>
      <c r="AK156" s="56"/>
    </row>
    <row r="157" spans="1:37" ht="31.95" customHeight="1" x14ac:dyDescent="0.3">
      <c r="A157" s="12"/>
      <c r="B157" s="122"/>
      <c r="C157" s="49"/>
      <c r="D157" s="49">
        <f>IF(H157=Categories!$E$4,VLOOKUP(G157,Categories!$A$4:$C$13,3,1),VLOOKUP(H157,Categories!$E$4:$G$24,3,1))</f>
        <v>45</v>
      </c>
      <c r="E157" s="49"/>
      <c r="F157" s="44">
        <v>14</v>
      </c>
      <c r="G157" s="50" t="s">
        <v>243</v>
      </c>
      <c r="H157" s="51" t="s">
        <v>250</v>
      </c>
      <c r="I157" s="52"/>
      <c r="J157" s="130">
        <v>2200</v>
      </c>
      <c r="K157" s="53">
        <v>1</v>
      </c>
      <c r="L157" s="54">
        <f>IFERROR(VLOOKUP(VLOOKUP(N157,N157,1,1),Categories!$K$4:$V$17,2+VLOOKUP(K157,K157,1,1)),"-"  )</f>
        <v>1.67</v>
      </c>
      <c r="M157" s="54" t="str">
        <f>IFERROR(VLOOKUP(VLOOKUP(N157,N157,1,1),Categories!$K$3:$V$17,7+VLOOKUP(K157,K157,1,1)),"-")</f>
        <v>0 ATM</v>
      </c>
      <c r="N157" s="55" t="s">
        <v>59</v>
      </c>
      <c r="O157" s="193" t="s">
        <v>0</v>
      </c>
      <c r="P157" s="202" t="s">
        <v>0</v>
      </c>
      <c r="Q157" s="149"/>
      <c r="R157" s="142"/>
      <c r="S157" s="142"/>
      <c r="T157" s="142"/>
      <c r="U157" s="145"/>
      <c r="V157" s="145"/>
      <c r="W157" s="146"/>
      <c r="X157" s="147"/>
      <c r="Y157" s="147"/>
      <c r="Z157" s="147"/>
      <c r="AA157" s="147"/>
      <c r="AB157" s="147"/>
      <c r="AC157" s="147"/>
      <c r="AD157" s="147"/>
      <c r="AE157" s="147"/>
      <c r="AF157" s="146"/>
      <c r="AG157" s="148"/>
      <c r="AH157" s="141"/>
      <c r="AI157" s="48"/>
      <c r="AJ157" s="56"/>
      <c r="AK157" s="56"/>
    </row>
    <row r="158" spans="1:37" ht="31.95" customHeight="1" x14ac:dyDescent="0.3">
      <c r="A158" s="12"/>
      <c r="B158" s="122"/>
      <c r="C158" s="49"/>
      <c r="D158" s="49">
        <f>IF(H158=Categories!$E$4,VLOOKUP(G158,Categories!$A$4:$C$13,3,1),VLOOKUP(H158,Categories!$E$4:$G$24,3,1))</f>
        <v>120</v>
      </c>
      <c r="E158" s="49"/>
      <c r="F158" s="44">
        <v>14</v>
      </c>
      <c r="G158" s="50" t="s">
        <v>247</v>
      </c>
      <c r="H158" s="45" t="s">
        <v>0</v>
      </c>
      <c r="I158" s="52"/>
      <c r="J158" s="130">
        <v>2200</v>
      </c>
      <c r="K158" s="53">
        <v>1</v>
      </c>
      <c r="L158" s="54">
        <f>IFERROR(VLOOKUP(VLOOKUP(N158,N158,1,1),Categories!$K$4:$V$17,2+VLOOKUP(K158,K158,1,1)),"-"  )</f>
        <v>1.67</v>
      </c>
      <c r="M158" s="54" t="str">
        <f>IFERROR(VLOOKUP(VLOOKUP(N158,N158,1,1),Categories!$K$3:$V$17,7+VLOOKUP(K158,K158,1,1)),"-")</f>
        <v>0 ATM</v>
      </c>
      <c r="N158" s="55" t="s">
        <v>59</v>
      </c>
      <c r="O158" s="193" t="s">
        <v>0</v>
      </c>
      <c r="P158" s="202" t="s">
        <v>0</v>
      </c>
      <c r="Q158" s="149"/>
      <c r="R158" s="142"/>
      <c r="S158" s="142"/>
      <c r="T158" s="186"/>
      <c r="U158" s="145"/>
      <c r="V158" s="145"/>
      <c r="W158" s="146"/>
      <c r="X158" s="147"/>
      <c r="Y158" s="147"/>
      <c r="Z158" s="147"/>
      <c r="AA158" s="147"/>
      <c r="AB158" s="147"/>
      <c r="AC158" s="147"/>
      <c r="AD158" s="147"/>
      <c r="AE158" s="147"/>
      <c r="AF158" s="146"/>
      <c r="AG158" s="148"/>
      <c r="AH158" s="141"/>
      <c r="AI158" s="48"/>
      <c r="AJ158" s="56"/>
      <c r="AK158" s="56"/>
    </row>
    <row r="159" spans="1:37" ht="31.95" customHeight="1" x14ac:dyDescent="0.3">
      <c r="A159" s="12"/>
      <c r="B159" s="203"/>
      <c r="C159" s="49"/>
      <c r="D159" s="49">
        <f>IF(H159=Categories!$E$4,VLOOKUP(G159,Categories!$A$4:$C$13,3,1),VLOOKUP(H159,Categories!$E$4:$G$24,3,1))</f>
        <v>45</v>
      </c>
      <c r="E159" s="49"/>
      <c r="F159" s="44" t="s">
        <v>0</v>
      </c>
      <c r="G159" s="50" t="s">
        <v>3</v>
      </c>
      <c r="H159" s="51" t="s">
        <v>2</v>
      </c>
      <c r="I159" s="52"/>
      <c r="J159" s="130">
        <v>2500</v>
      </c>
      <c r="K159" s="53">
        <v>1</v>
      </c>
      <c r="L159" s="54">
        <f>IFERROR(VLOOKUP(VLOOKUP(N159,N159,1,1),Categories!$K$4:$V$17,2+VLOOKUP(K159,K159,1,1)),"-"  )</f>
        <v>1.67</v>
      </c>
      <c r="M159" s="54" t="str">
        <f>IFERROR(VLOOKUP(VLOOKUP(N159,N159,1,1),Categories!$K$3:$V$17,7+VLOOKUP(K159,K159,1,1)),"-")</f>
        <v>0 ATM</v>
      </c>
      <c r="N159" s="55" t="s">
        <v>59</v>
      </c>
      <c r="O159" s="193" t="s">
        <v>0</v>
      </c>
      <c r="P159" s="202" t="s">
        <v>0</v>
      </c>
      <c r="Q159" s="149"/>
      <c r="R159" s="142"/>
      <c r="S159" s="142"/>
      <c r="T159" s="186"/>
      <c r="U159" s="145"/>
      <c r="V159" s="145"/>
      <c r="W159" s="146"/>
      <c r="X159" s="147"/>
      <c r="Y159" s="147"/>
      <c r="Z159" s="147"/>
      <c r="AA159" s="147"/>
      <c r="AB159" s="147"/>
      <c r="AC159" s="147"/>
      <c r="AD159" s="147"/>
      <c r="AE159" s="147"/>
      <c r="AF159" s="146"/>
      <c r="AG159" s="148"/>
      <c r="AH159" s="141"/>
      <c r="AI159" s="48"/>
      <c r="AJ159" s="56"/>
      <c r="AK159" s="56"/>
    </row>
    <row r="160" spans="1:37" ht="31.95" customHeight="1" x14ac:dyDescent="0.3">
      <c r="A160" s="183"/>
      <c r="B160" s="204"/>
      <c r="C160" s="49"/>
      <c r="D160" s="49">
        <f>IF(H160=Categories!$E$4,VLOOKUP(G160,Categories!$A$4:$C$13,3,1),VLOOKUP(H160,Categories!$E$4:$G$24,3,1))</f>
        <v>120</v>
      </c>
      <c r="E160" s="49"/>
      <c r="F160" s="44">
        <v>15</v>
      </c>
      <c r="G160" s="50" t="s">
        <v>44</v>
      </c>
      <c r="H160" s="51" t="s">
        <v>0</v>
      </c>
      <c r="I160" s="52"/>
      <c r="J160" s="130">
        <v>2500</v>
      </c>
      <c r="K160" s="53">
        <v>1</v>
      </c>
      <c r="L160" s="54">
        <f>IFERROR(VLOOKUP(VLOOKUP(N160,N160,1,1),Categories!$K$4:$V$17,2+VLOOKUP(K160,K160,1,1)),"-"  )</f>
        <v>1.67</v>
      </c>
      <c r="M160" s="54" t="str">
        <f>IFERROR(VLOOKUP(VLOOKUP(N160,N160,1,1),Categories!$K$3:$V$17,7+VLOOKUP(K160,K160,1,1)),"-")</f>
        <v>0 ATM</v>
      </c>
      <c r="N160" s="55" t="s">
        <v>59</v>
      </c>
      <c r="O160" s="193" t="s">
        <v>0</v>
      </c>
      <c r="P160" s="202" t="s">
        <v>0</v>
      </c>
      <c r="Q160" s="185"/>
      <c r="R160" s="186"/>
      <c r="S160" s="186"/>
      <c r="T160" s="186"/>
      <c r="U160" s="187"/>
      <c r="V160" s="187"/>
      <c r="W160" s="188"/>
      <c r="X160" s="189"/>
      <c r="Y160" s="189"/>
      <c r="Z160" s="189"/>
      <c r="AA160" s="189"/>
      <c r="AB160" s="189"/>
      <c r="AC160" s="189"/>
      <c r="AD160" s="189"/>
      <c r="AE160" s="189"/>
      <c r="AF160" s="188"/>
      <c r="AG160" s="190"/>
      <c r="AH160" s="141"/>
      <c r="AI160" s="56"/>
      <c r="AJ160" s="56"/>
      <c r="AK160" s="56"/>
    </row>
    <row r="161" spans="1:37" ht="31.95" customHeight="1" x14ac:dyDescent="0.3">
      <c r="A161" s="183"/>
      <c r="B161" s="184"/>
      <c r="C161" s="49"/>
      <c r="D161" s="49">
        <f>IF(H161=Categories!$E$4,VLOOKUP(G161,Categories!$A$4:$C$13,3,1),VLOOKUP(H161,Categories!$E$4:$G$24,3,1))</f>
        <v>45</v>
      </c>
      <c r="E161" s="49"/>
      <c r="F161" s="44">
        <v>15</v>
      </c>
      <c r="G161" s="50" t="s">
        <v>243</v>
      </c>
      <c r="H161" s="51" t="s">
        <v>249</v>
      </c>
      <c r="I161" s="52"/>
      <c r="J161" s="130">
        <v>2500</v>
      </c>
      <c r="K161" s="53">
        <v>2</v>
      </c>
      <c r="L161" s="54">
        <f>IFERROR(VLOOKUP(VLOOKUP(N161,N161,1,1),Categories!$K$4:$V$17,2+VLOOKUP(K161,K161,1,1)),"-"  )</f>
        <v>7.3</v>
      </c>
      <c r="M161" s="54" t="str">
        <f>IFERROR(VLOOKUP(VLOOKUP(N161,N161,1,1),Categories!$K$3:$V$17,7+VLOOKUP(K161,K161,1,1)),"-")</f>
        <v>4 ATM</v>
      </c>
      <c r="N161" s="55" t="s">
        <v>59</v>
      </c>
      <c r="O161" s="193" t="s">
        <v>0</v>
      </c>
      <c r="P161" s="202" t="s">
        <v>0</v>
      </c>
      <c r="Q161" s="185"/>
      <c r="R161" s="186"/>
      <c r="S161" s="186"/>
      <c r="T161" s="186"/>
      <c r="U161" s="187"/>
      <c r="V161" s="187"/>
      <c r="W161" s="188"/>
      <c r="X161" s="189"/>
      <c r="Y161" s="189"/>
      <c r="Z161" s="189"/>
      <c r="AA161" s="189"/>
      <c r="AB161" s="189"/>
      <c r="AC161" s="189"/>
      <c r="AD161" s="189"/>
      <c r="AE161" s="189"/>
      <c r="AF161" s="188"/>
      <c r="AG161" s="190"/>
      <c r="AH161" s="141"/>
      <c r="AI161" s="56"/>
      <c r="AJ161" s="56"/>
      <c r="AK161" s="56"/>
    </row>
    <row r="162" spans="1:37" ht="31.95" customHeight="1" x14ac:dyDescent="0.3">
      <c r="A162" s="12"/>
      <c r="B162" s="122"/>
      <c r="C162" s="49"/>
      <c r="D162" s="49">
        <f>IF(H162=Categories!$E$4,VLOOKUP(G162,Categories!$A$4:$C$13,3,1),VLOOKUP(H162,Categories!$E$4:$G$24,3,1))</f>
        <v>120</v>
      </c>
      <c r="E162" s="49"/>
      <c r="F162" s="44">
        <v>15</v>
      </c>
      <c r="G162" s="50" t="s">
        <v>44</v>
      </c>
      <c r="H162" s="45" t="s">
        <v>0</v>
      </c>
      <c r="I162" s="52"/>
      <c r="J162" s="130">
        <v>2500</v>
      </c>
      <c r="K162" s="53">
        <v>2</v>
      </c>
      <c r="L162" s="54">
        <f>IFERROR(VLOOKUP(VLOOKUP(N162,N162,1,1),Categories!$K$4:$V$17,2+VLOOKUP(K162,K162,1,1)),"-"  )</f>
        <v>7.3</v>
      </c>
      <c r="M162" s="54" t="str">
        <f>IFERROR(VLOOKUP(VLOOKUP(N162,N162,1,1),Categories!$K$3:$V$17,7+VLOOKUP(K162,K162,1,1)),"-")</f>
        <v>4 ATM</v>
      </c>
      <c r="N162" s="55" t="s">
        <v>59</v>
      </c>
      <c r="O162" s="193" t="s">
        <v>0</v>
      </c>
      <c r="P162" s="202" t="s">
        <v>0</v>
      </c>
      <c r="Q162" s="149"/>
      <c r="R162" s="142"/>
      <c r="S162" s="142"/>
      <c r="T162" s="186"/>
      <c r="U162" s="145"/>
      <c r="V162" s="145"/>
      <c r="W162" s="146"/>
      <c r="X162" s="147"/>
      <c r="Y162" s="147"/>
      <c r="Z162" s="147"/>
      <c r="AA162" s="147"/>
      <c r="AB162" s="147"/>
      <c r="AC162" s="147"/>
      <c r="AD162" s="147"/>
      <c r="AE162" s="147"/>
      <c r="AF162" s="146"/>
      <c r="AG162" s="148"/>
      <c r="AH162" s="141"/>
      <c r="AI162" s="48"/>
      <c r="AJ162" s="56"/>
      <c r="AK162" s="56"/>
    </row>
    <row r="163" spans="1:37" ht="31.95" customHeight="1" x14ac:dyDescent="0.3">
      <c r="A163" s="12"/>
      <c r="B163" s="122"/>
      <c r="C163" s="49"/>
      <c r="D163" s="49">
        <f>IF(H163=Categories!$E$4,VLOOKUP(G163,Categories!$A$4:$C$13,3,1),VLOOKUP(H163,Categories!$E$4:$G$24,3,1))</f>
        <v>45</v>
      </c>
      <c r="E163" s="49"/>
      <c r="F163" s="44">
        <v>15</v>
      </c>
      <c r="G163" s="50" t="s">
        <v>243</v>
      </c>
      <c r="H163" s="51" t="s">
        <v>249</v>
      </c>
      <c r="I163" s="52"/>
      <c r="J163" s="130">
        <v>2500</v>
      </c>
      <c r="K163" s="53">
        <v>3</v>
      </c>
      <c r="L163" s="54">
        <f>IFERROR(VLOOKUP(VLOOKUP(N163,N163,1,1),Categories!$K$4:$V$17,2+VLOOKUP(K163,K163,1,1)),"-"  )</f>
        <v>8.52</v>
      </c>
      <c r="M163" s="54" t="str">
        <f>IFERROR(VLOOKUP(VLOOKUP(N163,N163,1,1),Categories!$K$3:$V$17,7+VLOOKUP(K163,K163,1,1)),"-")</f>
        <v>13 ATM</v>
      </c>
      <c r="N163" s="55" t="s">
        <v>59</v>
      </c>
      <c r="O163" s="193" t="s">
        <v>0</v>
      </c>
      <c r="P163" s="202" t="s">
        <v>0</v>
      </c>
      <c r="Q163" s="149"/>
      <c r="R163" s="142"/>
      <c r="S163" s="142"/>
      <c r="T163" s="186"/>
      <c r="U163" s="145"/>
      <c r="V163" s="145"/>
      <c r="W163" s="146"/>
      <c r="X163" s="147"/>
      <c r="Y163" s="147"/>
      <c r="Z163" s="147"/>
      <c r="AA163" s="147"/>
      <c r="AB163" s="147"/>
      <c r="AC163" s="147"/>
      <c r="AD163" s="147"/>
      <c r="AE163" s="147"/>
      <c r="AF163" s="146"/>
      <c r="AG163" s="148"/>
      <c r="AH163" s="141"/>
      <c r="AI163" s="48"/>
      <c r="AJ163" s="56"/>
      <c r="AK163" s="56"/>
    </row>
    <row r="164" spans="1:37" ht="31.95" customHeight="1" x14ac:dyDescent="0.3">
      <c r="A164" s="12"/>
      <c r="B164" s="122"/>
      <c r="C164" s="49"/>
      <c r="D164" s="49">
        <f>IF(H164=Categories!$E$4,VLOOKUP(G164,Categories!$A$4:$C$13,3,1),VLOOKUP(H164,Categories!$E$4:$G$24,3,1))</f>
        <v>120</v>
      </c>
      <c r="E164" s="49"/>
      <c r="F164" s="44">
        <v>15</v>
      </c>
      <c r="G164" s="50" t="s">
        <v>44</v>
      </c>
      <c r="H164" s="45" t="s">
        <v>0</v>
      </c>
      <c r="I164" s="52"/>
      <c r="J164" s="130">
        <v>2500</v>
      </c>
      <c r="K164" s="53">
        <v>3</v>
      </c>
      <c r="L164" s="54">
        <f>IFERROR(VLOOKUP(VLOOKUP(N164,N164,1,1),Categories!$K$4:$V$17,2+VLOOKUP(K164,K164,1,1)),"-"  )</f>
        <v>8.52</v>
      </c>
      <c r="M164" s="54" t="str">
        <f>IFERROR(VLOOKUP(VLOOKUP(N164,N164,1,1),Categories!$K$3:$V$17,7+VLOOKUP(K164,K164,1,1)),"-")</f>
        <v>13 ATM</v>
      </c>
      <c r="N164" s="55" t="s">
        <v>59</v>
      </c>
      <c r="O164" s="193" t="s">
        <v>0</v>
      </c>
      <c r="P164" s="202" t="s">
        <v>0</v>
      </c>
      <c r="Q164" s="149"/>
      <c r="R164" s="142"/>
      <c r="S164" s="142"/>
      <c r="T164" s="186"/>
      <c r="U164" s="145"/>
      <c r="V164" s="145"/>
      <c r="W164" s="146"/>
      <c r="X164" s="147"/>
      <c r="Y164" s="147"/>
      <c r="Z164" s="147"/>
      <c r="AA164" s="147"/>
      <c r="AB164" s="147"/>
      <c r="AC164" s="147"/>
      <c r="AD164" s="147"/>
      <c r="AE164" s="147"/>
      <c r="AF164" s="146"/>
      <c r="AG164" s="148"/>
      <c r="AH164" s="141"/>
      <c r="AI164" s="48"/>
      <c r="AJ164" s="56"/>
      <c r="AK164" s="56"/>
    </row>
    <row r="165" spans="1:37" ht="31.95" customHeight="1" x14ac:dyDescent="0.3">
      <c r="A165" s="12"/>
      <c r="B165" s="122"/>
      <c r="C165" s="49"/>
      <c r="D165" s="49">
        <f>IF(H165=Categories!$E$4,VLOOKUP(G165,Categories!$A$4:$C$13,3,1),VLOOKUP(H165,Categories!$E$4:$G$24,3,1))</f>
        <v>45</v>
      </c>
      <c r="E165" s="49"/>
      <c r="F165" s="44">
        <v>15</v>
      </c>
      <c r="G165" s="50" t="s">
        <v>243</v>
      </c>
      <c r="H165" s="51" t="s">
        <v>250</v>
      </c>
      <c r="I165" s="52"/>
      <c r="J165" s="130">
        <v>2500</v>
      </c>
      <c r="K165" s="53">
        <v>1</v>
      </c>
      <c r="L165" s="54">
        <f>IFERROR(VLOOKUP(VLOOKUP(N165,N165,1,1),Categories!$K$4:$V$17,2+VLOOKUP(K165,K165,1,1)),"-"  )</f>
        <v>1.67</v>
      </c>
      <c r="M165" s="54" t="str">
        <f>IFERROR(VLOOKUP(VLOOKUP(N165,N165,1,1),Categories!$K$3:$V$17,7+VLOOKUP(K165,K165,1,1)),"-")</f>
        <v>0 ATM</v>
      </c>
      <c r="N165" s="55" t="s">
        <v>59</v>
      </c>
      <c r="O165" s="193" t="s">
        <v>0</v>
      </c>
      <c r="P165" s="202" t="s">
        <v>0</v>
      </c>
      <c r="Q165" s="149"/>
      <c r="R165" s="142"/>
      <c r="S165" s="142"/>
      <c r="T165" s="186"/>
      <c r="U165" s="145"/>
      <c r="V165" s="145"/>
      <c r="W165" s="146"/>
      <c r="X165" s="147"/>
      <c r="Y165" s="147"/>
      <c r="Z165" s="147"/>
      <c r="AA165" s="147"/>
      <c r="AB165" s="147"/>
      <c r="AC165" s="147"/>
      <c r="AD165" s="147"/>
      <c r="AE165" s="147"/>
      <c r="AF165" s="146"/>
      <c r="AG165" s="148"/>
      <c r="AH165" s="141"/>
      <c r="AI165" s="48"/>
      <c r="AJ165" s="56"/>
      <c r="AK165" s="56"/>
    </row>
    <row r="166" spans="1:37" ht="31.95" customHeight="1" x14ac:dyDescent="0.3">
      <c r="A166" s="12"/>
      <c r="B166" s="203"/>
      <c r="C166" s="49"/>
      <c r="D166" s="49">
        <f>IF(H166=Categories!$E$4,VLOOKUP(G166,Categories!$A$4:$C$13,3,1),VLOOKUP(H166,Categories!$E$4:$G$24,3,1))</f>
        <v>120</v>
      </c>
      <c r="E166" s="49"/>
      <c r="F166" s="44">
        <v>15</v>
      </c>
      <c r="G166" s="50" t="s">
        <v>247</v>
      </c>
      <c r="H166" s="45" t="s">
        <v>0</v>
      </c>
      <c r="I166" s="52"/>
      <c r="J166" s="130">
        <v>2500</v>
      </c>
      <c r="K166" s="53">
        <v>1</v>
      </c>
      <c r="L166" s="54">
        <f>IFERROR(VLOOKUP(VLOOKUP(N166,N166,1,1),Categories!$K$4:$V$17,2+VLOOKUP(K166,K166,1,1)),"-"  )</f>
        <v>1.67</v>
      </c>
      <c r="M166" s="54" t="str">
        <f>IFERROR(VLOOKUP(VLOOKUP(N166,N166,1,1),Categories!$K$3:$V$17,7+VLOOKUP(K166,K166,1,1)),"-")</f>
        <v>0 ATM</v>
      </c>
      <c r="N166" s="55" t="s">
        <v>59</v>
      </c>
      <c r="O166" s="193" t="s">
        <v>0</v>
      </c>
      <c r="P166" s="202" t="s">
        <v>0</v>
      </c>
      <c r="Q166" s="149"/>
      <c r="R166" s="142"/>
      <c r="S166" s="142"/>
      <c r="T166" s="142"/>
      <c r="U166" s="145"/>
      <c r="V166" s="145"/>
      <c r="W166" s="146"/>
      <c r="X166" s="147"/>
      <c r="Y166" s="147"/>
      <c r="Z166" s="147"/>
      <c r="AA166" s="147"/>
      <c r="AB166" s="147"/>
      <c r="AC166" s="147"/>
      <c r="AD166" s="147"/>
      <c r="AE166" s="147"/>
      <c r="AF166" s="146"/>
      <c r="AG166" s="148"/>
      <c r="AH166" s="141"/>
      <c r="AI166" s="48"/>
      <c r="AJ166" s="56"/>
      <c r="AK166" s="56"/>
    </row>
    <row r="167" spans="1:37" ht="31.95" customHeight="1" x14ac:dyDescent="0.3">
      <c r="A167" s="12"/>
      <c r="B167" s="122"/>
      <c r="C167" s="49"/>
      <c r="D167" s="49">
        <f>IF(H167=Categories!$E$4,VLOOKUP(G167,Categories!$A$4:$C$13,3,1),VLOOKUP(H167,Categories!$E$4:$G$24,3,1))</f>
        <v>45</v>
      </c>
      <c r="E167" s="49"/>
      <c r="F167" s="44" t="s">
        <v>0</v>
      </c>
      <c r="G167" s="50" t="s">
        <v>243</v>
      </c>
      <c r="H167" s="51" t="s">
        <v>2</v>
      </c>
      <c r="I167" s="52"/>
      <c r="J167" s="130">
        <v>2800</v>
      </c>
      <c r="K167" s="53">
        <v>1</v>
      </c>
      <c r="L167" s="54">
        <f>IFERROR(VLOOKUP(VLOOKUP(N167,N167,1,1),Categories!$K$4:$V$17,2+VLOOKUP(K167,K167,1,1)),"-"  )</f>
        <v>1.67</v>
      </c>
      <c r="M167" s="54" t="str">
        <f>IFERROR(VLOOKUP(VLOOKUP(N167,N167,1,1),Categories!$K$3:$V$17,7+VLOOKUP(K167,K167,1,1)),"-")</f>
        <v>0 ATM</v>
      </c>
      <c r="N167" s="55" t="s">
        <v>59</v>
      </c>
      <c r="O167" s="193" t="s">
        <v>0</v>
      </c>
      <c r="P167" s="202" t="s">
        <v>0</v>
      </c>
      <c r="Q167" s="149"/>
      <c r="R167" s="142"/>
      <c r="S167" s="142"/>
      <c r="U167" s="145"/>
      <c r="V167" s="145"/>
      <c r="W167" s="146"/>
      <c r="X167" s="147"/>
      <c r="Y167" s="147"/>
      <c r="Z167" s="147"/>
      <c r="AA167" s="147"/>
      <c r="AB167" s="147"/>
      <c r="AC167" s="147"/>
      <c r="AD167" s="147"/>
      <c r="AE167" s="147"/>
      <c r="AF167" s="146"/>
      <c r="AG167" s="148"/>
      <c r="AH167" s="141"/>
      <c r="AI167" s="48"/>
      <c r="AJ167" s="56"/>
      <c r="AK167" s="56"/>
    </row>
    <row r="168" spans="1:37" ht="31.95" customHeight="1" x14ac:dyDescent="0.3">
      <c r="A168" s="183"/>
      <c r="B168" s="184"/>
      <c r="C168" s="49"/>
      <c r="D168" s="49">
        <f>IF(H168=Categories!$E$4,VLOOKUP(G168,Categories!$A$4:$C$13,3,1),VLOOKUP(H168,Categories!$E$4:$G$24,3,1))</f>
        <v>120</v>
      </c>
      <c r="E168" s="49"/>
      <c r="F168" s="44">
        <v>16</v>
      </c>
      <c r="G168" s="50" t="s">
        <v>44</v>
      </c>
      <c r="H168" s="51" t="s">
        <v>0</v>
      </c>
      <c r="I168" s="52"/>
      <c r="J168" s="130">
        <v>2800</v>
      </c>
      <c r="K168" s="53">
        <v>1</v>
      </c>
      <c r="L168" s="54">
        <f>IFERROR(VLOOKUP(VLOOKUP(N168,N168,1,1),Categories!$K$4:$V$17,2+VLOOKUP(K168,K168,1,1)),"-"  )</f>
        <v>1.67</v>
      </c>
      <c r="M168" s="54" t="str">
        <f>IFERROR(VLOOKUP(VLOOKUP(N168,N168,1,1),Categories!$K$3:$V$17,7+VLOOKUP(K168,K168,1,1)),"-")</f>
        <v>0 ATM</v>
      </c>
      <c r="N168" s="55" t="s">
        <v>59</v>
      </c>
      <c r="O168" s="193" t="s">
        <v>0</v>
      </c>
      <c r="P168" s="202" t="s">
        <v>0</v>
      </c>
      <c r="Q168" s="185"/>
      <c r="R168" s="186"/>
      <c r="S168" s="186"/>
      <c r="U168" s="187"/>
      <c r="V168" s="187"/>
      <c r="W168" s="188"/>
      <c r="X168" s="189"/>
      <c r="Y168" s="189"/>
      <c r="Z168" s="189"/>
      <c r="AA168" s="189"/>
      <c r="AB168" s="189"/>
      <c r="AC168" s="189"/>
      <c r="AD168" s="189"/>
      <c r="AE168" s="189"/>
      <c r="AF168" s="188"/>
      <c r="AG168" s="190"/>
      <c r="AH168" s="141" t="s">
        <v>263</v>
      </c>
      <c r="AI168" s="56"/>
      <c r="AJ168" s="56"/>
      <c r="AK168" s="56"/>
    </row>
    <row r="169" spans="1:37" ht="31.95" customHeight="1" x14ac:dyDescent="0.3">
      <c r="A169" s="183"/>
      <c r="B169" s="184"/>
      <c r="C169" s="49"/>
      <c r="D169" s="49">
        <f>IF(H169=Categories!$E$4,VLOOKUP(G169,Categories!$A$4:$C$13,3,1),VLOOKUP(H169,Categories!$E$4:$G$24,3,1))</f>
        <v>45</v>
      </c>
      <c r="E169" s="49"/>
      <c r="F169" s="44">
        <v>16</v>
      </c>
      <c r="G169" s="50" t="s">
        <v>243</v>
      </c>
      <c r="H169" s="51" t="s">
        <v>249</v>
      </c>
      <c r="I169" s="52"/>
      <c r="J169" s="130">
        <v>2800</v>
      </c>
      <c r="K169" s="53">
        <v>2</v>
      </c>
      <c r="L169" s="54">
        <f>IFERROR(VLOOKUP(VLOOKUP(N169,N169,1,1),Categories!$K$4:$V$17,2+VLOOKUP(K169,K169,1,1)),"-"  )</f>
        <v>7.3</v>
      </c>
      <c r="M169" s="54" t="str">
        <f>IFERROR(VLOOKUP(VLOOKUP(N169,N169,1,1),Categories!$K$3:$V$17,7+VLOOKUP(K169,K169,1,1)),"-")</f>
        <v>4 ATM</v>
      </c>
      <c r="N169" s="55" t="s">
        <v>59</v>
      </c>
      <c r="O169" s="193" t="s">
        <v>0</v>
      </c>
      <c r="P169" s="202" t="s">
        <v>0</v>
      </c>
      <c r="Q169" s="185"/>
      <c r="R169" s="186"/>
      <c r="S169" s="186"/>
      <c r="U169" s="187"/>
      <c r="V169" s="187"/>
      <c r="W169" s="188"/>
      <c r="X169" s="189"/>
      <c r="Y169" s="189"/>
      <c r="Z169" s="189"/>
      <c r="AA169" s="189"/>
      <c r="AB169" s="189"/>
      <c r="AC169" s="189"/>
      <c r="AD169" s="189"/>
      <c r="AE169" s="189"/>
      <c r="AF169" s="188"/>
      <c r="AG169" s="190"/>
      <c r="AH169" s="141"/>
      <c r="AI169" s="56"/>
      <c r="AJ169" s="56"/>
      <c r="AK169" s="56"/>
    </row>
    <row r="170" spans="1:37" ht="31.95" customHeight="1" x14ac:dyDescent="0.3">
      <c r="A170" s="12"/>
      <c r="B170" s="122"/>
      <c r="C170" s="49"/>
      <c r="D170" s="49">
        <f>IF(H170=Categories!$E$4,VLOOKUP(G170,Categories!$A$4:$C$13,3,1),VLOOKUP(H170,Categories!$E$4:$G$24,3,1))</f>
        <v>120</v>
      </c>
      <c r="E170" s="49"/>
      <c r="F170" s="44">
        <v>16</v>
      </c>
      <c r="G170" s="50" t="s">
        <v>44</v>
      </c>
      <c r="H170" s="45" t="s">
        <v>0</v>
      </c>
      <c r="I170" s="52"/>
      <c r="J170" s="130">
        <v>2800</v>
      </c>
      <c r="K170" s="53">
        <v>2</v>
      </c>
      <c r="L170" s="54">
        <f>IFERROR(VLOOKUP(VLOOKUP(N170,N170,1,1),Categories!$K$4:$V$17,2+VLOOKUP(K170,K170,1,1)),"-"  )</f>
        <v>7.3</v>
      </c>
      <c r="M170" s="54" t="str">
        <f>IFERROR(VLOOKUP(VLOOKUP(N170,N170,1,1),Categories!$K$3:$V$17,7+VLOOKUP(K170,K170,1,1)),"-")</f>
        <v>4 ATM</v>
      </c>
      <c r="N170" s="55" t="s">
        <v>59</v>
      </c>
      <c r="O170" s="193" t="s">
        <v>0</v>
      </c>
      <c r="P170" s="202" t="s">
        <v>0</v>
      </c>
      <c r="Q170" s="149"/>
      <c r="R170" s="142"/>
      <c r="S170" s="142"/>
      <c r="U170" s="145"/>
      <c r="V170" s="145"/>
      <c r="W170" s="146"/>
      <c r="X170" s="147"/>
      <c r="Y170" s="147"/>
      <c r="Z170" s="147"/>
      <c r="AA170" s="147"/>
      <c r="AB170" s="147"/>
      <c r="AC170" s="147"/>
      <c r="AD170" s="147"/>
      <c r="AE170" s="147"/>
      <c r="AF170" s="146"/>
      <c r="AG170" s="148"/>
      <c r="AH170" s="141" t="s">
        <v>263</v>
      </c>
      <c r="AI170" s="48"/>
      <c r="AJ170" s="56"/>
      <c r="AK170" s="56"/>
    </row>
    <row r="171" spans="1:37" ht="31.95" customHeight="1" x14ac:dyDescent="0.3">
      <c r="A171" s="12"/>
      <c r="B171" s="122"/>
      <c r="C171" s="49"/>
      <c r="D171" s="49">
        <f>IF(H171=Categories!$E$4,VLOOKUP(G171,Categories!$A$4:$C$13,3,1),VLOOKUP(H171,Categories!$E$4:$G$24,3,1))</f>
        <v>45</v>
      </c>
      <c r="E171" s="49"/>
      <c r="F171" s="44">
        <v>16</v>
      </c>
      <c r="G171" s="50" t="s">
        <v>243</v>
      </c>
      <c r="H171" s="51" t="s">
        <v>249</v>
      </c>
      <c r="I171" s="52"/>
      <c r="J171" s="130">
        <v>2800</v>
      </c>
      <c r="K171" s="53">
        <v>3</v>
      </c>
      <c r="L171" s="54">
        <f>IFERROR(VLOOKUP(VLOOKUP(N171,N171,1,1),Categories!$K$4:$V$17,2+VLOOKUP(K171,K171,1,1)),"-"  )</f>
        <v>8.52</v>
      </c>
      <c r="M171" s="54" t="str">
        <f>IFERROR(VLOOKUP(VLOOKUP(N171,N171,1,1),Categories!$K$3:$V$17,7+VLOOKUP(K171,K171,1,1)),"-")</f>
        <v>13 ATM</v>
      </c>
      <c r="N171" s="55" t="s">
        <v>59</v>
      </c>
      <c r="O171" s="193" t="s">
        <v>0</v>
      </c>
      <c r="P171" s="202" t="s">
        <v>0</v>
      </c>
      <c r="Q171" s="149"/>
      <c r="R171" s="142"/>
      <c r="S171" s="142"/>
      <c r="U171" s="145"/>
      <c r="V171" s="145"/>
      <c r="W171" s="146"/>
      <c r="X171" s="147"/>
      <c r="Y171" s="147"/>
      <c r="Z171" s="147"/>
      <c r="AA171" s="147"/>
      <c r="AB171" s="147"/>
      <c r="AC171" s="147"/>
      <c r="AD171" s="147"/>
      <c r="AE171" s="147"/>
      <c r="AF171" s="146"/>
      <c r="AG171" s="148"/>
      <c r="AH171" s="141"/>
      <c r="AI171" s="48"/>
      <c r="AJ171" s="56"/>
      <c r="AK171" s="56"/>
    </row>
    <row r="172" spans="1:37" ht="31.95" customHeight="1" x14ac:dyDescent="0.3">
      <c r="A172" s="12"/>
      <c r="B172" s="122"/>
      <c r="C172" s="49"/>
      <c r="D172" s="49">
        <f>IF(H172=Categories!$E$4,VLOOKUP(G172,Categories!$A$4:$C$13,3,1),VLOOKUP(H172,Categories!$E$4:$G$24,3,1))</f>
        <v>120</v>
      </c>
      <c r="E172" s="49"/>
      <c r="F172" s="44">
        <v>16</v>
      </c>
      <c r="G172" s="50" t="s">
        <v>44</v>
      </c>
      <c r="H172" s="45" t="s">
        <v>0</v>
      </c>
      <c r="I172" s="52"/>
      <c r="J172" s="130">
        <v>2800</v>
      </c>
      <c r="K172" s="53">
        <v>3</v>
      </c>
      <c r="L172" s="54">
        <f>IFERROR(VLOOKUP(VLOOKUP(N172,N172,1,1),Categories!$K$4:$V$17,2+VLOOKUP(K172,K172,1,1)),"-"  )</f>
        <v>8.52</v>
      </c>
      <c r="M172" s="54" t="str">
        <f>IFERROR(VLOOKUP(VLOOKUP(N172,N172,1,1),Categories!$K$3:$V$17,7+VLOOKUP(K172,K172,1,1)),"-")</f>
        <v>13 ATM</v>
      </c>
      <c r="N172" s="55" t="s">
        <v>59</v>
      </c>
      <c r="O172" s="193" t="s">
        <v>0</v>
      </c>
      <c r="P172" s="202" t="s">
        <v>0</v>
      </c>
      <c r="Q172" s="149"/>
      <c r="R172" s="142"/>
      <c r="S172" s="142"/>
      <c r="U172" s="145"/>
      <c r="V172" s="145"/>
      <c r="W172" s="146"/>
      <c r="X172" s="147"/>
      <c r="Y172" s="147"/>
      <c r="Z172" s="147"/>
      <c r="AA172" s="147"/>
      <c r="AB172" s="147"/>
      <c r="AC172" s="147"/>
      <c r="AD172" s="147"/>
      <c r="AE172" s="147"/>
      <c r="AF172" s="146"/>
      <c r="AG172" s="148"/>
      <c r="AH172" s="141" t="s">
        <v>263</v>
      </c>
      <c r="AI172" s="48"/>
      <c r="AJ172" s="56"/>
      <c r="AK172" s="56"/>
    </row>
    <row r="173" spans="1:37" ht="31.95" customHeight="1" x14ac:dyDescent="0.3">
      <c r="A173" s="12"/>
      <c r="B173" s="122"/>
      <c r="C173" s="49"/>
      <c r="D173" s="49">
        <f>IF(H173=Categories!$E$4,VLOOKUP(G173,Categories!$A$4:$C$13,3,1),VLOOKUP(H173,Categories!$E$4:$G$24,3,1))</f>
        <v>45</v>
      </c>
      <c r="E173" s="49"/>
      <c r="F173" s="44">
        <v>16</v>
      </c>
      <c r="G173" s="50" t="s">
        <v>243</v>
      </c>
      <c r="H173" s="51" t="s">
        <v>250</v>
      </c>
      <c r="I173" s="52"/>
      <c r="J173" s="130">
        <v>2800</v>
      </c>
      <c r="K173" s="53">
        <v>1</v>
      </c>
      <c r="L173" s="54">
        <f>IFERROR(VLOOKUP(VLOOKUP(N173,N173,1,1),Categories!$K$4:$V$17,2+VLOOKUP(K173,K173,1,1)),"-"  )</f>
        <v>1.67</v>
      </c>
      <c r="M173" s="54" t="str">
        <f>IFERROR(VLOOKUP(VLOOKUP(N173,N173,1,1),Categories!$K$3:$V$17,7+VLOOKUP(K173,K173,1,1)),"-")</f>
        <v>0 ATM</v>
      </c>
      <c r="N173" s="55" t="s">
        <v>59</v>
      </c>
      <c r="O173" s="193" t="s">
        <v>0</v>
      </c>
      <c r="P173" s="202" t="s">
        <v>0</v>
      </c>
      <c r="Q173" s="149"/>
      <c r="R173" s="142"/>
      <c r="S173" s="142"/>
      <c r="U173" s="145"/>
      <c r="V173" s="145"/>
      <c r="W173" s="146"/>
      <c r="X173" s="147"/>
      <c r="Y173" s="147"/>
      <c r="Z173" s="147"/>
      <c r="AA173" s="147"/>
      <c r="AB173" s="147"/>
      <c r="AC173" s="147"/>
      <c r="AD173" s="147"/>
      <c r="AE173" s="147"/>
      <c r="AF173" s="146"/>
      <c r="AG173" s="148"/>
      <c r="AH173" s="141"/>
      <c r="AI173" s="48"/>
      <c r="AJ173" s="56"/>
      <c r="AK173" s="56"/>
    </row>
    <row r="174" spans="1:37" ht="31.95" customHeight="1" x14ac:dyDescent="0.3">
      <c r="A174" s="12"/>
      <c r="B174" s="122"/>
      <c r="C174" s="49"/>
      <c r="D174" s="49">
        <f>IF(H174=Categories!$E$4,VLOOKUP(G174,Categories!$A$4:$C$13,3,1),VLOOKUP(H174,Categories!$E$4:$G$24,3,1))</f>
        <v>120</v>
      </c>
      <c r="E174" s="49"/>
      <c r="F174" s="44">
        <v>16</v>
      </c>
      <c r="G174" s="50" t="s">
        <v>247</v>
      </c>
      <c r="H174" s="45" t="s">
        <v>0</v>
      </c>
      <c r="I174" s="52"/>
      <c r="J174" s="130">
        <v>2800</v>
      </c>
      <c r="K174" s="53">
        <v>1</v>
      </c>
      <c r="L174" s="54">
        <f>IFERROR(VLOOKUP(VLOOKUP(N174,N174,1,1),Categories!$K$4:$V$17,2+VLOOKUP(K174,K174,1,1)),"-"  )</f>
        <v>1.67</v>
      </c>
      <c r="M174" s="54" t="str">
        <f>IFERROR(VLOOKUP(VLOOKUP(N174,N174,1,1),Categories!$K$3:$V$17,7+VLOOKUP(K174,K174,1,1)),"-")</f>
        <v>0 ATM</v>
      </c>
      <c r="N174" s="55" t="s">
        <v>59</v>
      </c>
      <c r="O174" s="193" t="s">
        <v>0</v>
      </c>
      <c r="P174" s="202" t="s">
        <v>0</v>
      </c>
      <c r="Q174" s="149"/>
      <c r="R174" s="142"/>
      <c r="S174" s="142"/>
      <c r="U174" s="145"/>
      <c r="V174" s="145"/>
      <c r="W174" s="146"/>
      <c r="X174" s="147"/>
      <c r="Y174" s="147"/>
      <c r="Z174" s="147"/>
      <c r="AA174" s="147"/>
      <c r="AB174" s="147"/>
      <c r="AC174" s="147"/>
      <c r="AD174" s="147"/>
      <c r="AE174" s="147"/>
      <c r="AF174" s="146"/>
      <c r="AG174" s="148"/>
      <c r="AH174" s="141"/>
      <c r="AI174" s="48"/>
      <c r="AJ174" s="56"/>
      <c r="AK174" s="56"/>
    </row>
    <row r="175" spans="1:37" ht="31.95" customHeight="1" x14ac:dyDescent="0.3">
      <c r="A175" s="12"/>
      <c r="B175" s="122"/>
      <c r="C175" s="49"/>
      <c r="D175" s="49">
        <f>IF(H175=Categories!$E$4,VLOOKUP(G175,Categories!$A$4:$C$13,3,1),VLOOKUP(H175,Categories!$E$4:$G$24,3,1))</f>
        <v>45</v>
      </c>
      <c r="E175" s="49"/>
      <c r="F175" s="44" t="s">
        <v>0</v>
      </c>
      <c r="G175" s="50" t="s">
        <v>243</v>
      </c>
      <c r="H175" s="51" t="s">
        <v>2</v>
      </c>
      <c r="I175" s="52"/>
      <c r="J175" s="130">
        <v>3100</v>
      </c>
      <c r="K175" s="53">
        <v>1</v>
      </c>
      <c r="L175" s="54">
        <f>IFERROR(VLOOKUP(VLOOKUP(N175,N175,1,1),Categories!$K$4:$V$17,2+VLOOKUP(K175,K175,1,1)),"-"  )</f>
        <v>1.67</v>
      </c>
      <c r="M175" s="54" t="str">
        <f>IFERROR(VLOOKUP(VLOOKUP(N175,N175,1,1),Categories!$K$3:$V$17,7+VLOOKUP(K175,K175,1,1)),"-")</f>
        <v>0 ATM</v>
      </c>
      <c r="N175" s="55" t="s">
        <v>59</v>
      </c>
      <c r="O175" s="193" t="s">
        <v>0</v>
      </c>
      <c r="P175" s="202" t="s">
        <v>0</v>
      </c>
      <c r="Q175" s="149"/>
      <c r="R175" s="142"/>
      <c r="S175" s="142"/>
      <c r="U175" s="145"/>
      <c r="V175" s="145"/>
      <c r="W175" s="146"/>
      <c r="X175" s="147"/>
      <c r="Y175" s="147"/>
      <c r="Z175" s="147"/>
      <c r="AA175" s="147"/>
      <c r="AB175" s="147"/>
      <c r="AC175" s="147"/>
      <c r="AD175" s="147"/>
      <c r="AE175" s="147"/>
      <c r="AF175" s="146"/>
      <c r="AG175" s="148"/>
      <c r="AH175" s="141"/>
      <c r="AI175" s="48"/>
      <c r="AJ175" s="56"/>
      <c r="AK175" s="56"/>
    </row>
    <row r="176" spans="1:37" ht="31.95" customHeight="1" x14ac:dyDescent="0.3">
      <c r="A176" s="183"/>
      <c r="B176" s="184"/>
      <c r="C176" s="49"/>
      <c r="D176" s="49">
        <f>IF(H176=Categories!$E$4,VLOOKUP(G176,Categories!$A$4:$C$13,3,1),VLOOKUP(H176,Categories!$E$4:$G$24,3,1))</f>
        <v>120</v>
      </c>
      <c r="E176" s="49"/>
      <c r="F176" s="44">
        <v>17</v>
      </c>
      <c r="G176" s="50" t="s">
        <v>44</v>
      </c>
      <c r="H176" s="51" t="s">
        <v>0</v>
      </c>
      <c r="I176" s="52"/>
      <c r="J176" s="130">
        <v>3100</v>
      </c>
      <c r="K176" s="53">
        <v>1</v>
      </c>
      <c r="L176" s="54">
        <f>IFERROR(VLOOKUP(VLOOKUP(N176,N176,1,1),Categories!$K$4:$V$17,2+VLOOKUP(K176,K176,1,1)),"-"  )</f>
        <v>1.67</v>
      </c>
      <c r="M176" s="54" t="str">
        <f>IFERROR(VLOOKUP(VLOOKUP(N176,N176,1,1),Categories!$K$3:$V$17,7+VLOOKUP(K176,K176,1,1)),"-")</f>
        <v>0 ATM</v>
      </c>
      <c r="N176" s="55" t="s">
        <v>59</v>
      </c>
      <c r="O176" s="193" t="s">
        <v>0</v>
      </c>
      <c r="P176" s="202" t="s">
        <v>0</v>
      </c>
      <c r="Q176" s="185"/>
      <c r="R176" s="186"/>
      <c r="S176" s="186"/>
      <c r="U176" s="187"/>
      <c r="V176" s="187"/>
      <c r="W176" s="188"/>
      <c r="X176" s="189"/>
      <c r="Y176" s="189"/>
      <c r="Z176" s="189"/>
      <c r="AA176" s="189"/>
      <c r="AB176" s="189"/>
      <c r="AC176" s="189"/>
      <c r="AD176" s="189"/>
      <c r="AE176" s="189"/>
      <c r="AF176" s="188"/>
      <c r="AG176" s="190"/>
      <c r="AH176" s="141"/>
      <c r="AI176" s="56"/>
      <c r="AJ176" s="56"/>
      <c r="AK176" s="56"/>
    </row>
    <row r="177" spans="1:37" ht="31.95" customHeight="1" x14ac:dyDescent="0.3">
      <c r="A177" s="183"/>
      <c r="B177" s="184"/>
      <c r="C177" s="49"/>
      <c r="D177" s="49">
        <f>IF(H177=Categories!$E$4,VLOOKUP(G177,Categories!$A$4:$C$13,3,1),VLOOKUP(H177,Categories!$E$4:$G$24,3,1))</f>
        <v>45</v>
      </c>
      <c r="E177" s="49"/>
      <c r="F177" s="44">
        <v>17</v>
      </c>
      <c r="G177" s="50" t="s">
        <v>243</v>
      </c>
      <c r="H177" s="51" t="s">
        <v>249</v>
      </c>
      <c r="I177" s="52"/>
      <c r="J177" s="130">
        <v>3100</v>
      </c>
      <c r="K177" s="53">
        <v>2</v>
      </c>
      <c r="L177" s="54">
        <f>IFERROR(VLOOKUP(VLOOKUP(N177,N177,1,1),Categories!$K$4:$V$17,2+VLOOKUP(K177,K177,1,1)),"-"  )</f>
        <v>7.3</v>
      </c>
      <c r="M177" s="54" t="str">
        <f>IFERROR(VLOOKUP(VLOOKUP(N177,N177,1,1),Categories!$K$3:$V$17,7+VLOOKUP(K177,K177,1,1)),"-")</f>
        <v>4 ATM</v>
      </c>
      <c r="N177" s="55" t="s">
        <v>59</v>
      </c>
      <c r="O177" s="193" t="s">
        <v>0</v>
      </c>
      <c r="P177" s="202" t="s">
        <v>0</v>
      </c>
      <c r="Q177" s="185"/>
      <c r="R177" s="186"/>
      <c r="S177" s="186"/>
      <c r="U177" s="187"/>
      <c r="V177" s="187"/>
      <c r="W177" s="188"/>
      <c r="X177" s="189"/>
      <c r="Y177" s="189"/>
      <c r="Z177" s="189"/>
      <c r="AA177" s="189"/>
      <c r="AB177" s="189"/>
      <c r="AC177" s="189"/>
      <c r="AD177" s="189"/>
      <c r="AE177" s="189"/>
      <c r="AF177" s="188"/>
      <c r="AG177" s="190"/>
      <c r="AH177" s="141"/>
      <c r="AI177" s="56"/>
      <c r="AJ177" s="56"/>
      <c r="AK177" s="56"/>
    </row>
    <row r="178" spans="1:37" ht="31.95" customHeight="1" x14ac:dyDescent="0.3">
      <c r="A178" s="12"/>
      <c r="B178" s="122"/>
      <c r="C178" s="49"/>
      <c r="D178" s="49">
        <f>IF(H178=Categories!$E$4,VLOOKUP(G178,Categories!$A$4:$C$13,3,1),VLOOKUP(H178,Categories!$E$4:$G$24,3,1))</f>
        <v>120</v>
      </c>
      <c r="E178" s="49"/>
      <c r="F178" s="44">
        <v>17</v>
      </c>
      <c r="G178" s="50" t="s">
        <v>44</v>
      </c>
      <c r="H178" s="45" t="s">
        <v>0</v>
      </c>
      <c r="I178" s="52"/>
      <c r="J178" s="130">
        <v>3100</v>
      </c>
      <c r="K178" s="53">
        <v>2</v>
      </c>
      <c r="L178" s="54">
        <f>IFERROR(VLOOKUP(VLOOKUP(N178,N178,1,1),Categories!$K$4:$V$17,2+VLOOKUP(K178,K178,1,1)),"-"  )</f>
        <v>7.3</v>
      </c>
      <c r="M178" s="54" t="str">
        <f>IFERROR(VLOOKUP(VLOOKUP(N178,N178,1,1),Categories!$K$3:$V$17,7+VLOOKUP(K178,K178,1,1)),"-")</f>
        <v>4 ATM</v>
      </c>
      <c r="N178" s="55" t="s">
        <v>59</v>
      </c>
      <c r="O178" s="193" t="s">
        <v>0</v>
      </c>
      <c r="P178" s="202" t="s">
        <v>0</v>
      </c>
      <c r="Q178" s="149"/>
      <c r="R178" s="142"/>
      <c r="S178" s="142"/>
      <c r="U178" s="145"/>
      <c r="V178" s="145"/>
      <c r="W178" s="146"/>
      <c r="X178" s="147"/>
      <c r="Y178" s="147"/>
      <c r="Z178" s="147"/>
      <c r="AA178" s="147"/>
      <c r="AB178" s="147"/>
      <c r="AC178" s="147"/>
      <c r="AD178" s="147"/>
      <c r="AE178" s="147"/>
      <c r="AF178" s="146"/>
      <c r="AG178" s="148"/>
      <c r="AH178" s="141"/>
      <c r="AI178" s="48"/>
      <c r="AJ178" s="56"/>
      <c r="AK178" s="56"/>
    </row>
    <row r="179" spans="1:37" ht="31.95" customHeight="1" x14ac:dyDescent="0.3">
      <c r="A179" s="12"/>
      <c r="B179" s="122"/>
      <c r="C179" s="49"/>
      <c r="D179" s="49">
        <f>IF(H179=Categories!$E$4,VLOOKUP(G179,Categories!$A$4:$C$13,3,1),VLOOKUP(H179,Categories!$E$4:$G$24,3,1))</f>
        <v>45</v>
      </c>
      <c r="E179" s="49"/>
      <c r="F179" s="44">
        <v>17</v>
      </c>
      <c r="G179" s="50" t="s">
        <v>243</v>
      </c>
      <c r="H179" s="51" t="s">
        <v>249</v>
      </c>
      <c r="I179" s="52"/>
      <c r="J179" s="130">
        <v>3100</v>
      </c>
      <c r="K179" s="53">
        <v>3</v>
      </c>
      <c r="L179" s="54">
        <f>IFERROR(VLOOKUP(VLOOKUP(N179,N179,1,1),Categories!$K$4:$V$17,2+VLOOKUP(K179,K179,1,1)),"-"  )</f>
        <v>8.52</v>
      </c>
      <c r="M179" s="54" t="str">
        <f>IFERROR(VLOOKUP(VLOOKUP(N179,N179,1,1),Categories!$K$3:$V$17,7+VLOOKUP(K179,K179,1,1)),"-")</f>
        <v>13 ATM</v>
      </c>
      <c r="N179" s="55" t="s">
        <v>59</v>
      </c>
      <c r="O179" s="193" t="s">
        <v>0</v>
      </c>
      <c r="P179" s="202" t="s">
        <v>0</v>
      </c>
      <c r="Q179" s="149"/>
      <c r="R179" s="142"/>
      <c r="S179" s="142"/>
      <c r="U179" s="145"/>
      <c r="V179" s="145"/>
      <c r="W179" s="146"/>
      <c r="X179" s="147"/>
      <c r="Y179" s="147"/>
      <c r="Z179" s="147"/>
      <c r="AA179" s="147"/>
      <c r="AB179" s="147"/>
      <c r="AC179" s="147"/>
      <c r="AD179" s="147"/>
      <c r="AE179" s="147"/>
      <c r="AF179" s="146"/>
      <c r="AG179" s="148"/>
      <c r="AH179" s="141"/>
      <c r="AI179" s="48"/>
      <c r="AJ179" s="56"/>
      <c r="AK179" s="56"/>
    </row>
    <row r="180" spans="1:37" ht="31.95" customHeight="1" x14ac:dyDescent="0.3">
      <c r="A180" s="12"/>
      <c r="B180" s="122"/>
      <c r="C180" s="49"/>
      <c r="D180" s="49">
        <f>IF(H180=Categories!$E$4,VLOOKUP(G180,Categories!$A$4:$C$13,3,1),VLOOKUP(H180,Categories!$E$4:$G$24,3,1))</f>
        <v>120</v>
      </c>
      <c r="E180" s="49"/>
      <c r="F180" s="44">
        <v>17</v>
      </c>
      <c r="G180" s="50" t="s">
        <v>44</v>
      </c>
      <c r="H180" s="45" t="s">
        <v>0</v>
      </c>
      <c r="I180" s="52"/>
      <c r="J180" s="130">
        <v>3100</v>
      </c>
      <c r="K180" s="53">
        <v>3</v>
      </c>
      <c r="L180" s="54">
        <f>IFERROR(VLOOKUP(VLOOKUP(N180,N180,1,1),Categories!$K$4:$V$17,2+VLOOKUP(K180,K180,1,1)),"-"  )</f>
        <v>8.52</v>
      </c>
      <c r="M180" s="54" t="str">
        <f>IFERROR(VLOOKUP(VLOOKUP(N180,N180,1,1),Categories!$K$3:$V$17,7+VLOOKUP(K180,K180,1,1)),"-")</f>
        <v>13 ATM</v>
      </c>
      <c r="N180" s="55" t="s">
        <v>59</v>
      </c>
      <c r="O180" s="193" t="s">
        <v>0</v>
      </c>
      <c r="P180" s="202" t="s">
        <v>0</v>
      </c>
      <c r="Q180" s="149"/>
      <c r="R180" s="142"/>
      <c r="S180" s="142"/>
      <c r="U180" s="145"/>
      <c r="V180" s="145"/>
      <c r="W180" s="146"/>
      <c r="X180" s="147"/>
      <c r="Y180" s="147"/>
      <c r="Z180" s="147"/>
      <c r="AA180" s="147"/>
      <c r="AB180" s="147"/>
      <c r="AC180" s="147"/>
      <c r="AD180" s="147"/>
      <c r="AE180" s="147"/>
      <c r="AF180" s="146"/>
      <c r="AG180" s="148"/>
      <c r="AH180" s="141"/>
      <c r="AI180" s="48"/>
      <c r="AJ180" s="56"/>
      <c r="AK180" s="56"/>
    </row>
    <row r="181" spans="1:37" ht="31.95" customHeight="1" x14ac:dyDescent="0.3">
      <c r="A181" s="12"/>
      <c r="B181" s="122"/>
      <c r="C181" s="49"/>
      <c r="D181" s="49">
        <f>IF(H181=Categories!$E$4,VLOOKUP(G181,Categories!$A$4:$C$13,3,1),VLOOKUP(H181,Categories!$E$4:$G$24,3,1))</f>
        <v>45</v>
      </c>
      <c r="E181" s="49"/>
      <c r="F181" s="44">
        <v>17</v>
      </c>
      <c r="G181" s="50" t="s">
        <v>243</v>
      </c>
      <c r="H181" s="51" t="s">
        <v>250</v>
      </c>
      <c r="I181" s="52"/>
      <c r="J181" s="130">
        <v>3100</v>
      </c>
      <c r="K181" s="53">
        <v>1</v>
      </c>
      <c r="L181" s="54">
        <f>IFERROR(VLOOKUP(VLOOKUP(N181,N181,1,1),Categories!$K$4:$V$17,2+VLOOKUP(K181,K181,1,1)),"-"  )</f>
        <v>1.67</v>
      </c>
      <c r="M181" s="54" t="str">
        <f>IFERROR(VLOOKUP(VLOOKUP(N181,N181,1,1),Categories!$K$3:$V$17,7+VLOOKUP(K181,K181,1,1)),"-")</f>
        <v>0 ATM</v>
      </c>
      <c r="N181" s="55" t="s">
        <v>59</v>
      </c>
      <c r="O181" s="193" t="s">
        <v>0</v>
      </c>
      <c r="P181" s="202" t="s">
        <v>0</v>
      </c>
      <c r="Q181" s="149"/>
      <c r="R181" s="142"/>
      <c r="S181" s="142"/>
      <c r="U181" s="145"/>
      <c r="V181" s="145"/>
      <c r="W181" s="146"/>
      <c r="X181" s="147"/>
      <c r="Y181" s="147"/>
      <c r="Z181" s="147"/>
      <c r="AA181" s="147"/>
      <c r="AB181" s="147"/>
      <c r="AC181" s="147"/>
      <c r="AD181" s="147"/>
      <c r="AE181" s="147"/>
      <c r="AF181" s="146"/>
      <c r="AG181" s="148"/>
      <c r="AH181" s="141"/>
      <c r="AI181" s="48"/>
      <c r="AJ181" s="56"/>
      <c r="AK181" s="56"/>
    </row>
    <row r="182" spans="1:37" ht="31.95" customHeight="1" x14ac:dyDescent="0.3">
      <c r="A182" s="12"/>
      <c r="B182" s="122"/>
      <c r="C182" s="49"/>
      <c r="D182" s="49">
        <f>IF(H182=Categories!$E$4,VLOOKUP(G182,Categories!$A$4:$C$13,3,1),VLOOKUP(H182,Categories!$E$4:$G$24,3,1))</f>
        <v>120</v>
      </c>
      <c r="E182" s="49"/>
      <c r="F182" s="44">
        <v>17</v>
      </c>
      <c r="G182" s="50" t="s">
        <v>247</v>
      </c>
      <c r="H182" s="45" t="s">
        <v>0</v>
      </c>
      <c r="I182" s="52"/>
      <c r="J182" s="130">
        <v>3100</v>
      </c>
      <c r="K182" s="53">
        <v>1</v>
      </c>
      <c r="L182" s="54">
        <f>IFERROR(VLOOKUP(VLOOKUP(N182,N182,1,1),Categories!$K$4:$V$17,2+VLOOKUP(K182,K182,1,1)),"-"  )</f>
        <v>1.67</v>
      </c>
      <c r="M182" s="54" t="str">
        <f>IFERROR(VLOOKUP(VLOOKUP(N182,N182,1,1),Categories!$K$3:$V$17,7+VLOOKUP(K182,K182,1,1)),"-")</f>
        <v>0 ATM</v>
      </c>
      <c r="N182" s="55" t="s">
        <v>59</v>
      </c>
      <c r="O182" s="193" t="s">
        <v>0</v>
      </c>
      <c r="P182" s="202" t="s">
        <v>0</v>
      </c>
      <c r="Q182" s="149"/>
      <c r="R182" s="142"/>
      <c r="S182" s="142"/>
      <c r="U182" s="145"/>
      <c r="V182" s="145"/>
      <c r="W182" s="146"/>
      <c r="X182" s="147"/>
      <c r="Y182" s="147"/>
      <c r="Z182" s="147"/>
      <c r="AA182" s="147"/>
      <c r="AB182" s="147"/>
      <c r="AC182" s="147"/>
      <c r="AD182" s="147"/>
      <c r="AE182" s="147"/>
      <c r="AF182" s="146"/>
      <c r="AG182" s="148"/>
      <c r="AH182" s="141"/>
      <c r="AI182" s="48"/>
      <c r="AJ182" s="56"/>
      <c r="AK182" s="56"/>
    </row>
    <row r="183" spans="1:37" ht="31.95" customHeight="1" x14ac:dyDescent="0.3">
      <c r="A183" s="12"/>
      <c r="B183" s="122"/>
      <c r="C183" s="49"/>
      <c r="D183" s="49">
        <f>IF(H183=Categories!$E$4,VLOOKUP(G183,Categories!$A$4:$C$13,3,1),VLOOKUP(H183,Categories!$E$4:$G$24,3,1))</f>
        <v>45</v>
      </c>
      <c r="E183" s="49"/>
      <c r="F183" s="44" t="s">
        <v>0</v>
      </c>
      <c r="G183" s="50" t="s">
        <v>3</v>
      </c>
      <c r="H183" s="51" t="s">
        <v>2</v>
      </c>
      <c r="I183" s="52"/>
      <c r="J183" s="130">
        <v>2200</v>
      </c>
      <c r="K183" s="53">
        <v>1</v>
      </c>
      <c r="L183" s="54">
        <f>IFERROR(VLOOKUP(VLOOKUP(N183,N183,1,1),Categories!$K$4:$V$17,2+VLOOKUP(K183,K183,1,1)),"-"  )</f>
        <v>1.67</v>
      </c>
      <c r="M183" s="54" t="str">
        <f>IFERROR(VLOOKUP(VLOOKUP(N183,N183,1,1),Categories!$K$3:$V$17,7+VLOOKUP(K183,K183,1,1)),"-")</f>
        <v>0 ATM</v>
      </c>
      <c r="N183" s="55" t="s">
        <v>59</v>
      </c>
      <c r="O183" s="193" t="s">
        <v>0</v>
      </c>
      <c r="P183" s="202" t="s">
        <v>0</v>
      </c>
      <c r="Q183" s="149"/>
      <c r="R183" s="142"/>
      <c r="S183" s="142"/>
      <c r="U183" s="145"/>
      <c r="V183" s="145"/>
      <c r="W183" s="146"/>
      <c r="X183" s="147"/>
      <c r="Y183" s="147"/>
      <c r="Z183" s="147"/>
      <c r="AA183" s="147"/>
      <c r="AB183" s="147"/>
      <c r="AC183" s="147"/>
      <c r="AD183" s="147"/>
      <c r="AE183" s="147"/>
      <c r="AF183" s="146"/>
      <c r="AG183" s="148"/>
      <c r="AH183" s="141"/>
      <c r="AI183" s="48"/>
      <c r="AJ183" s="56"/>
      <c r="AK183" s="56"/>
    </row>
    <row r="184" spans="1:37" ht="31.95" customHeight="1" x14ac:dyDescent="0.3">
      <c r="A184" s="183"/>
      <c r="B184" s="184"/>
      <c r="C184" s="49"/>
      <c r="D184" s="49" t="str">
        <f>IF(H184=Categories!$E$4,VLOOKUP(G184,Categories!$A$4:$C$13,3,1),VLOOKUP(H184,Categories!$E$4:$G$24,3,1))</f>
        <v>-</v>
      </c>
      <c r="E184" s="49"/>
      <c r="F184" s="44" t="s">
        <v>0</v>
      </c>
      <c r="G184" s="50" t="s">
        <v>3</v>
      </c>
      <c r="H184" s="51" t="s">
        <v>62</v>
      </c>
      <c r="I184" s="52"/>
      <c r="J184" s="130">
        <v>2200</v>
      </c>
      <c r="K184" s="53" t="s">
        <v>0</v>
      </c>
      <c r="L184" s="54" t="str">
        <f>IFERROR(VLOOKUP(VLOOKUP(N184,N184,1,1),Categories!$K$4:$V$17,2+VLOOKUP(K184,K184,1,1)),"-"  )</f>
        <v>-</v>
      </c>
      <c r="M184" s="54" t="str">
        <f>IFERROR(VLOOKUP(VLOOKUP(N184,N184,1,1),Categories!$K$3:$V$17,7+VLOOKUP(K184,K184,1,1)),"-")</f>
        <v>-</v>
      </c>
      <c r="N184" s="55" t="s">
        <v>0</v>
      </c>
      <c r="O184" s="193" t="s">
        <v>0</v>
      </c>
      <c r="P184" s="202" t="s">
        <v>0</v>
      </c>
      <c r="Q184" s="185"/>
      <c r="R184" s="186"/>
      <c r="S184" s="186"/>
      <c r="U184" s="187"/>
      <c r="V184" s="187"/>
      <c r="W184" s="188"/>
      <c r="X184" s="189"/>
      <c r="Y184" s="189"/>
      <c r="Z184" s="189"/>
      <c r="AA184" s="189"/>
      <c r="AB184" s="189"/>
      <c r="AC184" s="189"/>
      <c r="AD184" s="189"/>
      <c r="AE184" s="189"/>
      <c r="AF184" s="188"/>
      <c r="AG184" s="190"/>
      <c r="AH184" s="141" t="s">
        <v>253</v>
      </c>
      <c r="AI184" s="56" t="s">
        <v>281</v>
      </c>
      <c r="AJ184" s="56"/>
      <c r="AK184" s="56"/>
    </row>
    <row r="185" spans="1:37" ht="31.95" customHeight="1" x14ac:dyDescent="0.3">
      <c r="A185" s="183"/>
      <c r="B185" s="184"/>
      <c r="C185" s="49"/>
      <c r="D185" s="49" t="str">
        <f>IF(H185=Categories!$E$4,VLOOKUP(G185,Categories!$A$4:$C$13,3,1),VLOOKUP(H185,Categories!$E$4:$G$24,3,1))</f>
        <v>-</v>
      </c>
      <c r="E185" s="49"/>
      <c r="F185" s="44" t="s">
        <v>0</v>
      </c>
      <c r="G185" s="50" t="s">
        <v>3</v>
      </c>
      <c r="H185" s="51" t="s">
        <v>63</v>
      </c>
      <c r="I185" s="52"/>
      <c r="J185" s="130">
        <v>2200</v>
      </c>
      <c r="K185" s="53">
        <v>1</v>
      </c>
      <c r="L185" s="54">
        <v>1.73</v>
      </c>
      <c r="M185" s="54" t="s">
        <v>185</v>
      </c>
      <c r="N185" s="55" t="s">
        <v>186</v>
      </c>
      <c r="O185" s="193" t="s">
        <v>0</v>
      </c>
      <c r="P185" s="202" t="s">
        <v>0</v>
      </c>
      <c r="Q185" s="185"/>
      <c r="R185" s="186"/>
      <c r="S185" s="186"/>
      <c r="U185" s="187"/>
      <c r="V185" s="187"/>
      <c r="W185" s="188"/>
      <c r="X185" s="189"/>
      <c r="Y185" s="189"/>
      <c r="Z185" s="189"/>
      <c r="AA185" s="189"/>
      <c r="AB185" s="189"/>
      <c r="AC185" s="189"/>
      <c r="AD185" s="189"/>
      <c r="AE185" s="189"/>
      <c r="AF185" s="188"/>
      <c r="AG185" s="190"/>
      <c r="AH185" s="141"/>
      <c r="AI185" s="56"/>
      <c r="AJ185" s="56"/>
      <c r="AK185" s="56"/>
    </row>
    <row r="186" spans="1:37" ht="31.95" customHeight="1" x14ac:dyDescent="0.3">
      <c r="A186" s="183"/>
      <c r="B186" s="184"/>
      <c r="C186" s="49"/>
      <c r="D186" s="49">
        <f>IF(H186=Categories!$E$4,VLOOKUP(G186,Categories!$A$4:$C$13,3,1),VLOOKUP(H186,Categories!$E$4:$G$24,3,1))</f>
        <v>120</v>
      </c>
      <c r="E186" s="49"/>
      <c r="F186" s="44">
        <v>18</v>
      </c>
      <c r="G186" s="50" t="s">
        <v>44</v>
      </c>
      <c r="H186" s="51" t="s">
        <v>0</v>
      </c>
      <c r="I186" s="52"/>
      <c r="J186" s="130">
        <v>2200</v>
      </c>
      <c r="K186" s="53">
        <v>1</v>
      </c>
      <c r="L186" s="54">
        <v>1.73</v>
      </c>
      <c r="M186" s="54" t="s">
        <v>185</v>
      </c>
      <c r="N186" s="55" t="s">
        <v>186</v>
      </c>
      <c r="O186" s="193" t="s">
        <v>0</v>
      </c>
      <c r="P186" s="202" t="s">
        <v>0</v>
      </c>
      <c r="Q186" s="185"/>
      <c r="R186" s="186"/>
      <c r="S186" s="186"/>
      <c r="U186" s="187"/>
      <c r="V186" s="187"/>
      <c r="W186" s="188"/>
      <c r="X186" s="189"/>
      <c r="Y186" s="189"/>
      <c r="Z186" s="189"/>
      <c r="AA186" s="189"/>
      <c r="AB186" s="189"/>
      <c r="AC186" s="189"/>
      <c r="AD186" s="189"/>
      <c r="AE186" s="189"/>
      <c r="AF186" s="188"/>
      <c r="AG186" s="190"/>
      <c r="AH186" s="141"/>
      <c r="AI186" s="56"/>
      <c r="AJ186" s="56"/>
      <c r="AK186" s="56"/>
    </row>
    <row r="187" spans="1:37" ht="31.95" customHeight="1" x14ac:dyDescent="0.3">
      <c r="A187" s="183"/>
      <c r="B187" s="184"/>
      <c r="C187" s="49"/>
      <c r="D187" s="49">
        <f>IF(H187=Categories!$E$4,VLOOKUP(G187,Categories!$A$4:$C$13,3,1),VLOOKUP(H187,Categories!$E$4:$G$24,3,1))</f>
        <v>45</v>
      </c>
      <c r="E187" s="49"/>
      <c r="F187" s="44">
        <v>18</v>
      </c>
      <c r="G187" s="50" t="s">
        <v>243</v>
      </c>
      <c r="H187" s="51" t="s">
        <v>249</v>
      </c>
      <c r="I187" s="52"/>
      <c r="J187" s="130">
        <v>2200</v>
      </c>
      <c r="K187" s="53">
        <v>2</v>
      </c>
      <c r="L187" s="54">
        <v>6</v>
      </c>
      <c r="M187" s="54" t="s">
        <v>191</v>
      </c>
      <c r="N187" s="55" t="s">
        <v>186</v>
      </c>
      <c r="O187" s="193" t="s">
        <v>0</v>
      </c>
      <c r="P187" s="202" t="s">
        <v>0</v>
      </c>
      <c r="Q187" s="185"/>
      <c r="R187" s="186"/>
      <c r="S187" s="186"/>
      <c r="U187" s="187"/>
      <c r="V187" s="187"/>
      <c r="W187" s="188"/>
      <c r="X187" s="189"/>
      <c r="Y187" s="189"/>
      <c r="Z187" s="189"/>
      <c r="AA187" s="189"/>
      <c r="AB187" s="189"/>
      <c r="AC187" s="189"/>
      <c r="AD187" s="189"/>
      <c r="AE187" s="189"/>
      <c r="AF187" s="188"/>
      <c r="AG187" s="190"/>
      <c r="AH187" s="141"/>
      <c r="AI187" s="56"/>
      <c r="AJ187" s="56"/>
      <c r="AK187" s="56"/>
    </row>
    <row r="188" spans="1:37" ht="31.95" customHeight="1" x14ac:dyDescent="0.3">
      <c r="A188" s="12"/>
      <c r="B188" s="122"/>
      <c r="C188" s="49"/>
      <c r="D188" s="49">
        <f>IF(H188=Categories!$E$4,VLOOKUP(G188,Categories!$A$4:$C$13,3,1),VLOOKUP(H188,Categories!$E$4:$G$24,3,1))</f>
        <v>120</v>
      </c>
      <c r="E188" s="49"/>
      <c r="F188" s="44">
        <v>18</v>
      </c>
      <c r="G188" s="50" t="s">
        <v>44</v>
      </c>
      <c r="H188" s="45" t="s">
        <v>0</v>
      </c>
      <c r="I188" s="52"/>
      <c r="J188" s="130">
        <v>2200</v>
      </c>
      <c r="K188" s="53">
        <v>2</v>
      </c>
      <c r="L188" s="54">
        <v>6</v>
      </c>
      <c r="M188" s="54" t="s">
        <v>191</v>
      </c>
      <c r="N188" s="55" t="s">
        <v>186</v>
      </c>
      <c r="O188" s="193" t="s">
        <v>0</v>
      </c>
      <c r="P188" s="202" t="s">
        <v>0</v>
      </c>
      <c r="Q188" s="149"/>
      <c r="R188" s="142"/>
      <c r="S188" s="142"/>
      <c r="U188" s="145"/>
      <c r="V188" s="145"/>
      <c r="W188" s="146"/>
      <c r="X188" s="147"/>
      <c r="Y188" s="147"/>
      <c r="Z188" s="147"/>
      <c r="AA188" s="147"/>
      <c r="AB188" s="147"/>
      <c r="AC188" s="147"/>
      <c r="AD188" s="147"/>
      <c r="AE188" s="147"/>
      <c r="AF188" s="146"/>
      <c r="AG188" s="148"/>
      <c r="AH188" s="141"/>
      <c r="AI188" s="48"/>
      <c r="AJ188" s="56"/>
      <c r="AK188" s="56"/>
    </row>
    <row r="189" spans="1:37" ht="31.95" customHeight="1" x14ac:dyDescent="0.3">
      <c r="A189" s="12"/>
      <c r="B189" s="122"/>
      <c r="C189" s="49"/>
      <c r="D189" s="49">
        <f>IF(H189=Categories!$E$4,VLOOKUP(G189,Categories!$A$4:$C$13,3,1),VLOOKUP(H189,Categories!$E$4:$G$24,3,1))</f>
        <v>45</v>
      </c>
      <c r="E189" s="49"/>
      <c r="F189" s="44">
        <v>18</v>
      </c>
      <c r="G189" s="50" t="s">
        <v>243</v>
      </c>
      <c r="H189" s="51" t="s">
        <v>249</v>
      </c>
      <c r="I189" s="52"/>
      <c r="J189" s="130">
        <v>2200</v>
      </c>
      <c r="K189" s="53">
        <v>3</v>
      </c>
      <c r="L189" s="54">
        <v>6.7</v>
      </c>
      <c r="M189" s="54" t="s">
        <v>284</v>
      </c>
      <c r="N189" s="55" t="s">
        <v>186</v>
      </c>
      <c r="O189" s="193" t="s">
        <v>0</v>
      </c>
      <c r="P189" s="202" t="s">
        <v>0</v>
      </c>
      <c r="Q189" s="149"/>
      <c r="R189" s="142"/>
      <c r="S189" s="142"/>
      <c r="U189" s="145"/>
      <c r="V189" s="145"/>
      <c r="W189" s="146"/>
      <c r="X189" s="147"/>
      <c r="Y189" s="147"/>
      <c r="Z189" s="147"/>
      <c r="AA189" s="147"/>
      <c r="AB189" s="147"/>
      <c r="AC189" s="147"/>
      <c r="AD189" s="147"/>
      <c r="AE189" s="147"/>
      <c r="AF189" s="146"/>
      <c r="AG189" s="148"/>
      <c r="AH189" s="141"/>
      <c r="AI189" s="48"/>
      <c r="AJ189" s="56"/>
      <c r="AK189" s="56"/>
    </row>
    <row r="190" spans="1:37" ht="31.95" customHeight="1" x14ac:dyDescent="0.3">
      <c r="A190" s="12"/>
      <c r="B190" s="122"/>
      <c r="C190" s="49"/>
      <c r="D190" s="49">
        <f>IF(H190=Categories!$E$4,VLOOKUP(G190,Categories!$A$4:$C$13,3,1),VLOOKUP(H190,Categories!$E$4:$G$24,3,1))</f>
        <v>120</v>
      </c>
      <c r="E190" s="49"/>
      <c r="F190" s="44">
        <v>18</v>
      </c>
      <c r="G190" s="50" t="s">
        <v>44</v>
      </c>
      <c r="H190" s="45" t="s">
        <v>0</v>
      </c>
      <c r="I190" s="52"/>
      <c r="J190" s="130">
        <v>2200</v>
      </c>
      <c r="K190" s="53">
        <v>3</v>
      </c>
      <c r="L190" s="54">
        <v>6.7</v>
      </c>
      <c r="M190" s="54" t="s">
        <v>284</v>
      </c>
      <c r="N190" s="55" t="s">
        <v>186</v>
      </c>
      <c r="O190" s="193" t="s">
        <v>0</v>
      </c>
      <c r="P190" s="202" t="s">
        <v>0</v>
      </c>
      <c r="Q190" s="149"/>
      <c r="R190" s="142"/>
      <c r="S190" s="142"/>
      <c r="U190" s="145"/>
      <c r="V190" s="145"/>
      <c r="W190" s="146"/>
      <c r="X190" s="147"/>
      <c r="Y190" s="147"/>
      <c r="Z190" s="147"/>
      <c r="AA190" s="147"/>
      <c r="AB190" s="147"/>
      <c r="AC190" s="147"/>
      <c r="AD190" s="147"/>
      <c r="AE190" s="147"/>
      <c r="AF190" s="146"/>
      <c r="AG190" s="148"/>
      <c r="AH190" s="141"/>
      <c r="AI190" s="48"/>
      <c r="AJ190" s="56"/>
      <c r="AK190" s="56"/>
    </row>
    <row r="191" spans="1:37" ht="31.95" customHeight="1" x14ac:dyDescent="0.3">
      <c r="A191" s="12"/>
      <c r="B191" s="122"/>
      <c r="C191" s="49"/>
      <c r="D191" s="49">
        <f>IF(H191=Categories!$E$4,VLOOKUP(G191,Categories!$A$4:$C$13,3,1),VLOOKUP(H191,Categories!$E$4:$G$24,3,1))</f>
        <v>45</v>
      </c>
      <c r="E191" s="49"/>
      <c r="F191" s="44">
        <v>18</v>
      </c>
      <c r="G191" s="50" t="s">
        <v>243</v>
      </c>
      <c r="H191" s="51" t="s">
        <v>250</v>
      </c>
      <c r="I191" s="52"/>
      <c r="J191" s="130">
        <v>2200</v>
      </c>
      <c r="K191" s="53">
        <v>1</v>
      </c>
      <c r="L191" s="54">
        <v>1.73</v>
      </c>
      <c r="M191" s="54" t="s">
        <v>185</v>
      </c>
      <c r="N191" s="55" t="s">
        <v>186</v>
      </c>
      <c r="O191" s="193" t="s">
        <v>0</v>
      </c>
      <c r="P191" s="202" t="s">
        <v>0</v>
      </c>
      <c r="Q191" s="149"/>
      <c r="R191" s="142"/>
      <c r="S191" s="142"/>
      <c r="U191" s="145"/>
      <c r="V191" s="145"/>
      <c r="W191" s="146"/>
      <c r="X191" s="147"/>
      <c r="Y191" s="147"/>
      <c r="Z191" s="147"/>
      <c r="AA191" s="147"/>
      <c r="AB191" s="147"/>
      <c r="AC191" s="147"/>
      <c r="AD191" s="147"/>
      <c r="AE191" s="147"/>
      <c r="AF191" s="146"/>
      <c r="AG191" s="148"/>
      <c r="AH191" s="141"/>
      <c r="AI191" s="48"/>
      <c r="AJ191" s="56"/>
      <c r="AK191" s="56"/>
    </row>
    <row r="192" spans="1:37" ht="31.95" customHeight="1" x14ac:dyDescent="0.3">
      <c r="A192" s="12"/>
      <c r="B192" s="122"/>
      <c r="C192" s="49"/>
      <c r="D192" s="49">
        <f>IF(H192=Categories!$E$4,VLOOKUP(G192,Categories!$A$4:$C$13,3,1),VLOOKUP(H192,Categories!$E$4:$G$24,3,1))</f>
        <v>120</v>
      </c>
      <c r="E192" s="49"/>
      <c r="F192" s="44">
        <v>18</v>
      </c>
      <c r="G192" s="50" t="s">
        <v>247</v>
      </c>
      <c r="H192" s="45" t="s">
        <v>0</v>
      </c>
      <c r="I192" s="52"/>
      <c r="J192" s="130">
        <v>2200</v>
      </c>
      <c r="K192" s="53">
        <v>1</v>
      </c>
      <c r="L192" s="54">
        <v>1.73</v>
      </c>
      <c r="M192" s="54" t="s">
        <v>185</v>
      </c>
      <c r="N192" s="55" t="s">
        <v>186</v>
      </c>
      <c r="O192" s="193" t="s">
        <v>0</v>
      </c>
      <c r="P192" s="202" t="s">
        <v>0</v>
      </c>
      <c r="Q192" s="149"/>
      <c r="R192" s="142"/>
      <c r="S192" s="142"/>
      <c r="U192" s="145"/>
      <c r="V192" s="145"/>
      <c r="W192" s="146"/>
      <c r="X192" s="147"/>
      <c r="Y192" s="147"/>
      <c r="Z192" s="147"/>
      <c r="AA192" s="147"/>
      <c r="AB192" s="147"/>
      <c r="AC192" s="147"/>
      <c r="AD192" s="147"/>
      <c r="AE192" s="147"/>
      <c r="AF192" s="146"/>
      <c r="AG192" s="148"/>
      <c r="AH192" s="141"/>
      <c r="AI192" s="48"/>
      <c r="AJ192" s="56"/>
      <c r="AK192" s="56"/>
    </row>
    <row r="193" spans="1:37" ht="31.95" customHeight="1" x14ac:dyDescent="0.3">
      <c r="A193" s="12"/>
      <c r="B193" s="203"/>
      <c r="C193" s="49"/>
      <c r="D193" s="49">
        <f>IF(H193=Categories!$E$4,VLOOKUP(G193,Categories!$A$4:$C$13,3,1),VLOOKUP(H193,Categories!$E$4:$G$24,3,1))</f>
        <v>45</v>
      </c>
      <c r="E193" s="49"/>
      <c r="F193" s="44" t="s">
        <v>0</v>
      </c>
      <c r="G193" s="50" t="s">
        <v>3</v>
      </c>
      <c r="H193" s="51" t="s">
        <v>2</v>
      </c>
      <c r="I193" s="52"/>
      <c r="J193" s="130">
        <v>2500</v>
      </c>
      <c r="K193" s="53">
        <v>1</v>
      </c>
      <c r="L193" s="54">
        <v>1.73</v>
      </c>
      <c r="M193" s="54" t="s">
        <v>185</v>
      </c>
      <c r="N193" s="55" t="s">
        <v>186</v>
      </c>
      <c r="O193" s="193" t="s">
        <v>0</v>
      </c>
      <c r="P193" s="202" t="s">
        <v>0</v>
      </c>
      <c r="Q193" s="149"/>
      <c r="R193" s="142"/>
      <c r="S193" s="142"/>
      <c r="U193" s="145"/>
      <c r="V193" s="145"/>
      <c r="W193" s="146"/>
      <c r="X193" s="147"/>
      <c r="Y193" s="147"/>
      <c r="Z193" s="147"/>
      <c r="AA193" s="147"/>
      <c r="AB193" s="147"/>
      <c r="AC193" s="147"/>
      <c r="AD193" s="147"/>
      <c r="AE193" s="147"/>
      <c r="AF193" s="146"/>
      <c r="AG193" s="148"/>
      <c r="AH193" s="141"/>
      <c r="AI193" s="48"/>
      <c r="AJ193" s="56"/>
      <c r="AK193" s="56"/>
    </row>
    <row r="194" spans="1:37" ht="31.95" customHeight="1" x14ac:dyDescent="0.3">
      <c r="A194" s="183"/>
      <c r="B194" s="204"/>
      <c r="C194" s="49"/>
      <c r="D194" s="49">
        <f>IF(H194=Categories!$E$4,VLOOKUP(G194,Categories!$A$4:$C$13,3,1),VLOOKUP(H194,Categories!$E$4:$G$24,3,1))</f>
        <v>120</v>
      </c>
      <c r="E194" s="49"/>
      <c r="F194" s="44">
        <v>19</v>
      </c>
      <c r="G194" s="50" t="s">
        <v>44</v>
      </c>
      <c r="H194" s="51" t="s">
        <v>0</v>
      </c>
      <c r="I194" s="52"/>
      <c r="J194" s="130">
        <v>2500</v>
      </c>
      <c r="K194" s="53">
        <v>1</v>
      </c>
      <c r="L194" s="54">
        <v>1.73</v>
      </c>
      <c r="M194" s="54" t="s">
        <v>185</v>
      </c>
      <c r="N194" s="55" t="s">
        <v>186</v>
      </c>
      <c r="O194" s="193" t="s">
        <v>0</v>
      </c>
      <c r="P194" s="202" t="s">
        <v>0</v>
      </c>
      <c r="Q194" s="185"/>
      <c r="R194" s="186"/>
      <c r="S194" s="186"/>
      <c r="U194" s="187"/>
      <c r="V194" s="187"/>
      <c r="W194" s="188"/>
      <c r="X194" s="189"/>
      <c r="Y194" s="189"/>
      <c r="Z194" s="189"/>
      <c r="AA194" s="189"/>
      <c r="AB194" s="189"/>
      <c r="AC194" s="189"/>
      <c r="AD194" s="189"/>
      <c r="AE194" s="189"/>
      <c r="AF194" s="188"/>
      <c r="AG194" s="190"/>
      <c r="AH194" s="141"/>
      <c r="AI194" s="56"/>
      <c r="AJ194" s="56"/>
      <c r="AK194" s="56"/>
    </row>
    <row r="195" spans="1:37" ht="31.95" customHeight="1" x14ac:dyDescent="0.3">
      <c r="A195" s="183"/>
      <c r="B195" s="184"/>
      <c r="C195" s="49"/>
      <c r="D195" s="49">
        <f>IF(H195=Categories!$E$4,VLOOKUP(G195,Categories!$A$4:$C$13,3,1),VLOOKUP(H195,Categories!$E$4:$G$24,3,1))</f>
        <v>45</v>
      </c>
      <c r="E195" s="49"/>
      <c r="F195" s="44">
        <v>19</v>
      </c>
      <c r="G195" s="50" t="s">
        <v>243</v>
      </c>
      <c r="H195" s="51" t="s">
        <v>249</v>
      </c>
      <c r="I195" s="52"/>
      <c r="J195" s="130">
        <v>2500</v>
      </c>
      <c r="K195" s="53">
        <v>2</v>
      </c>
      <c r="L195" s="54">
        <v>6</v>
      </c>
      <c r="M195" s="54" t="s">
        <v>191</v>
      </c>
      <c r="N195" s="55" t="s">
        <v>186</v>
      </c>
      <c r="O195" s="193" t="s">
        <v>0</v>
      </c>
      <c r="P195" s="202" t="s">
        <v>0</v>
      </c>
      <c r="Q195" s="185"/>
      <c r="R195" s="186"/>
      <c r="S195" s="186"/>
      <c r="U195" s="187"/>
      <c r="V195" s="187"/>
      <c r="W195" s="188"/>
      <c r="X195" s="189"/>
      <c r="Y195" s="189"/>
      <c r="Z195" s="189"/>
      <c r="AA195" s="189"/>
      <c r="AB195" s="189"/>
      <c r="AC195" s="189"/>
      <c r="AD195" s="189"/>
      <c r="AE195" s="189"/>
      <c r="AF195" s="188"/>
      <c r="AG195" s="190"/>
      <c r="AH195" s="141"/>
      <c r="AI195" s="56"/>
      <c r="AJ195" s="56"/>
      <c r="AK195" s="56"/>
    </row>
    <row r="196" spans="1:37" ht="31.95" customHeight="1" x14ac:dyDescent="0.3">
      <c r="A196" s="12"/>
      <c r="B196" s="122"/>
      <c r="C196" s="49"/>
      <c r="D196" s="49">
        <f>IF(H196=Categories!$E$4,VLOOKUP(G196,Categories!$A$4:$C$13,3,1),VLOOKUP(H196,Categories!$E$4:$G$24,3,1))</f>
        <v>120</v>
      </c>
      <c r="E196" s="49"/>
      <c r="F196" s="44">
        <v>19</v>
      </c>
      <c r="G196" s="50" t="s">
        <v>44</v>
      </c>
      <c r="H196" s="45" t="s">
        <v>0</v>
      </c>
      <c r="I196" s="52"/>
      <c r="J196" s="130">
        <v>2500</v>
      </c>
      <c r="K196" s="53">
        <v>2</v>
      </c>
      <c r="L196" s="54">
        <v>6</v>
      </c>
      <c r="M196" s="54" t="s">
        <v>191</v>
      </c>
      <c r="N196" s="55" t="s">
        <v>186</v>
      </c>
      <c r="O196" s="193" t="s">
        <v>0</v>
      </c>
      <c r="P196" s="202" t="s">
        <v>0</v>
      </c>
      <c r="Q196" s="149"/>
      <c r="R196" s="142"/>
      <c r="S196" s="142"/>
      <c r="U196" s="145"/>
      <c r="V196" s="145"/>
      <c r="W196" s="146"/>
      <c r="X196" s="147"/>
      <c r="Y196" s="147"/>
      <c r="Z196" s="147"/>
      <c r="AA196" s="147"/>
      <c r="AB196" s="147"/>
      <c r="AC196" s="147"/>
      <c r="AD196" s="147"/>
      <c r="AE196" s="147"/>
      <c r="AF196" s="146"/>
      <c r="AG196" s="148"/>
      <c r="AH196" s="141"/>
      <c r="AI196" s="48"/>
      <c r="AJ196" s="56"/>
      <c r="AK196" s="56"/>
    </row>
    <row r="197" spans="1:37" ht="31.95" customHeight="1" x14ac:dyDescent="0.3">
      <c r="A197" s="12"/>
      <c r="B197" s="122"/>
      <c r="C197" s="49"/>
      <c r="D197" s="49">
        <f>IF(H197=Categories!$E$4,VLOOKUP(G197,Categories!$A$4:$C$13,3,1),VLOOKUP(H197,Categories!$E$4:$G$24,3,1))</f>
        <v>45</v>
      </c>
      <c r="E197" s="49"/>
      <c r="F197" s="44">
        <v>19</v>
      </c>
      <c r="G197" s="50" t="s">
        <v>243</v>
      </c>
      <c r="H197" s="51" t="s">
        <v>249</v>
      </c>
      <c r="I197" s="52"/>
      <c r="J197" s="130">
        <v>2500</v>
      </c>
      <c r="K197" s="53">
        <v>3</v>
      </c>
      <c r="L197" s="54">
        <v>6.7</v>
      </c>
      <c r="M197" s="54" t="s">
        <v>284</v>
      </c>
      <c r="N197" s="55" t="s">
        <v>186</v>
      </c>
      <c r="O197" s="193" t="s">
        <v>0</v>
      </c>
      <c r="P197" s="202" t="s">
        <v>0</v>
      </c>
      <c r="Q197" s="149"/>
      <c r="R197" s="142"/>
      <c r="S197" s="142"/>
      <c r="U197" s="145"/>
      <c r="V197" s="145"/>
      <c r="W197" s="146"/>
      <c r="X197" s="147"/>
      <c r="Y197" s="147"/>
      <c r="Z197" s="147"/>
      <c r="AA197" s="147"/>
      <c r="AB197" s="147"/>
      <c r="AC197" s="147"/>
      <c r="AD197" s="147"/>
      <c r="AE197" s="147"/>
      <c r="AF197" s="146"/>
      <c r="AG197" s="148"/>
      <c r="AH197" s="141"/>
      <c r="AI197" s="48"/>
      <c r="AJ197" s="56"/>
      <c r="AK197" s="56"/>
    </row>
    <row r="198" spans="1:37" ht="31.95" customHeight="1" x14ac:dyDescent="0.3">
      <c r="A198" s="12"/>
      <c r="B198" s="122"/>
      <c r="C198" s="49"/>
      <c r="D198" s="49">
        <f>IF(H198=Categories!$E$4,VLOOKUP(G198,Categories!$A$4:$C$13,3,1),VLOOKUP(H198,Categories!$E$4:$G$24,3,1))</f>
        <v>120</v>
      </c>
      <c r="E198" s="49"/>
      <c r="F198" s="44">
        <v>19</v>
      </c>
      <c r="G198" s="50" t="s">
        <v>44</v>
      </c>
      <c r="H198" s="45" t="s">
        <v>0</v>
      </c>
      <c r="I198" s="52"/>
      <c r="J198" s="130">
        <v>2500</v>
      </c>
      <c r="K198" s="53">
        <v>3</v>
      </c>
      <c r="L198" s="54">
        <v>6.7</v>
      </c>
      <c r="M198" s="54" t="s">
        <v>284</v>
      </c>
      <c r="N198" s="55" t="s">
        <v>186</v>
      </c>
      <c r="O198" s="193" t="s">
        <v>0</v>
      </c>
      <c r="P198" s="202" t="s">
        <v>0</v>
      </c>
      <c r="Q198" s="149"/>
      <c r="R198" s="142"/>
      <c r="S198" s="142"/>
      <c r="U198" s="145"/>
      <c r="V198" s="145"/>
      <c r="W198" s="146"/>
      <c r="X198" s="147"/>
      <c r="Y198" s="147"/>
      <c r="Z198" s="147"/>
      <c r="AA198" s="147"/>
      <c r="AB198" s="147"/>
      <c r="AC198" s="147"/>
      <c r="AD198" s="147"/>
      <c r="AE198" s="147"/>
      <c r="AF198" s="146"/>
      <c r="AG198" s="148"/>
      <c r="AH198" s="141"/>
      <c r="AI198" s="48"/>
      <c r="AJ198" s="56"/>
      <c r="AK198" s="56"/>
    </row>
    <row r="199" spans="1:37" ht="31.95" customHeight="1" x14ac:dyDescent="0.3">
      <c r="A199" s="12"/>
      <c r="B199" s="122"/>
      <c r="C199" s="49"/>
      <c r="D199" s="49">
        <f>IF(H199=Categories!$E$4,VLOOKUP(G199,Categories!$A$4:$C$13,3,1),VLOOKUP(H199,Categories!$E$4:$G$24,3,1))</f>
        <v>45</v>
      </c>
      <c r="E199" s="49"/>
      <c r="F199" s="44">
        <v>19</v>
      </c>
      <c r="G199" s="50" t="s">
        <v>243</v>
      </c>
      <c r="H199" s="51" t="s">
        <v>250</v>
      </c>
      <c r="I199" s="52"/>
      <c r="J199" s="130">
        <v>2500</v>
      </c>
      <c r="K199" s="53">
        <v>1</v>
      </c>
      <c r="L199" s="54">
        <v>1.73</v>
      </c>
      <c r="M199" s="54" t="s">
        <v>185</v>
      </c>
      <c r="N199" s="55" t="s">
        <v>186</v>
      </c>
      <c r="O199" s="193" t="s">
        <v>0</v>
      </c>
      <c r="P199" s="202" t="s">
        <v>0</v>
      </c>
      <c r="Q199" s="149"/>
      <c r="R199" s="142"/>
      <c r="S199" s="142"/>
      <c r="U199" s="145"/>
      <c r="V199" s="145"/>
      <c r="W199" s="146"/>
      <c r="X199" s="147"/>
      <c r="Y199" s="147"/>
      <c r="Z199" s="147"/>
      <c r="AA199" s="147"/>
      <c r="AB199" s="147"/>
      <c r="AC199" s="147"/>
      <c r="AD199" s="147"/>
      <c r="AE199" s="147"/>
      <c r="AF199" s="146"/>
      <c r="AG199" s="148"/>
      <c r="AH199" s="141"/>
      <c r="AI199" s="48"/>
      <c r="AJ199" s="56"/>
      <c r="AK199" s="56"/>
    </row>
    <row r="200" spans="1:37" ht="31.95" customHeight="1" x14ac:dyDescent="0.3">
      <c r="A200" s="12"/>
      <c r="B200" s="203"/>
      <c r="C200" s="49"/>
      <c r="D200" s="49">
        <f>IF(H200=Categories!$E$4,VLOOKUP(G200,Categories!$A$4:$C$13,3,1),VLOOKUP(H200,Categories!$E$4:$G$24,3,1))</f>
        <v>120</v>
      </c>
      <c r="E200" s="49"/>
      <c r="F200" s="44">
        <v>19</v>
      </c>
      <c r="G200" s="50" t="s">
        <v>247</v>
      </c>
      <c r="H200" s="45" t="s">
        <v>0</v>
      </c>
      <c r="I200" s="52"/>
      <c r="J200" s="130">
        <v>2500</v>
      </c>
      <c r="K200" s="53">
        <v>1</v>
      </c>
      <c r="L200" s="54">
        <v>1.73</v>
      </c>
      <c r="M200" s="54" t="s">
        <v>185</v>
      </c>
      <c r="N200" s="55" t="s">
        <v>186</v>
      </c>
      <c r="O200" s="193" t="s">
        <v>0</v>
      </c>
      <c r="P200" s="202" t="s">
        <v>0</v>
      </c>
      <c r="Q200" s="149"/>
      <c r="R200" s="142"/>
      <c r="S200" s="142"/>
      <c r="U200" s="145"/>
      <c r="V200" s="145"/>
      <c r="W200" s="146"/>
      <c r="X200" s="147"/>
      <c r="Y200" s="147"/>
      <c r="Z200" s="147"/>
      <c r="AA200" s="147"/>
      <c r="AB200" s="147"/>
      <c r="AC200" s="147"/>
      <c r="AD200" s="147"/>
      <c r="AE200" s="147"/>
      <c r="AF200" s="146"/>
      <c r="AG200" s="148"/>
      <c r="AH200" s="141"/>
      <c r="AI200" s="48"/>
      <c r="AJ200" s="56"/>
      <c r="AK200" s="56"/>
    </row>
    <row r="201" spans="1:37" ht="31.95" customHeight="1" x14ac:dyDescent="0.3">
      <c r="A201" s="12"/>
      <c r="B201" s="122"/>
      <c r="C201" s="49"/>
      <c r="D201" s="49">
        <f>IF(H201=Categories!$E$4,VLOOKUP(G201,Categories!$A$4:$C$13,3,1),VLOOKUP(H201,Categories!$E$4:$G$24,3,1))</f>
        <v>45</v>
      </c>
      <c r="E201" s="49"/>
      <c r="F201" s="44" t="s">
        <v>0</v>
      </c>
      <c r="G201" s="50" t="s">
        <v>243</v>
      </c>
      <c r="H201" s="51" t="s">
        <v>2</v>
      </c>
      <c r="I201" s="52"/>
      <c r="J201" s="130">
        <v>2800</v>
      </c>
      <c r="K201" s="53">
        <v>1</v>
      </c>
      <c r="L201" s="54">
        <v>1.73</v>
      </c>
      <c r="M201" s="54" t="s">
        <v>185</v>
      </c>
      <c r="N201" s="55" t="s">
        <v>186</v>
      </c>
      <c r="O201" s="193" t="s">
        <v>0</v>
      </c>
      <c r="P201" s="202" t="s">
        <v>0</v>
      </c>
      <c r="Q201" s="149"/>
      <c r="R201" s="142"/>
      <c r="S201" s="142"/>
      <c r="U201" s="145"/>
      <c r="V201" s="145"/>
      <c r="W201" s="146"/>
      <c r="X201" s="147"/>
      <c r="Y201" s="147"/>
      <c r="Z201" s="147"/>
      <c r="AA201" s="147"/>
      <c r="AB201" s="147"/>
      <c r="AC201" s="147"/>
      <c r="AD201" s="147"/>
      <c r="AE201" s="147"/>
      <c r="AF201" s="146"/>
      <c r="AG201" s="148"/>
      <c r="AH201" s="141"/>
      <c r="AI201" s="48"/>
      <c r="AJ201" s="56"/>
      <c r="AK201" s="56"/>
    </row>
    <row r="202" spans="1:37" ht="31.95" customHeight="1" x14ac:dyDescent="0.3">
      <c r="A202" s="183"/>
      <c r="B202" s="184"/>
      <c r="C202" s="49"/>
      <c r="D202" s="49">
        <f>IF(H202=Categories!$E$4,VLOOKUP(G202,Categories!$A$4:$C$13,3,1),VLOOKUP(H202,Categories!$E$4:$G$24,3,1))</f>
        <v>120</v>
      </c>
      <c r="E202" s="49"/>
      <c r="F202" s="44">
        <v>20</v>
      </c>
      <c r="G202" s="50" t="s">
        <v>44</v>
      </c>
      <c r="H202" s="51" t="s">
        <v>0</v>
      </c>
      <c r="I202" s="52"/>
      <c r="J202" s="130">
        <v>2800</v>
      </c>
      <c r="K202" s="53">
        <v>1</v>
      </c>
      <c r="L202" s="54">
        <v>1.73</v>
      </c>
      <c r="M202" s="54" t="s">
        <v>185</v>
      </c>
      <c r="N202" s="55" t="s">
        <v>186</v>
      </c>
      <c r="O202" s="193" t="s">
        <v>0</v>
      </c>
      <c r="P202" s="202" t="s">
        <v>0</v>
      </c>
      <c r="Q202" s="185"/>
      <c r="R202" s="186"/>
      <c r="S202" s="186"/>
      <c r="U202" s="187"/>
      <c r="V202" s="187"/>
      <c r="W202" s="188"/>
      <c r="X202" s="189"/>
      <c r="Y202" s="189"/>
      <c r="Z202" s="189"/>
      <c r="AA202" s="189"/>
      <c r="AB202" s="189"/>
      <c r="AC202" s="189"/>
      <c r="AD202" s="189"/>
      <c r="AE202" s="189"/>
      <c r="AF202" s="188"/>
      <c r="AG202" s="190"/>
      <c r="AH202" s="141" t="s">
        <v>263</v>
      </c>
      <c r="AI202" s="56"/>
      <c r="AJ202" s="56"/>
      <c r="AK202" s="56"/>
    </row>
    <row r="203" spans="1:37" ht="31.95" customHeight="1" x14ac:dyDescent="0.3">
      <c r="A203" s="183"/>
      <c r="B203" s="184"/>
      <c r="C203" s="49"/>
      <c r="D203" s="49">
        <f>IF(H203=Categories!$E$4,VLOOKUP(G203,Categories!$A$4:$C$13,3,1),VLOOKUP(H203,Categories!$E$4:$G$24,3,1))</f>
        <v>45</v>
      </c>
      <c r="E203" s="49"/>
      <c r="F203" s="44">
        <v>20</v>
      </c>
      <c r="G203" s="50" t="s">
        <v>243</v>
      </c>
      <c r="H203" s="51" t="s">
        <v>249</v>
      </c>
      <c r="I203" s="52"/>
      <c r="J203" s="130">
        <v>2800</v>
      </c>
      <c r="K203" s="53">
        <v>2</v>
      </c>
      <c r="L203" s="54">
        <v>6</v>
      </c>
      <c r="M203" s="54" t="s">
        <v>191</v>
      </c>
      <c r="N203" s="55" t="s">
        <v>186</v>
      </c>
      <c r="O203" s="193" t="s">
        <v>0</v>
      </c>
      <c r="P203" s="202" t="s">
        <v>0</v>
      </c>
      <c r="Q203" s="185"/>
      <c r="R203" s="186"/>
      <c r="S203" s="186"/>
      <c r="U203" s="187"/>
      <c r="V203" s="187"/>
      <c r="W203" s="188"/>
      <c r="X203" s="189"/>
      <c r="Y203" s="189"/>
      <c r="Z203" s="189"/>
      <c r="AA203" s="189"/>
      <c r="AB203" s="189"/>
      <c r="AC203" s="189"/>
      <c r="AD203" s="189"/>
      <c r="AE203" s="189"/>
      <c r="AF203" s="188"/>
      <c r="AG203" s="190"/>
      <c r="AH203" s="141"/>
      <c r="AI203" s="56"/>
      <c r="AJ203" s="56"/>
      <c r="AK203" s="56"/>
    </row>
    <row r="204" spans="1:37" ht="31.95" customHeight="1" x14ac:dyDescent="0.3">
      <c r="A204" s="12"/>
      <c r="B204" s="122"/>
      <c r="C204" s="49"/>
      <c r="D204" s="49">
        <f>IF(H204=Categories!$E$4,VLOOKUP(G204,Categories!$A$4:$C$13,3,1),VLOOKUP(H204,Categories!$E$4:$G$24,3,1))</f>
        <v>120</v>
      </c>
      <c r="E204" s="49"/>
      <c r="F204" s="44">
        <v>20</v>
      </c>
      <c r="G204" s="50" t="s">
        <v>44</v>
      </c>
      <c r="H204" s="45" t="s">
        <v>0</v>
      </c>
      <c r="I204" s="52"/>
      <c r="J204" s="130">
        <v>2800</v>
      </c>
      <c r="K204" s="53">
        <v>2</v>
      </c>
      <c r="L204" s="54">
        <v>6</v>
      </c>
      <c r="M204" s="54" t="s">
        <v>191</v>
      </c>
      <c r="N204" s="55" t="s">
        <v>186</v>
      </c>
      <c r="O204" s="193" t="s">
        <v>0</v>
      </c>
      <c r="P204" s="202" t="s">
        <v>0</v>
      </c>
      <c r="Q204" s="149"/>
      <c r="R204" s="142"/>
      <c r="S204" s="142"/>
      <c r="U204" s="145"/>
      <c r="V204" s="145"/>
      <c r="W204" s="146"/>
      <c r="X204" s="147"/>
      <c r="Y204" s="147"/>
      <c r="Z204" s="147"/>
      <c r="AA204" s="147"/>
      <c r="AB204" s="147"/>
      <c r="AC204" s="147"/>
      <c r="AD204" s="147"/>
      <c r="AE204" s="147"/>
      <c r="AF204" s="146"/>
      <c r="AG204" s="148"/>
      <c r="AH204" s="141" t="s">
        <v>263</v>
      </c>
      <c r="AI204" s="48"/>
      <c r="AJ204" s="56"/>
      <c r="AK204" s="56"/>
    </row>
    <row r="205" spans="1:37" ht="31.95" customHeight="1" x14ac:dyDescent="0.3">
      <c r="A205" s="12"/>
      <c r="B205" s="122"/>
      <c r="C205" s="49"/>
      <c r="D205" s="49">
        <f>IF(H205=Categories!$E$4,VLOOKUP(G205,Categories!$A$4:$C$13,3,1),VLOOKUP(H205,Categories!$E$4:$G$24,3,1))</f>
        <v>45</v>
      </c>
      <c r="E205" s="49"/>
      <c r="F205" s="44">
        <v>20</v>
      </c>
      <c r="G205" s="50" t="s">
        <v>243</v>
      </c>
      <c r="H205" s="51" t="s">
        <v>249</v>
      </c>
      <c r="I205" s="52"/>
      <c r="J205" s="130">
        <v>2800</v>
      </c>
      <c r="K205" s="53">
        <v>3</v>
      </c>
      <c r="L205" s="54">
        <v>6.7</v>
      </c>
      <c r="M205" s="54" t="s">
        <v>284</v>
      </c>
      <c r="N205" s="55" t="s">
        <v>186</v>
      </c>
      <c r="O205" s="193" t="s">
        <v>0</v>
      </c>
      <c r="P205" s="202" t="s">
        <v>0</v>
      </c>
      <c r="Q205" s="149"/>
      <c r="R205" s="142"/>
      <c r="S205" s="142"/>
      <c r="U205" s="145"/>
      <c r="V205" s="145"/>
      <c r="W205" s="146"/>
      <c r="X205" s="147"/>
      <c r="Y205" s="147"/>
      <c r="Z205" s="147"/>
      <c r="AA205" s="147"/>
      <c r="AB205" s="147"/>
      <c r="AC205" s="147"/>
      <c r="AD205" s="147"/>
      <c r="AE205" s="147"/>
      <c r="AF205" s="146"/>
      <c r="AG205" s="148"/>
      <c r="AH205" s="141"/>
      <c r="AI205" s="48"/>
      <c r="AJ205" s="56"/>
      <c r="AK205" s="56"/>
    </row>
    <row r="206" spans="1:37" ht="31.95" customHeight="1" x14ac:dyDescent="0.3">
      <c r="A206" s="12"/>
      <c r="B206" s="122"/>
      <c r="C206" s="49"/>
      <c r="D206" s="49">
        <f>IF(H206=Categories!$E$4,VLOOKUP(G206,Categories!$A$4:$C$13,3,1),VLOOKUP(H206,Categories!$E$4:$G$24,3,1))</f>
        <v>120</v>
      </c>
      <c r="E206" s="49"/>
      <c r="F206" s="44">
        <v>20</v>
      </c>
      <c r="G206" s="50" t="s">
        <v>44</v>
      </c>
      <c r="H206" s="45" t="s">
        <v>0</v>
      </c>
      <c r="I206" s="52"/>
      <c r="J206" s="130">
        <v>2800</v>
      </c>
      <c r="K206" s="53">
        <v>3</v>
      </c>
      <c r="L206" s="54">
        <v>6.7</v>
      </c>
      <c r="M206" s="54" t="s">
        <v>284</v>
      </c>
      <c r="N206" s="55" t="s">
        <v>186</v>
      </c>
      <c r="O206" s="193" t="s">
        <v>0</v>
      </c>
      <c r="P206" s="202" t="s">
        <v>0</v>
      </c>
      <c r="Q206" s="149"/>
      <c r="R206" s="142"/>
      <c r="S206" s="142"/>
      <c r="U206" s="145"/>
      <c r="V206" s="145"/>
      <c r="W206" s="146"/>
      <c r="X206" s="147"/>
      <c r="Y206" s="147"/>
      <c r="Z206" s="147"/>
      <c r="AA206" s="147"/>
      <c r="AB206" s="147"/>
      <c r="AC206" s="147"/>
      <c r="AD206" s="147"/>
      <c r="AE206" s="147"/>
      <c r="AF206" s="146"/>
      <c r="AG206" s="148"/>
      <c r="AH206" s="141" t="s">
        <v>263</v>
      </c>
      <c r="AI206" s="48"/>
      <c r="AJ206" s="56"/>
      <c r="AK206" s="56"/>
    </row>
    <row r="207" spans="1:37" ht="31.95" customHeight="1" x14ac:dyDescent="0.3">
      <c r="A207" s="12"/>
      <c r="B207" s="122"/>
      <c r="C207" s="49"/>
      <c r="D207" s="49">
        <f>IF(H207=Categories!$E$4,VLOOKUP(G207,Categories!$A$4:$C$13,3,1),VLOOKUP(H207,Categories!$E$4:$G$24,3,1))</f>
        <v>45</v>
      </c>
      <c r="E207" s="49"/>
      <c r="F207" s="44">
        <v>20</v>
      </c>
      <c r="G207" s="50" t="s">
        <v>243</v>
      </c>
      <c r="H207" s="51" t="s">
        <v>250</v>
      </c>
      <c r="I207" s="52"/>
      <c r="J207" s="130">
        <v>2800</v>
      </c>
      <c r="K207" s="53">
        <v>1</v>
      </c>
      <c r="L207" s="54">
        <v>1.73</v>
      </c>
      <c r="M207" s="54" t="s">
        <v>185</v>
      </c>
      <c r="N207" s="55" t="s">
        <v>186</v>
      </c>
      <c r="O207" s="193" t="s">
        <v>0</v>
      </c>
      <c r="P207" s="202" t="s">
        <v>0</v>
      </c>
      <c r="Q207" s="149"/>
      <c r="R207" s="142"/>
      <c r="S207" s="142"/>
      <c r="U207" s="145"/>
      <c r="V207" s="145"/>
      <c r="W207" s="146"/>
      <c r="X207" s="147"/>
      <c r="Y207" s="147"/>
      <c r="Z207" s="147"/>
      <c r="AA207" s="147"/>
      <c r="AB207" s="147"/>
      <c r="AC207" s="147"/>
      <c r="AD207" s="147"/>
      <c r="AE207" s="147"/>
      <c r="AF207" s="146"/>
      <c r="AG207" s="148"/>
      <c r="AH207" s="141"/>
      <c r="AI207" s="48"/>
      <c r="AJ207" s="56"/>
      <c r="AK207" s="56"/>
    </row>
    <row r="208" spans="1:37" ht="31.95" customHeight="1" x14ac:dyDescent="0.3">
      <c r="A208" s="12"/>
      <c r="B208" s="122"/>
      <c r="C208" s="49"/>
      <c r="D208" s="49">
        <f>IF(H208=Categories!$E$4,VLOOKUP(G208,Categories!$A$4:$C$13,3,1),VLOOKUP(H208,Categories!$E$4:$G$24,3,1))</f>
        <v>120</v>
      </c>
      <c r="E208" s="49"/>
      <c r="F208" s="44">
        <v>20</v>
      </c>
      <c r="G208" s="50" t="s">
        <v>247</v>
      </c>
      <c r="H208" s="45" t="s">
        <v>0</v>
      </c>
      <c r="I208" s="52"/>
      <c r="J208" s="130">
        <v>2800</v>
      </c>
      <c r="K208" s="53">
        <v>1</v>
      </c>
      <c r="L208" s="54">
        <v>1.73</v>
      </c>
      <c r="M208" s="54" t="s">
        <v>185</v>
      </c>
      <c r="N208" s="55" t="s">
        <v>186</v>
      </c>
      <c r="O208" s="193" t="s">
        <v>0</v>
      </c>
      <c r="P208" s="202" t="s">
        <v>0</v>
      </c>
      <c r="Q208" s="149"/>
      <c r="R208" s="142"/>
      <c r="S208" s="142"/>
      <c r="U208" s="145"/>
      <c r="V208" s="145"/>
      <c r="W208" s="146"/>
      <c r="X208" s="147"/>
      <c r="Y208" s="147"/>
      <c r="Z208" s="147"/>
      <c r="AA208" s="147"/>
      <c r="AB208" s="147"/>
      <c r="AC208" s="147"/>
      <c r="AD208" s="147"/>
      <c r="AE208" s="147"/>
      <c r="AF208" s="146"/>
      <c r="AG208" s="148"/>
      <c r="AH208" s="141"/>
      <c r="AI208" s="48"/>
      <c r="AJ208" s="56"/>
      <c r="AK208" s="56"/>
    </row>
    <row r="209" spans="1:37" ht="31.95" customHeight="1" x14ac:dyDescent="0.3">
      <c r="A209" s="12"/>
      <c r="B209" s="122"/>
      <c r="C209" s="49"/>
      <c r="D209" s="49">
        <f>IF(H209=Categories!$E$4,VLOOKUP(G209,Categories!$A$4:$C$13,3,1),VLOOKUP(H209,Categories!$E$4:$G$24,3,1))</f>
        <v>45</v>
      </c>
      <c r="E209" s="49"/>
      <c r="F209" s="44" t="s">
        <v>0</v>
      </c>
      <c r="G209" s="50" t="s">
        <v>243</v>
      </c>
      <c r="H209" s="51" t="s">
        <v>2</v>
      </c>
      <c r="I209" s="52"/>
      <c r="J209" s="130">
        <v>3100</v>
      </c>
      <c r="K209" s="53">
        <v>1</v>
      </c>
      <c r="L209" s="54">
        <v>1.73</v>
      </c>
      <c r="M209" s="54" t="s">
        <v>185</v>
      </c>
      <c r="N209" s="55" t="s">
        <v>186</v>
      </c>
      <c r="O209" s="193" t="s">
        <v>0</v>
      </c>
      <c r="P209" s="202" t="s">
        <v>0</v>
      </c>
      <c r="Q209" s="149"/>
      <c r="R209" s="142"/>
      <c r="S209" s="142"/>
      <c r="U209" s="145"/>
      <c r="V209" s="145"/>
      <c r="W209" s="146"/>
      <c r="X209" s="147"/>
      <c r="Y209" s="147"/>
      <c r="Z209" s="147"/>
      <c r="AA209" s="147"/>
      <c r="AB209" s="147"/>
      <c r="AC209" s="147"/>
      <c r="AD209" s="147"/>
      <c r="AE209" s="147"/>
      <c r="AF209" s="146"/>
      <c r="AG209" s="148"/>
      <c r="AH209" s="141"/>
      <c r="AI209" s="48"/>
      <c r="AJ209" s="56"/>
      <c r="AK209" s="56"/>
    </row>
    <row r="210" spans="1:37" ht="31.95" customHeight="1" x14ac:dyDescent="0.3">
      <c r="A210" s="183"/>
      <c r="B210" s="184"/>
      <c r="C210" s="49"/>
      <c r="D210" s="49">
        <f>IF(H210=Categories!$E$4,VLOOKUP(G210,Categories!$A$4:$C$13,3,1),VLOOKUP(H210,Categories!$E$4:$G$24,3,1))</f>
        <v>120</v>
      </c>
      <c r="E210" s="49"/>
      <c r="F210" s="44">
        <v>21</v>
      </c>
      <c r="G210" s="50" t="s">
        <v>44</v>
      </c>
      <c r="H210" s="51" t="s">
        <v>0</v>
      </c>
      <c r="I210" s="52"/>
      <c r="J210" s="130">
        <v>3100</v>
      </c>
      <c r="K210" s="53">
        <v>1</v>
      </c>
      <c r="L210" s="54">
        <v>1.73</v>
      </c>
      <c r="M210" s="54" t="s">
        <v>185</v>
      </c>
      <c r="N210" s="55" t="s">
        <v>186</v>
      </c>
      <c r="O210" s="193" t="s">
        <v>0</v>
      </c>
      <c r="P210" s="202" t="s">
        <v>0</v>
      </c>
      <c r="Q210" s="185"/>
      <c r="R210" s="186"/>
      <c r="S210" s="186"/>
      <c r="U210" s="187"/>
      <c r="V210" s="187"/>
      <c r="W210" s="188"/>
      <c r="X210" s="189"/>
      <c r="Y210" s="189"/>
      <c r="Z210" s="189"/>
      <c r="AA210" s="189"/>
      <c r="AB210" s="189"/>
      <c r="AC210" s="189"/>
      <c r="AD210" s="189"/>
      <c r="AE210" s="189"/>
      <c r="AF210" s="188"/>
      <c r="AG210" s="190"/>
      <c r="AH210" s="141"/>
      <c r="AI210" s="56"/>
      <c r="AJ210" s="56"/>
      <c r="AK210" s="56"/>
    </row>
    <row r="211" spans="1:37" ht="31.95" customHeight="1" x14ac:dyDescent="0.3">
      <c r="A211" s="183"/>
      <c r="B211" s="184"/>
      <c r="C211" s="49"/>
      <c r="D211" s="49">
        <f>IF(H211=Categories!$E$4,VLOOKUP(G211,Categories!$A$4:$C$13,3,1),VLOOKUP(H211,Categories!$E$4:$G$24,3,1))</f>
        <v>45</v>
      </c>
      <c r="E211" s="49"/>
      <c r="F211" s="44">
        <v>21</v>
      </c>
      <c r="G211" s="50" t="s">
        <v>243</v>
      </c>
      <c r="H211" s="51" t="s">
        <v>249</v>
      </c>
      <c r="I211" s="52"/>
      <c r="J211" s="130">
        <v>3100</v>
      </c>
      <c r="K211" s="53">
        <v>2</v>
      </c>
      <c r="L211" s="54">
        <v>6</v>
      </c>
      <c r="M211" s="54" t="s">
        <v>191</v>
      </c>
      <c r="N211" s="55" t="s">
        <v>186</v>
      </c>
      <c r="O211" s="193" t="s">
        <v>0</v>
      </c>
      <c r="P211" s="202" t="s">
        <v>0</v>
      </c>
      <c r="Q211" s="185"/>
      <c r="R211" s="186"/>
      <c r="S211" s="186"/>
      <c r="U211" s="187"/>
      <c r="V211" s="187"/>
      <c r="W211" s="188"/>
      <c r="X211" s="189"/>
      <c r="Y211" s="189"/>
      <c r="Z211" s="189"/>
      <c r="AA211" s="189"/>
      <c r="AB211" s="189"/>
      <c r="AC211" s="189"/>
      <c r="AD211" s="189"/>
      <c r="AE211" s="189"/>
      <c r="AF211" s="188"/>
      <c r="AG211" s="190"/>
      <c r="AH211" s="141"/>
      <c r="AI211" s="56"/>
      <c r="AJ211" s="56"/>
      <c r="AK211" s="56"/>
    </row>
    <row r="212" spans="1:37" ht="31.95" customHeight="1" x14ac:dyDescent="0.3">
      <c r="A212" s="12"/>
      <c r="B212" s="122"/>
      <c r="C212" s="49"/>
      <c r="D212" s="49">
        <f>IF(H212=Categories!$E$4,VLOOKUP(G212,Categories!$A$4:$C$13,3,1),VLOOKUP(H212,Categories!$E$4:$G$24,3,1))</f>
        <v>120</v>
      </c>
      <c r="E212" s="49"/>
      <c r="F212" s="44">
        <v>21</v>
      </c>
      <c r="G212" s="50" t="s">
        <v>44</v>
      </c>
      <c r="H212" s="45" t="s">
        <v>0</v>
      </c>
      <c r="I212" s="52"/>
      <c r="J212" s="130">
        <v>3100</v>
      </c>
      <c r="K212" s="53">
        <v>2</v>
      </c>
      <c r="L212" s="54">
        <v>6</v>
      </c>
      <c r="M212" s="54" t="s">
        <v>191</v>
      </c>
      <c r="N212" s="55" t="s">
        <v>186</v>
      </c>
      <c r="O212" s="193" t="s">
        <v>0</v>
      </c>
      <c r="P212" s="202" t="s">
        <v>0</v>
      </c>
      <c r="Q212" s="149"/>
      <c r="R212" s="142"/>
      <c r="S212" s="142"/>
      <c r="U212" s="145"/>
      <c r="V212" s="145"/>
      <c r="W212" s="146"/>
      <c r="X212" s="147"/>
      <c r="Y212" s="147"/>
      <c r="Z212" s="147"/>
      <c r="AA212" s="147"/>
      <c r="AB212" s="147"/>
      <c r="AC212" s="147"/>
      <c r="AD212" s="147"/>
      <c r="AE212" s="147"/>
      <c r="AF212" s="146"/>
      <c r="AG212" s="148"/>
      <c r="AH212" s="141"/>
      <c r="AI212" s="48"/>
      <c r="AJ212" s="56"/>
      <c r="AK212" s="56"/>
    </row>
    <row r="213" spans="1:37" ht="31.95" customHeight="1" x14ac:dyDescent="0.3">
      <c r="A213" s="12"/>
      <c r="B213" s="122"/>
      <c r="C213" s="49"/>
      <c r="D213" s="49">
        <f>IF(H213=Categories!$E$4,VLOOKUP(G213,Categories!$A$4:$C$13,3,1),VLOOKUP(H213,Categories!$E$4:$G$24,3,1))</f>
        <v>45</v>
      </c>
      <c r="E213" s="49"/>
      <c r="F213" s="44">
        <v>21</v>
      </c>
      <c r="G213" s="50" t="s">
        <v>243</v>
      </c>
      <c r="H213" s="51" t="s">
        <v>249</v>
      </c>
      <c r="I213" s="52"/>
      <c r="J213" s="130">
        <v>3100</v>
      </c>
      <c r="K213" s="53">
        <v>3</v>
      </c>
      <c r="L213" s="54">
        <v>6.7</v>
      </c>
      <c r="M213" s="54" t="s">
        <v>284</v>
      </c>
      <c r="N213" s="55" t="s">
        <v>186</v>
      </c>
      <c r="O213" s="193" t="s">
        <v>0</v>
      </c>
      <c r="P213" s="202" t="s">
        <v>0</v>
      </c>
      <c r="Q213" s="149"/>
      <c r="R213" s="142"/>
      <c r="S213" s="142"/>
      <c r="U213" s="145"/>
      <c r="V213" s="145"/>
      <c r="W213" s="146"/>
      <c r="X213" s="147"/>
      <c r="Y213" s="147"/>
      <c r="Z213" s="147"/>
      <c r="AA213" s="147"/>
      <c r="AB213" s="147"/>
      <c r="AC213" s="147"/>
      <c r="AD213" s="147"/>
      <c r="AE213" s="147"/>
      <c r="AF213" s="146"/>
      <c r="AG213" s="148"/>
      <c r="AH213" s="141"/>
      <c r="AI213" s="48"/>
      <c r="AJ213" s="56"/>
      <c r="AK213" s="56"/>
    </row>
    <row r="214" spans="1:37" ht="31.95" customHeight="1" x14ac:dyDescent="0.3">
      <c r="A214" s="12"/>
      <c r="B214" s="122"/>
      <c r="C214" s="49"/>
      <c r="D214" s="49">
        <f>IF(H214=Categories!$E$4,VLOOKUP(G214,Categories!$A$4:$C$13,3,1),VLOOKUP(H214,Categories!$E$4:$G$24,3,1))</f>
        <v>120</v>
      </c>
      <c r="E214" s="49"/>
      <c r="F214" s="44">
        <v>21</v>
      </c>
      <c r="G214" s="50" t="s">
        <v>44</v>
      </c>
      <c r="H214" s="45" t="s">
        <v>0</v>
      </c>
      <c r="I214" s="52"/>
      <c r="J214" s="130">
        <v>3100</v>
      </c>
      <c r="K214" s="53">
        <v>3</v>
      </c>
      <c r="L214" s="54">
        <v>6.7</v>
      </c>
      <c r="M214" s="54" t="s">
        <v>284</v>
      </c>
      <c r="N214" s="55" t="s">
        <v>186</v>
      </c>
      <c r="O214" s="193" t="s">
        <v>0</v>
      </c>
      <c r="P214" s="202" t="s">
        <v>0</v>
      </c>
      <c r="Q214" s="149"/>
      <c r="R214" s="142"/>
      <c r="S214" s="142"/>
      <c r="U214" s="145"/>
      <c r="V214" s="145"/>
      <c r="W214" s="146"/>
      <c r="X214" s="147"/>
      <c r="Y214" s="147"/>
      <c r="Z214" s="147"/>
      <c r="AA214" s="147"/>
      <c r="AB214" s="147"/>
      <c r="AC214" s="147"/>
      <c r="AD214" s="147"/>
      <c r="AE214" s="147"/>
      <c r="AF214" s="146"/>
      <c r="AG214" s="148"/>
      <c r="AH214" s="141"/>
      <c r="AI214" s="48"/>
      <c r="AJ214" s="56"/>
      <c r="AK214" s="56"/>
    </row>
    <row r="215" spans="1:37" ht="31.95" customHeight="1" x14ac:dyDescent="0.3">
      <c r="A215" s="12"/>
      <c r="B215" s="122"/>
      <c r="C215" s="49"/>
      <c r="D215" s="49">
        <f>IF(H215=Categories!$E$4,VLOOKUP(G215,Categories!$A$4:$C$13,3,1),VLOOKUP(H215,Categories!$E$4:$G$24,3,1))</f>
        <v>45</v>
      </c>
      <c r="E215" s="49"/>
      <c r="F215" s="44">
        <v>21</v>
      </c>
      <c r="G215" s="50" t="s">
        <v>243</v>
      </c>
      <c r="H215" s="51" t="s">
        <v>250</v>
      </c>
      <c r="I215" s="52"/>
      <c r="J215" s="130">
        <v>3100</v>
      </c>
      <c r="K215" s="53">
        <v>1</v>
      </c>
      <c r="L215" s="54">
        <v>1.73</v>
      </c>
      <c r="M215" s="54" t="s">
        <v>185</v>
      </c>
      <c r="N215" s="55" t="s">
        <v>186</v>
      </c>
      <c r="O215" s="193" t="s">
        <v>0</v>
      </c>
      <c r="P215" s="202" t="s">
        <v>0</v>
      </c>
      <c r="Q215" s="149"/>
      <c r="R215" s="142"/>
      <c r="S215" s="142"/>
      <c r="U215" s="145"/>
      <c r="V215" s="145"/>
      <c r="W215" s="146"/>
      <c r="X215" s="147"/>
      <c r="Y215" s="147"/>
      <c r="Z215" s="147"/>
      <c r="AA215" s="147"/>
      <c r="AB215" s="147"/>
      <c r="AC215" s="147"/>
      <c r="AD215" s="147"/>
      <c r="AE215" s="147"/>
      <c r="AF215" s="146"/>
      <c r="AG215" s="148"/>
      <c r="AH215" s="141"/>
      <c r="AI215" s="48"/>
      <c r="AJ215" s="56"/>
      <c r="AK215" s="56"/>
    </row>
    <row r="216" spans="1:37" ht="31.95" customHeight="1" x14ac:dyDescent="0.3">
      <c r="A216" s="12"/>
      <c r="B216" s="122"/>
      <c r="C216" s="49"/>
      <c r="D216" s="49">
        <f>IF(H216=Categories!$E$4,VLOOKUP(G216,Categories!$A$4:$C$13,3,1),VLOOKUP(H216,Categories!$E$4:$G$24,3,1))</f>
        <v>120</v>
      </c>
      <c r="E216" s="49"/>
      <c r="F216" s="44">
        <v>21</v>
      </c>
      <c r="G216" s="50" t="s">
        <v>247</v>
      </c>
      <c r="H216" s="45" t="s">
        <v>0</v>
      </c>
      <c r="I216" s="52"/>
      <c r="J216" s="130">
        <v>3100</v>
      </c>
      <c r="K216" s="53">
        <v>1</v>
      </c>
      <c r="L216" s="54">
        <v>1.73</v>
      </c>
      <c r="M216" s="54" t="s">
        <v>185</v>
      </c>
      <c r="N216" s="55" t="s">
        <v>186</v>
      </c>
      <c r="O216" s="193" t="s">
        <v>0</v>
      </c>
      <c r="P216" s="202" t="s">
        <v>0</v>
      </c>
      <c r="Q216" s="149"/>
      <c r="R216" s="142"/>
      <c r="S216" s="142"/>
      <c r="U216" s="145"/>
      <c r="V216" s="145"/>
      <c r="W216" s="146"/>
      <c r="X216" s="147"/>
      <c r="Y216" s="147"/>
      <c r="Z216" s="147"/>
      <c r="AA216" s="147"/>
      <c r="AB216" s="147"/>
      <c r="AC216" s="147"/>
      <c r="AD216" s="147"/>
      <c r="AE216" s="147"/>
      <c r="AF216" s="146"/>
      <c r="AG216" s="148"/>
      <c r="AH216" s="141"/>
      <c r="AI216" s="48"/>
      <c r="AJ216" s="56"/>
      <c r="AK216" s="56"/>
    </row>
    <row r="217" spans="1:37" ht="31.95" customHeight="1" x14ac:dyDescent="0.3">
      <c r="A217" s="12"/>
      <c r="B217" s="203"/>
      <c r="C217" s="49"/>
      <c r="D217" s="49">
        <f>IF(H217=Categories!$E$4,VLOOKUP(G217,Categories!$A$4:$C$13,3,1),VLOOKUP(H217,Categories!$E$4:$G$24,3,1))</f>
        <v>45</v>
      </c>
      <c r="E217" s="49"/>
      <c r="F217" s="44" t="s">
        <v>0</v>
      </c>
      <c r="G217" s="50" t="s">
        <v>3</v>
      </c>
      <c r="H217" s="51" t="s">
        <v>2</v>
      </c>
      <c r="I217" s="52"/>
      <c r="J217" s="130">
        <v>2200</v>
      </c>
      <c r="K217" s="53">
        <v>1</v>
      </c>
      <c r="L217" s="54">
        <v>1.73</v>
      </c>
      <c r="M217" s="54" t="s">
        <v>185</v>
      </c>
      <c r="N217" s="55" t="s">
        <v>186</v>
      </c>
      <c r="O217" s="193" t="s">
        <v>0</v>
      </c>
      <c r="P217" s="202" t="s">
        <v>0</v>
      </c>
      <c r="Q217" s="149"/>
      <c r="R217" s="142"/>
      <c r="S217" s="142"/>
      <c r="U217" s="145"/>
      <c r="V217" s="145"/>
      <c r="W217" s="146"/>
      <c r="X217" s="147"/>
      <c r="Y217" s="147"/>
      <c r="Z217" s="147"/>
      <c r="AA217" s="147"/>
      <c r="AB217" s="147"/>
      <c r="AC217" s="147"/>
      <c r="AD217" s="147"/>
      <c r="AE217" s="147"/>
      <c r="AF217" s="146"/>
      <c r="AG217" s="148"/>
      <c r="AH217" s="141"/>
      <c r="AI217" s="48"/>
      <c r="AJ217" s="56"/>
      <c r="AK217" s="56"/>
    </row>
    <row r="218" spans="1:37" ht="31.95" customHeight="1" x14ac:dyDescent="0.3">
      <c r="A218" s="183"/>
      <c r="B218" s="204"/>
      <c r="C218" s="49"/>
      <c r="D218" s="49" t="str">
        <f>IF(H218=Categories!$E$4,VLOOKUP(G218,Categories!$A$4:$C$13,3,1),VLOOKUP(H218,Categories!$E$4:$G$24,3,1))</f>
        <v>-</v>
      </c>
      <c r="E218" s="49"/>
      <c r="F218" s="44" t="s">
        <v>0</v>
      </c>
      <c r="G218" s="50" t="s">
        <v>3</v>
      </c>
      <c r="H218" s="51" t="s">
        <v>62</v>
      </c>
      <c r="I218" s="52"/>
      <c r="J218" s="130">
        <v>2200</v>
      </c>
      <c r="K218" s="53" t="s">
        <v>0</v>
      </c>
      <c r="L218" s="54" t="str">
        <f>IFERROR(VLOOKUP(VLOOKUP(N218,N218,1,1),Categories!$K$4:$V$17,2+VLOOKUP(K218,K218,1,1)),"-"  )</f>
        <v>-</v>
      </c>
      <c r="M218" s="54" t="str">
        <f>IFERROR(VLOOKUP(VLOOKUP(N218,N218,1,1),Categories!$K$3:$V$17,7+VLOOKUP(K218,K218,1,1)),"-")</f>
        <v>-</v>
      </c>
      <c r="N218" s="55" t="s">
        <v>0</v>
      </c>
      <c r="O218" s="193" t="s">
        <v>0</v>
      </c>
      <c r="P218" s="202" t="s">
        <v>0</v>
      </c>
      <c r="Q218" s="185"/>
      <c r="R218" s="186"/>
      <c r="S218" s="186"/>
      <c r="U218" s="187"/>
      <c r="V218" s="187"/>
      <c r="W218" s="188"/>
      <c r="X218" s="189"/>
      <c r="Y218" s="189"/>
      <c r="Z218" s="189"/>
      <c r="AA218" s="189"/>
      <c r="AB218" s="189"/>
      <c r="AC218" s="189"/>
      <c r="AD218" s="189"/>
      <c r="AE218" s="189"/>
      <c r="AF218" s="188"/>
      <c r="AG218" s="190"/>
      <c r="AH218" s="141" t="s">
        <v>253</v>
      </c>
      <c r="AI218" s="56" t="s">
        <v>281</v>
      </c>
      <c r="AJ218" s="56"/>
      <c r="AK218" s="56"/>
    </row>
    <row r="219" spans="1:37" ht="31.95" customHeight="1" x14ac:dyDescent="0.3">
      <c r="A219" s="183"/>
      <c r="B219" s="204"/>
      <c r="C219" s="49"/>
      <c r="D219" s="49" t="str">
        <f>IF(H219=Categories!$E$4,VLOOKUP(G219,Categories!$A$4:$C$13,3,1),VLOOKUP(H219,Categories!$E$4:$G$24,3,1))</f>
        <v>-</v>
      </c>
      <c r="E219" s="49"/>
      <c r="F219" s="44" t="s">
        <v>0</v>
      </c>
      <c r="G219" s="50" t="s">
        <v>3</v>
      </c>
      <c r="H219" s="51" t="s">
        <v>63</v>
      </c>
      <c r="I219" s="52"/>
      <c r="J219" s="130">
        <v>2200</v>
      </c>
      <c r="K219" s="53">
        <v>1</v>
      </c>
      <c r="L219" s="54">
        <v>0.99</v>
      </c>
      <c r="M219" s="54" t="s">
        <v>185</v>
      </c>
      <c r="N219" s="55" t="s">
        <v>216</v>
      </c>
      <c r="O219" s="193" t="s">
        <v>0</v>
      </c>
      <c r="P219" s="202" t="s">
        <v>0</v>
      </c>
      <c r="Q219" s="185"/>
      <c r="R219" s="186"/>
      <c r="S219" s="186"/>
      <c r="U219" s="187"/>
      <c r="V219" s="187"/>
      <c r="W219" s="188"/>
      <c r="X219" s="189"/>
      <c r="Y219" s="189"/>
      <c r="Z219" s="189"/>
      <c r="AA219" s="189"/>
      <c r="AB219" s="189"/>
      <c r="AC219" s="189"/>
      <c r="AD219" s="189"/>
      <c r="AE219" s="189"/>
      <c r="AF219" s="188"/>
      <c r="AG219" s="190"/>
      <c r="AH219" s="141"/>
      <c r="AI219" s="56"/>
      <c r="AJ219" s="56"/>
      <c r="AK219" s="56"/>
    </row>
    <row r="220" spans="1:37" ht="31.95" customHeight="1" x14ac:dyDescent="0.3">
      <c r="A220" s="183"/>
      <c r="B220" s="204"/>
      <c r="C220" s="49"/>
      <c r="D220" s="49">
        <f>IF(H220=Categories!$E$4,VLOOKUP(G220,Categories!$A$4:$C$13,3,1),VLOOKUP(H220,Categories!$E$4:$G$24,3,1))</f>
        <v>120</v>
      </c>
      <c r="E220" s="49"/>
      <c r="F220" s="44">
        <v>18</v>
      </c>
      <c r="G220" s="50" t="s">
        <v>44</v>
      </c>
      <c r="H220" s="51" t="s">
        <v>0</v>
      </c>
      <c r="I220" s="52"/>
      <c r="J220" s="130">
        <v>2200</v>
      </c>
      <c r="K220" s="53">
        <v>1</v>
      </c>
      <c r="L220" s="54">
        <v>0.99</v>
      </c>
      <c r="M220" s="54" t="s">
        <v>185</v>
      </c>
      <c r="N220" s="55" t="s">
        <v>216</v>
      </c>
      <c r="O220" s="193" t="s">
        <v>0</v>
      </c>
      <c r="P220" s="202" t="s">
        <v>0</v>
      </c>
      <c r="Q220" s="185"/>
      <c r="R220" s="186"/>
      <c r="S220" s="186"/>
      <c r="U220" s="187"/>
      <c r="V220" s="187"/>
      <c r="W220" s="188"/>
      <c r="X220" s="189"/>
      <c r="Y220" s="189"/>
      <c r="Z220" s="189"/>
      <c r="AA220" s="189"/>
      <c r="AB220" s="189"/>
      <c r="AC220" s="189"/>
      <c r="AD220" s="189"/>
      <c r="AE220" s="189"/>
      <c r="AF220" s="188"/>
      <c r="AG220" s="190"/>
      <c r="AH220" s="141"/>
      <c r="AI220" s="56"/>
      <c r="AJ220" s="56"/>
      <c r="AK220" s="56"/>
    </row>
    <row r="221" spans="1:37" ht="31.95" customHeight="1" x14ac:dyDescent="0.3">
      <c r="A221" s="183"/>
      <c r="B221" s="204"/>
      <c r="C221" s="49"/>
      <c r="D221" s="49">
        <f>IF(H221=Categories!$E$4,VLOOKUP(G221,Categories!$A$4:$C$13,3,1),VLOOKUP(H221,Categories!$E$4:$G$24,3,1))</f>
        <v>45</v>
      </c>
      <c r="E221" s="49"/>
      <c r="F221" s="44">
        <v>18</v>
      </c>
      <c r="G221" s="50" t="s">
        <v>243</v>
      </c>
      <c r="H221" s="51" t="s">
        <v>249</v>
      </c>
      <c r="I221" s="52"/>
      <c r="J221" s="130">
        <v>2200</v>
      </c>
      <c r="K221" s="53">
        <v>2</v>
      </c>
      <c r="L221" s="54">
        <v>4</v>
      </c>
      <c r="M221" s="54" t="s">
        <v>217</v>
      </c>
      <c r="N221" s="55" t="s">
        <v>216</v>
      </c>
      <c r="O221" s="193" t="s">
        <v>0</v>
      </c>
      <c r="P221" s="202" t="s">
        <v>0</v>
      </c>
      <c r="Q221" s="185"/>
      <c r="R221" s="186"/>
      <c r="S221" s="186"/>
      <c r="U221" s="187"/>
      <c r="V221" s="187"/>
      <c r="W221" s="188"/>
      <c r="X221" s="189"/>
      <c r="Y221" s="189"/>
      <c r="Z221" s="189"/>
      <c r="AA221" s="189"/>
      <c r="AB221" s="189"/>
      <c r="AC221" s="189"/>
      <c r="AD221" s="189"/>
      <c r="AE221" s="189"/>
      <c r="AF221" s="188"/>
      <c r="AG221" s="190"/>
      <c r="AH221" s="141"/>
      <c r="AI221" s="56"/>
      <c r="AJ221" s="56"/>
      <c r="AK221" s="56"/>
    </row>
    <row r="222" spans="1:37" ht="31.95" customHeight="1" x14ac:dyDescent="0.3">
      <c r="A222" s="12"/>
      <c r="B222" s="203"/>
      <c r="C222" s="49"/>
      <c r="D222" s="49">
        <f>IF(H222=Categories!$E$4,VLOOKUP(G222,Categories!$A$4:$C$13,3,1),VLOOKUP(H222,Categories!$E$4:$G$24,3,1))</f>
        <v>120</v>
      </c>
      <c r="E222" s="49"/>
      <c r="F222" s="44">
        <v>18</v>
      </c>
      <c r="G222" s="50" t="s">
        <v>44</v>
      </c>
      <c r="H222" s="45" t="s">
        <v>0</v>
      </c>
      <c r="I222" s="52"/>
      <c r="J222" s="130">
        <v>2200</v>
      </c>
      <c r="K222" s="53">
        <v>2</v>
      </c>
      <c r="L222" s="54">
        <v>4</v>
      </c>
      <c r="M222" s="54" t="s">
        <v>217</v>
      </c>
      <c r="N222" s="55" t="s">
        <v>216</v>
      </c>
      <c r="O222" s="193" t="s">
        <v>0</v>
      </c>
      <c r="P222" s="202" t="s">
        <v>0</v>
      </c>
      <c r="Q222" s="149"/>
      <c r="R222" s="142"/>
      <c r="S222" s="142"/>
      <c r="U222" s="145"/>
      <c r="V222" s="145"/>
      <c r="W222" s="146"/>
      <c r="X222" s="147"/>
      <c r="Y222" s="147"/>
      <c r="Z222" s="147"/>
      <c r="AA222" s="147"/>
      <c r="AB222" s="147"/>
      <c r="AC222" s="147"/>
      <c r="AD222" s="147"/>
      <c r="AE222" s="147"/>
      <c r="AF222" s="146"/>
      <c r="AG222" s="148"/>
      <c r="AH222" s="141"/>
      <c r="AI222" s="48"/>
      <c r="AJ222" s="56"/>
      <c r="AK222" s="56"/>
    </row>
    <row r="223" spans="1:37" ht="31.95" customHeight="1" x14ac:dyDescent="0.3">
      <c r="A223" s="12"/>
      <c r="B223" s="203"/>
      <c r="C223" s="49"/>
      <c r="D223" s="49">
        <f>IF(H223=Categories!$E$4,VLOOKUP(G223,Categories!$A$4:$C$13,3,1),VLOOKUP(H223,Categories!$E$4:$G$24,3,1))</f>
        <v>45</v>
      </c>
      <c r="E223" s="49"/>
      <c r="F223" s="44">
        <v>18</v>
      </c>
      <c r="G223" s="50" t="s">
        <v>243</v>
      </c>
      <c r="H223" s="51" t="s">
        <v>249</v>
      </c>
      <c r="I223" s="52"/>
      <c r="J223" s="130">
        <v>2200</v>
      </c>
      <c r="K223" s="53">
        <v>3</v>
      </c>
      <c r="L223" s="54">
        <v>4.6399999999999997</v>
      </c>
      <c r="M223" s="54" t="s">
        <v>282</v>
      </c>
      <c r="N223" s="55" t="s">
        <v>216</v>
      </c>
      <c r="O223" s="193" t="s">
        <v>0</v>
      </c>
      <c r="P223" s="202" t="s">
        <v>0</v>
      </c>
      <c r="Q223" s="149"/>
      <c r="R223" s="142"/>
      <c r="S223" s="142"/>
      <c r="U223" s="145"/>
      <c r="V223" s="145"/>
      <c r="W223" s="146"/>
      <c r="X223" s="147"/>
      <c r="Y223" s="147"/>
      <c r="Z223" s="147"/>
      <c r="AA223" s="147"/>
      <c r="AB223" s="147"/>
      <c r="AC223" s="147"/>
      <c r="AD223" s="147"/>
      <c r="AE223" s="147"/>
      <c r="AF223" s="146"/>
      <c r="AG223" s="148"/>
      <c r="AH223" s="141"/>
      <c r="AI223" s="48"/>
      <c r="AJ223" s="56"/>
      <c r="AK223" s="56"/>
    </row>
    <row r="224" spans="1:37" ht="31.95" customHeight="1" x14ac:dyDescent="0.3">
      <c r="A224" s="12"/>
      <c r="B224" s="203"/>
      <c r="C224" s="49"/>
      <c r="D224" s="49">
        <f>IF(H224=Categories!$E$4,VLOOKUP(G224,Categories!$A$4:$C$13,3,1),VLOOKUP(H224,Categories!$E$4:$G$24,3,1))</f>
        <v>120</v>
      </c>
      <c r="E224" s="49"/>
      <c r="F224" s="44">
        <v>18</v>
      </c>
      <c r="G224" s="50" t="s">
        <v>44</v>
      </c>
      <c r="H224" s="45" t="s">
        <v>0</v>
      </c>
      <c r="I224" s="52"/>
      <c r="J224" s="130">
        <v>2200</v>
      </c>
      <c r="K224" s="53">
        <v>3</v>
      </c>
      <c r="L224" s="54">
        <v>4.6399999999999997</v>
      </c>
      <c r="M224" s="54" t="s">
        <v>282</v>
      </c>
      <c r="N224" s="55" t="s">
        <v>216</v>
      </c>
      <c r="O224" s="193" t="s">
        <v>0</v>
      </c>
      <c r="P224" s="202" t="s">
        <v>0</v>
      </c>
      <c r="Q224" s="149"/>
      <c r="R224" s="142"/>
      <c r="S224" s="142"/>
      <c r="U224" s="145"/>
      <c r="V224" s="145"/>
      <c r="W224" s="146"/>
      <c r="X224" s="147"/>
      <c r="Y224" s="147"/>
      <c r="Z224" s="147"/>
      <c r="AA224" s="147"/>
      <c r="AB224" s="147"/>
      <c r="AC224" s="147"/>
      <c r="AD224" s="147"/>
      <c r="AE224" s="147"/>
      <c r="AF224" s="146"/>
      <c r="AG224" s="148"/>
      <c r="AH224" s="141"/>
      <c r="AI224" s="48"/>
      <c r="AJ224" s="56"/>
      <c r="AK224" s="56"/>
    </row>
    <row r="225" spans="1:37" ht="31.95" customHeight="1" x14ac:dyDescent="0.3">
      <c r="A225" s="12"/>
      <c r="B225" s="203"/>
      <c r="C225" s="49"/>
      <c r="D225" s="49">
        <f>IF(H225=Categories!$E$4,VLOOKUP(G225,Categories!$A$4:$C$13,3,1),VLOOKUP(H225,Categories!$E$4:$G$24,3,1))</f>
        <v>45</v>
      </c>
      <c r="E225" s="49"/>
      <c r="F225" s="44">
        <v>18</v>
      </c>
      <c r="G225" s="50" t="s">
        <v>243</v>
      </c>
      <c r="H225" s="51" t="s">
        <v>250</v>
      </c>
      <c r="I225" s="52"/>
      <c r="J225" s="130">
        <v>2200</v>
      </c>
      <c r="K225" s="53">
        <v>1</v>
      </c>
      <c r="L225" s="54">
        <v>0.99</v>
      </c>
      <c r="M225" s="54" t="s">
        <v>185</v>
      </c>
      <c r="N225" s="55" t="s">
        <v>216</v>
      </c>
      <c r="O225" s="193" t="s">
        <v>0</v>
      </c>
      <c r="P225" s="202" t="s">
        <v>0</v>
      </c>
      <c r="Q225" s="149"/>
      <c r="R225" s="142"/>
      <c r="S225" s="142"/>
      <c r="U225" s="145"/>
      <c r="V225" s="145"/>
      <c r="W225" s="146"/>
      <c r="X225" s="147"/>
      <c r="Y225" s="147"/>
      <c r="Z225" s="147"/>
      <c r="AA225" s="147"/>
      <c r="AB225" s="147"/>
      <c r="AC225" s="147"/>
      <c r="AD225" s="147"/>
      <c r="AE225" s="147"/>
      <c r="AF225" s="146"/>
      <c r="AG225" s="148"/>
      <c r="AH225" s="141"/>
      <c r="AI225" s="48"/>
      <c r="AJ225" s="56"/>
      <c r="AK225" s="56"/>
    </row>
    <row r="226" spans="1:37" ht="31.95" customHeight="1" x14ac:dyDescent="0.3">
      <c r="A226" s="12"/>
      <c r="B226" s="203"/>
      <c r="C226" s="49"/>
      <c r="D226" s="49">
        <f>IF(H226=Categories!$E$4,VLOOKUP(G226,Categories!$A$4:$C$13,3,1),VLOOKUP(H226,Categories!$E$4:$G$24,3,1))</f>
        <v>120</v>
      </c>
      <c r="E226" s="49"/>
      <c r="F226" s="44">
        <v>18</v>
      </c>
      <c r="G226" s="50" t="s">
        <v>247</v>
      </c>
      <c r="H226" s="45" t="s">
        <v>0</v>
      </c>
      <c r="I226" s="52"/>
      <c r="J226" s="130">
        <v>2200</v>
      </c>
      <c r="K226" s="53">
        <v>1</v>
      </c>
      <c r="L226" s="54">
        <v>0.99</v>
      </c>
      <c r="M226" s="54" t="s">
        <v>185</v>
      </c>
      <c r="N226" s="55" t="s">
        <v>216</v>
      </c>
      <c r="O226" s="193" t="s">
        <v>0</v>
      </c>
      <c r="P226" s="202" t="s">
        <v>0</v>
      </c>
      <c r="Q226" s="149"/>
      <c r="R226" s="142"/>
      <c r="S226" s="142"/>
      <c r="U226" s="145"/>
      <c r="V226" s="145"/>
      <c r="W226" s="146"/>
      <c r="X226" s="147"/>
      <c r="Y226" s="147"/>
      <c r="Z226" s="147"/>
      <c r="AA226" s="147"/>
      <c r="AB226" s="147"/>
      <c r="AC226" s="147"/>
      <c r="AD226" s="147"/>
      <c r="AE226" s="147"/>
      <c r="AF226" s="146"/>
      <c r="AG226" s="148"/>
      <c r="AH226" s="141"/>
      <c r="AI226" s="48"/>
      <c r="AJ226" s="56"/>
      <c r="AK226" s="56"/>
    </row>
    <row r="227" spans="1:37" ht="31.95" customHeight="1" x14ac:dyDescent="0.3">
      <c r="A227" s="12"/>
      <c r="B227" s="203"/>
      <c r="C227" s="49"/>
      <c r="D227" s="49">
        <f>IF(H227=Categories!$E$4,VLOOKUP(G227,Categories!$A$4:$C$13,3,1),VLOOKUP(H227,Categories!$E$4:$G$24,3,1))</f>
        <v>45</v>
      </c>
      <c r="E227" s="49"/>
      <c r="F227" s="44" t="s">
        <v>0</v>
      </c>
      <c r="G227" s="50" t="s">
        <v>3</v>
      </c>
      <c r="H227" s="51" t="s">
        <v>2</v>
      </c>
      <c r="I227" s="52"/>
      <c r="J227" s="130">
        <v>2500</v>
      </c>
      <c r="K227" s="53">
        <v>1</v>
      </c>
      <c r="L227" s="54">
        <v>0.99</v>
      </c>
      <c r="M227" s="54" t="s">
        <v>185</v>
      </c>
      <c r="N227" s="55" t="s">
        <v>216</v>
      </c>
      <c r="O227" s="193" t="s">
        <v>0</v>
      </c>
      <c r="P227" s="202" t="s">
        <v>0</v>
      </c>
      <c r="Q227" s="149"/>
      <c r="R227" s="142"/>
      <c r="S227" s="142"/>
      <c r="U227" s="145"/>
      <c r="V227" s="145"/>
      <c r="W227" s="146"/>
      <c r="X227" s="147"/>
      <c r="Y227" s="147"/>
      <c r="Z227" s="147"/>
      <c r="AA227" s="147"/>
      <c r="AB227" s="147"/>
      <c r="AC227" s="147"/>
      <c r="AD227" s="147"/>
      <c r="AE227" s="147"/>
      <c r="AF227" s="146"/>
      <c r="AG227" s="148"/>
      <c r="AH227" s="141"/>
      <c r="AI227" s="48"/>
      <c r="AJ227" s="56"/>
      <c r="AK227" s="56"/>
    </row>
    <row r="228" spans="1:37" ht="31.95" customHeight="1" x14ac:dyDescent="0.3">
      <c r="A228" s="183"/>
      <c r="B228" s="204"/>
      <c r="C228" s="49"/>
      <c r="D228" s="49">
        <f>IF(H228=Categories!$E$4,VLOOKUP(G228,Categories!$A$4:$C$13,3,1),VLOOKUP(H228,Categories!$E$4:$G$24,3,1))</f>
        <v>120</v>
      </c>
      <c r="E228" s="49"/>
      <c r="F228" s="44">
        <v>19</v>
      </c>
      <c r="G228" s="50" t="s">
        <v>44</v>
      </c>
      <c r="H228" s="51" t="s">
        <v>0</v>
      </c>
      <c r="I228" s="52"/>
      <c r="J228" s="130">
        <v>2500</v>
      </c>
      <c r="K228" s="53">
        <v>1</v>
      </c>
      <c r="L228" s="54">
        <v>0.99</v>
      </c>
      <c r="M228" s="54" t="s">
        <v>185</v>
      </c>
      <c r="N228" s="55" t="s">
        <v>216</v>
      </c>
      <c r="O228" s="193" t="s">
        <v>0</v>
      </c>
      <c r="P228" s="202" t="s">
        <v>0</v>
      </c>
      <c r="Q228" s="185"/>
      <c r="R228" s="186"/>
      <c r="S228" s="186"/>
      <c r="U228" s="187"/>
      <c r="V228" s="187"/>
      <c r="W228" s="188"/>
      <c r="X228" s="189"/>
      <c r="Y228" s="189"/>
      <c r="Z228" s="189"/>
      <c r="AA228" s="189"/>
      <c r="AB228" s="189"/>
      <c r="AC228" s="189"/>
      <c r="AD228" s="189"/>
      <c r="AE228" s="189"/>
      <c r="AF228" s="188"/>
      <c r="AG228" s="190"/>
      <c r="AH228" s="141"/>
      <c r="AI228" s="56"/>
      <c r="AJ228" s="56"/>
      <c r="AK228" s="56"/>
    </row>
    <row r="229" spans="1:37" ht="31.95" customHeight="1" x14ac:dyDescent="0.3">
      <c r="A229" s="183"/>
      <c r="B229" s="204"/>
      <c r="C229" s="49"/>
      <c r="D229" s="49">
        <f>IF(H229=Categories!$E$4,VLOOKUP(G229,Categories!$A$4:$C$13,3,1),VLOOKUP(H229,Categories!$E$4:$G$24,3,1))</f>
        <v>45</v>
      </c>
      <c r="E229" s="49"/>
      <c r="F229" s="44">
        <v>19</v>
      </c>
      <c r="G229" s="50" t="s">
        <v>243</v>
      </c>
      <c r="H229" s="51" t="s">
        <v>249</v>
      </c>
      <c r="I229" s="52"/>
      <c r="J229" s="130">
        <v>2500</v>
      </c>
      <c r="K229" s="53">
        <v>2</v>
      </c>
      <c r="L229" s="54">
        <v>4</v>
      </c>
      <c r="M229" s="54" t="s">
        <v>217</v>
      </c>
      <c r="N229" s="55" t="s">
        <v>216</v>
      </c>
      <c r="O229" s="193" t="s">
        <v>0</v>
      </c>
      <c r="P229" s="202" t="s">
        <v>0</v>
      </c>
      <c r="Q229" s="185"/>
      <c r="R229" s="186"/>
      <c r="S229" s="186"/>
      <c r="U229" s="187"/>
      <c r="V229" s="187"/>
      <c r="W229" s="188"/>
      <c r="X229" s="189"/>
      <c r="Y229" s="189"/>
      <c r="Z229" s="189"/>
      <c r="AA229" s="189"/>
      <c r="AB229" s="189"/>
      <c r="AC229" s="189"/>
      <c r="AD229" s="189"/>
      <c r="AE229" s="189"/>
      <c r="AF229" s="188"/>
      <c r="AG229" s="190"/>
      <c r="AH229" s="141"/>
      <c r="AI229" s="56"/>
      <c r="AJ229" s="56"/>
      <c r="AK229" s="56"/>
    </row>
    <row r="230" spans="1:37" ht="31.95" customHeight="1" x14ac:dyDescent="0.3">
      <c r="A230" s="12"/>
      <c r="B230" s="203"/>
      <c r="C230" s="49"/>
      <c r="D230" s="49">
        <f>IF(H230=Categories!$E$4,VLOOKUP(G230,Categories!$A$4:$C$13,3,1),VLOOKUP(H230,Categories!$E$4:$G$24,3,1))</f>
        <v>120</v>
      </c>
      <c r="E230" s="49"/>
      <c r="F230" s="44">
        <v>19</v>
      </c>
      <c r="G230" s="50" t="s">
        <v>44</v>
      </c>
      <c r="H230" s="45" t="s">
        <v>0</v>
      </c>
      <c r="I230" s="52"/>
      <c r="J230" s="130">
        <v>2500</v>
      </c>
      <c r="K230" s="53">
        <v>2</v>
      </c>
      <c r="L230" s="54">
        <v>4</v>
      </c>
      <c r="M230" s="54" t="s">
        <v>217</v>
      </c>
      <c r="N230" s="55" t="s">
        <v>216</v>
      </c>
      <c r="O230" s="193" t="s">
        <v>0</v>
      </c>
      <c r="P230" s="202" t="s">
        <v>0</v>
      </c>
      <c r="Q230" s="149"/>
      <c r="R230" s="142"/>
      <c r="S230" s="142"/>
      <c r="U230" s="145"/>
      <c r="V230" s="145"/>
      <c r="W230" s="146"/>
      <c r="X230" s="147"/>
      <c r="Y230" s="147"/>
      <c r="Z230" s="147"/>
      <c r="AA230" s="147"/>
      <c r="AB230" s="147"/>
      <c r="AC230" s="147"/>
      <c r="AD230" s="147"/>
      <c r="AE230" s="147"/>
      <c r="AF230" s="146"/>
      <c r="AG230" s="148"/>
      <c r="AH230" s="141"/>
      <c r="AI230" s="48"/>
      <c r="AJ230" s="56"/>
      <c r="AK230" s="56"/>
    </row>
    <row r="231" spans="1:37" ht="31.95" customHeight="1" x14ac:dyDescent="0.3">
      <c r="A231" s="12"/>
      <c r="B231" s="203"/>
      <c r="C231" s="49"/>
      <c r="D231" s="49">
        <f>IF(H231=Categories!$E$4,VLOOKUP(G231,Categories!$A$4:$C$13,3,1),VLOOKUP(H231,Categories!$E$4:$G$24,3,1))</f>
        <v>45</v>
      </c>
      <c r="E231" s="49"/>
      <c r="F231" s="44">
        <v>19</v>
      </c>
      <c r="G231" s="50" t="s">
        <v>243</v>
      </c>
      <c r="H231" s="51" t="s">
        <v>249</v>
      </c>
      <c r="I231" s="52"/>
      <c r="J231" s="130">
        <v>2500</v>
      </c>
      <c r="K231" s="53">
        <v>3</v>
      </c>
      <c r="L231" s="54">
        <v>4.6399999999999997</v>
      </c>
      <c r="M231" s="54" t="s">
        <v>282</v>
      </c>
      <c r="N231" s="55" t="s">
        <v>216</v>
      </c>
      <c r="O231" s="193" t="s">
        <v>0</v>
      </c>
      <c r="P231" s="202" t="s">
        <v>0</v>
      </c>
      <c r="Q231" s="149"/>
      <c r="R231" s="142"/>
      <c r="S231" s="142"/>
      <c r="U231" s="145"/>
      <c r="V231" s="145"/>
      <c r="W231" s="146"/>
      <c r="X231" s="147"/>
      <c r="Y231" s="147"/>
      <c r="Z231" s="147"/>
      <c r="AA231" s="147"/>
      <c r="AB231" s="147"/>
      <c r="AC231" s="147"/>
      <c r="AD231" s="147"/>
      <c r="AE231" s="147"/>
      <c r="AF231" s="146"/>
      <c r="AG231" s="148"/>
      <c r="AH231" s="141"/>
      <c r="AI231" s="48"/>
      <c r="AJ231" s="56"/>
      <c r="AK231" s="56"/>
    </row>
    <row r="232" spans="1:37" ht="31.95" customHeight="1" x14ac:dyDescent="0.3">
      <c r="A232" s="12"/>
      <c r="B232" s="203"/>
      <c r="C232" s="49"/>
      <c r="D232" s="49">
        <f>IF(H232=Categories!$E$4,VLOOKUP(G232,Categories!$A$4:$C$13,3,1),VLOOKUP(H232,Categories!$E$4:$G$24,3,1))</f>
        <v>120</v>
      </c>
      <c r="E232" s="49"/>
      <c r="F232" s="44">
        <v>19</v>
      </c>
      <c r="G232" s="50" t="s">
        <v>44</v>
      </c>
      <c r="H232" s="45" t="s">
        <v>0</v>
      </c>
      <c r="I232" s="52"/>
      <c r="J232" s="130">
        <v>2500</v>
      </c>
      <c r="K232" s="53">
        <v>3</v>
      </c>
      <c r="L232" s="54">
        <v>4.6399999999999997</v>
      </c>
      <c r="M232" s="54" t="s">
        <v>282</v>
      </c>
      <c r="N232" s="55" t="s">
        <v>216</v>
      </c>
      <c r="O232" s="193" t="s">
        <v>0</v>
      </c>
      <c r="P232" s="202" t="s">
        <v>0</v>
      </c>
      <c r="Q232" s="149"/>
      <c r="R232" s="142"/>
      <c r="S232" s="142"/>
      <c r="U232" s="145"/>
      <c r="V232" s="145"/>
      <c r="W232" s="146"/>
      <c r="X232" s="147"/>
      <c r="Y232" s="147"/>
      <c r="Z232" s="147"/>
      <c r="AA232" s="147"/>
      <c r="AB232" s="147"/>
      <c r="AC232" s="147"/>
      <c r="AD232" s="147"/>
      <c r="AE232" s="147"/>
      <c r="AF232" s="146"/>
      <c r="AG232" s="148"/>
      <c r="AH232" s="141"/>
      <c r="AI232" s="48"/>
      <c r="AJ232" s="56"/>
      <c r="AK232" s="56"/>
    </row>
    <row r="233" spans="1:37" ht="31.95" customHeight="1" x14ac:dyDescent="0.3">
      <c r="A233" s="12"/>
      <c r="B233" s="203"/>
      <c r="C233" s="49"/>
      <c r="D233" s="49">
        <f>IF(H233=Categories!$E$4,VLOOKUP(G233,Categories!$A$4:$C$13,3,1),VLOOKUP(H233,Categories!$E$4:$G$24,3,1))</f>
        <v>45</v>
      </c>
      <c r="E233" s="49"/>
      <c r="F233" s="44">
        <v>19</v>
      </c>
      <c r="G233" s="50" t="s">
        <v>243</v>
      </c>
      <c r="H233" s="51" t="s">
        <v>250</v>
      </c>
      <c r="I233" s="52"/>
      <c r="J233" s="130">
        <v>2500</v>
      </c>
      <c r="K233" s="53">
        <v>1</v>
      </c>
      <c r="L233" s="54">
        <v>0.99</v>
      </c>
      <c r="M233" s="54" t="s">
        <v>185</v>
      </c>
      <c r="N233" s="55" t="s">
        <v>216</v>
      </c>
      <c r="O233" s="193" t="s">
        <v>0</v>
      </c>
      <c r="P233" s="202" t="s">
        <v>0</v>
      </c>
      <c r="Q233" s="149"/>
      <c r="R233" s="142"/>
      <c r="S233" s="142"/>
      <c r="U233" s="145"/>
      <c r="V233" s="145"/>
      <c r="W233" s="146"/>
      <c r="X233" s="147"/>
      <c r="Y233" s="147"/>
      <c r="Z233" s="147"/>
      <c r="AA233" s="147"/>
      <c r="AB233" s="147"/>
      <c r="AC233" s="147"/>
      <c r="AD233" s="147"/>
      <c r="AE233" s="147"/>
      <c r="AF233" s="146"/>
      <c r="AG233" s="148"/>
      <c r="AH233" s="141"/>
      <c r="AI233" s="48"/>
      <c r="AJ233" s="56"/>
      <c r="AK233" s="56"/>
    </row>
    <row r="234" spans="1:37" ht="31.95" customHeight="1" x14ac:dyDescent="0.3">
      <c r="A234" s="12"/>
      <c r="B234" s="203"/>
      <c r="C234" s="49"/>
      <c r="D234" s="49">
        <f>IF(H234=Categories!$E$4,VLOOKUP(G234,Categories!$A$4:$C$13,3,1),VLOOKUP(H234,Categories!$E$4:$G$24,3,1))</f>
        <v>120</v>
      </c>
      <c r="E234" s="49"/>
      <c r="F234" s="44">
        <v>19</v>
      </c>
      <c r="G234" s="50" t="s">
        <v>247</v>
      </c>
      <c r="H234" s="45" t="s">
        <v>0</v>
      </c>
      <c r="I234" s="52"/>
      <c r="J234" s="130">
        <v>2500</v>
      </c>
      <c r="K234" s="53">
        <v>1</v>
      </c>
      <c r="L234" s="54">
        <v>0.99</v>
      </c>
      <c r="M234" s="54" t="s">
        <v>185</v>
      </c>
      <c r="N234" s="55" t="s">
        <v>216</v>
      </c>
      <c r="O234" s="193" t="s">
        <v>0</v>
      </c>
      <c r="P234" s="202" t="s">
        <v>0</v>
      </c>
      <c r="Q234" s="149"/>
      <c r="R234" s="142"/>
      <c r="S234" s="142"/>
      <c r="U234" s="145"/>
      <c r="V234" s="145"/>
      <c r="W234" s="146"/>
      <c r="X234" s="147"/>
      <c r="Y234" s="147"/>
      <c r="Z234" s="147"/>
      <c r="AA234" s="147"/>
      <c r="AB234" s="147"/>
      <c r="AC234" s="147"/>
      <c r="AD234" s="147"/>
      <c r="AE234" s="147"/>
      <c r="AF234" s="146"/>
      <c r="AG234" s="148"/>
      <c r="AH234" s="141"/>
      <c r="AI234" s="48"/>
      <c r="AJ234" s="56"/>
      <c r="AK234" s="56"/>
    </row>
    <row r="235" spans="1:37" ht="31.95" customHeight="1" x14ac:dyDescent="0.3">
      <c r="A235" s="12"/>
      <c r="B235" s="203"/>
      <c r="C235" s="49"/>
      <c r="D235" s="49">
        <f>IF(H235=Categories!$E$4,VLOOKUP(G235,Categories!$A$4:$C$13,3,1),VLOOKUP(H235,Categories!$E$4:$G$24,3,1))</f>
        <v>45</v>
      </c>
      <c r="E235" s="49"/>
      <c r="F235" s="44" t="s">
        <v>0</v>
      </c>
      <c r="G235" s="50" t="s">
        <v>243</v>
      </c>
      <c r="H235" s="51" t="s">
        <v>2</v>
      </c>
      <c r="I235" s="52"/>
      <c r="J235" s="130">
        <v>2800</v>
      </c>
      <c r="K235" s="53">
        <v>1</v>
      </c>
      <c r="L235" s="54">
        <v>0.99</v>
      </c>
      <c r="M235" s="54" t="s">
        <v>185</v>
      </c>
      <c r="N235" s="55" t="s">
        <v>216</v>
      </c>
      <c r="O235" s="193" t="s">
        <v>0</v>
      </c>
      <c r="P235" s="202" t="s">
        <v>0</v>
      </c>
      <c r="Q235" s="149"/>
      <c r="R235" s="142"/>
      <c r="S235" s="142"/>
      <c r="U235" s="145"/>
      <c r="V235" s="145"/>
      <c r="W235" s="146"/>
      <c r="X235" s="147"/>
      <c r="Y235" s="147"/>
      <c r="Z235" s="147"/>
      <c r="AA235" s="147"/>
      <c r="AB235" s="147"/>
      <c r="AC235" s="147"/>
      <c r="AD235" s="147"/>
      <c r="AE235" s="147"/>
      <c r="AF235" s="146"/>
      <c r="AG235" s="148"/>
      <c r="AH235" s="141"/>
      <c r="AI235" s="48"/>
      <c r="AJ235" s="56"/>
      <c r="AK235" s="56"/>
    </row>
    <row r="236" spans="1:37" ht="31.95" customHeight="1" x14ac:dyDescent="0.3">
      <c r="A236" s="183"/>
      <c r="B236" s="204"/>
      <c r="C236" s="49"/>
      <c r="D236" s="49">
        <f>IF(H236=Categories!$E$4,VLOOKUP(G236,Categories!$A$4:$C$13,3,1),VLOOKUP(H236,Categories!$E$4:$G$24,3,1))</f>
        <v>120</v>
      </c>
      <c r="E236" s="49"/>
      <c r="F236" s="44">
        <v>20</v>
      </c>
      <c r="G236" s="50" t="s">
        <v>44</v>
      </c>
      <c r="H236" s="51" t="s">
        <v>0</v>
      </c>
      <c r="I236" s="52"/>
      <c r="J236" s="130">
        <v>2800</v>
      </c>
      <c r="K236" s="53">
        <v>1</v>
      </c>
      <c r="L236" s="54">
        <v>0.99</v>
      </c>
      <c r="M236" s="54" t="s">
        <v>185</v>
      </c>
      <c r="N236" s="55" t="s">
        <v>216</v>
      </c>
      <c r="O236" s="193" t="s">
        <v>0</v>
      </c>
      <c r="P236" s="202" t="s">
        <v>0</v>
      </c>
      <c r="Q236" s="185"/>
      <c r="R236" s="186"/>
      <c r="S236" s="186"/>
      <c r="U236" s="187"/>
      <c r="V236" s="187"/>
      <c r="W236" s="188"/>
      <c r="X236" s="189"/>
      <c r="Y236" s="189"/>
      <c r="Z236" s="189"/>
      <c r="AA236" s="189"/>
      <c r="AB236" s="189"/>
      <c r="AC236" s="189"/>
      <c r="AD236" s="189"/>
      <c r="AE236" s="189"/>
      <c r="AF236" s="188"/>
      <c r="AG236" s="190"/>
      <c r="AH236" s="141" t="s">
        <v>263</v>
      </c>
      <c r="AI236" s="56"/>
      <c r="AJ236" s="56"/>
      <c r="AK236" s="56"/>
    </row>
    <row r="237" spans="1:37" ht="31.95" customHeight="1" x14ac:dyDescent="0.3">
      <c r="A237" s="183"/>
      <c r="B237" s="204"/>
      <c r="C237" s="49"/>
      <c r="D237" s="49">
        <f>IF(H237=Categories!$E$4,VLOOKUP(G237,Categories!$A$4:$C$13,3,1),VLOOKUP(H237,Categories!$E$4:$G$24,3,1))</f>
        <v>45</v>
      </c>
      <c r="E237" s="49"/>
      <c r="F237" s="44">
        <v>20</v>
      </c>
      <c r="G237" s="50" t="s">
        <v>243</v>
      </c>
      <c r="H237" s="51" t="s">
        <v>249</v>
      </c>
      <c r="I237" s="52"/>
      <c r="J237" s="130">
        <v>2800</v>
      </c>
      <c r="K237" s="53">
        <v>2</v>
      </c>
      <c r="L237" s="54">
        <v>4</v>
      </c>
      <c r="M237" s="54" t="s">
        <v>217</v>
      </c>
      <c r="N237" s="55" t="s">
        <v>216</v>
      </c>
      <c r="O237" s="193" t="s">
        <v>0</v>
      </c>
      <c r="P237" s="202" t="s">
        <v>0</v>
      </c>
      <c r="Q237" s="185"/>
      <c r="R237" s="186"/>
      <c r="S237" s="186"/>
      <c r="U237" s="187"/>
      <c r="V237" s="187"/>
      <c r="W237" s="188"/>
      <c r="X237" s="189"/>
      <c r="Y237" s="189"/>
      <c r="Z237" s="189"/>
      <c r="AA237" s="189"/>
      <c r="AB237" s="189"/>
      <c r="AC237" s="189"/>
      <c r="AD237" s="189"/>
      <c r="AE237" s="189"/>
      <c r="AF237" s="188"/>
      <c r="AG237" s="190"/>
      <c r="AH237" s="141"/>
      <c r="AI237" s="56"/>
      <c r="AJ237" s="56"/>
      <c r="AK237" s="56"/>
    </row>
    <row r="238" spans="1:37" ht="31.95" customHeight="1" x14ac:dyDescent="0.3">
      <c r="A238" s="12"/>
      <c r="B238" s="203"/>
      <c r="C238" s="49"/>
      <c r="D238" s="49">
        <f>IF(H238=Categories!$E$4,VLOOKUP(G238,Categories!$A$4:$C$13,3,1),VLOOKUP(H238,Categories!$E$4:$G$24,3,1))</f>
        <v>120</v>
      </c>
      <c r="E238" s="49"/>
      <c r="F238" s="44">
        <v>20</v>
      </c>
      <c r="G238" s="50" t="s">
        <v>44</v>
      </c>
      <c r="H238" s="45" t="s">
        <v>0</v>
      </c>
      <c r="I238" s="52"/>
      <c r="J238" s="130">
        <v>2800</v>
      </c>
      <c r="K238" s="53">
        <v>2</v>
      </c>
      <c r="L238" s="54">
        <v>4</v>
      </c>
      <c r="M238" s="54" t="s">
        <v>217</v>
      </c>
      <c r="N238" s="55" t="s">
        <v>216</v>
      </c>
      <c r="O238" s="193" t="s">
        <v>0</v>
      </c>
      <c r="P238" s="202" t="s">
        <v>0</v>
      </c>
      <c r="Q238" s="149"/>
      <c r="R238" s="142"/>
      <c r="S238" s="142"/>
      <c r="U238" s="145"/>
      <c r="V238" s="145"/>
      <c r="W238" s="146"/>
      <c r="X238" s="147"/>
      <c r="Y238" s="147"/>
      <c r="Z238" s="147"/>
      <c r="AA238" s="147"/>
      <c r="AB238" s="147"/>
      <c r="AC238" s="147"/>
      <c r="AD238" s="147"/>
      <c r="AE238" s="147"/>
      <c r="AF238" s="146"/>
      <c r="AG238" s="148"/>
      <c r="AH238" s="141" t="s">
        <v>263</v>
      </c>
      <c r="AI238" s="48"/>
      <c r="AJ238" s="56"/>
      <c r="AK238" s="56"/>
    </row>
    <row r="239" spans="1:37" ht="31.95" customHeight="1" x14ac:dyDescent="0.3">
      <c r="A239" s="12"/>
      <c r="B239" s="203"/>
      <c r="C239" s="49"/>
      <c r="D239" s="49">
        <f>IF(H239=Categories!$E$4,VLOOKUP(G239,Categories!$A$4:$C$13,3,1),VLOOKUP(H239,Categories!$E$4:$G$24,3,1))</f>
        <v>45</v>
      </c>
      <c r="E239" s="49"/>
      <c r="F239" s="44">
        <v>20</v>
      </c>
      <c r="G239" s="50" t="s">
        <v>243</v>
      </c>
      <c r="H239" s="51" t="s">
        <v>249</v>
      </c>
      <c r="I239" s="52"/>
      <c r="J239" s="130">
        <v>2800</v>
      </c>
      <c r="K239" s="53">
        <v>3</v>
      </c>
      <c r="L239" s="54">
        <v>4.6399999999999997</v>
      </c>
      <c r="M239" s="54" t="s">
        <v>282</v>
      </c>
      <c r="N239" s="55" t="s">
        <v>216</v>
      </c>
      <c r="O239" s="193" t="s">
        <v>0</v>
      </c>
      <c r="P239" s="202" t="s">
        <v>0</v>
      </c>
      <c r="Q239" s="149"/>
      <c r="R239" s="142"/>
      <c r="S239" s="142"/>
      <c r="U239" s="145"/>
      <c r="V239" s="145"/>
      <c r="W239" s="146"/>
      <c r="X239" s="147"/>
      <c r="Y239" s="147"/>
      <c r="Z239" s="147"/>
      <c r="AA239" s="147"/>
      <c r="AB239" s="147"/>
      <c r="AC239" s="147"/>
      <c r="AD239" s="147"/>
      <c r="AE239" s="147"/>
      <c r="AF239" s="146"/>
      <c r="AG239" s="148"/>
      <c r="AH239" s="141"/>
      <c r="AI239" s="48"/>
      <c r="AJ239" s="56"/>
      <c r="AK239" s="56"/>
    </row>
    <row r="240" spans="1:37" ht="31.95" customHeight="1" x14ac:dyDescent="0.3">
      <c r="A240" s="12"/>
      <c r="B240" s="203"/>
      <c r="C240" s="49"/>
      <c r="D240" s="49">
        <f>IF(H240=Categories!$E$4,VLOOKUP(G240,Categories!$A$4:$C$13,3,1),VLOOKUP(H240,Categories!$E$4:$G$24,3,1))</f>
        <v>120</v>
      </c>
      <c r="E240" s="49"/>
      <c r="F240" s="44">
        <v>20</v>
      </c>
      <c r="G240" s="50" t="s">
        <v>44</v>
      </c>
      <c r="H240" s="45" t="s">
        <v>0</v>
      </c>
      <c r="I240" s="52"/>
      <c r="J240" s="130">
        <v>2800</v>
      </c>
      <c r="K240" s="53">
        <v>3</v>
      </c>
      <c r="L240" s="54">
        <v>4.6399999999999997</v>
      </c>
      <c r="M240" s="54" t="s">
        <v>282</v>
      </c>
      <c r="N240" s="55" t="s">
        <v>216</v>
      </c>
      <c r="O240" s="193" t="s">
        <v>0</v>
      </c>
      <c r="P240" s="202" t="s">
        <v>0</v>
      </c>
      <c r="Q240" s="149"/>
      <c r="R240" s="142"/>
      <c r="S240" s="142"/>
      <c r="U240" s="145"/>
      <c r="V240" s="145"/>
      <c r="W240" s="146"/>
      <c r="X240" s="147"/>
      <c r="Y240" s="147"/>
      <c r="Z240" s="147"/>
      <c r="AA240" s="147"/>
      <c r="AB240" s="147"/>
      <c r="AC240" s="147"/>
      <c r="AD240" s="147"/>
      <c r="AE240" s="147"/>
      <c r="AF240" s="146"/>
      <c r="AG240" s="148"/>
      <c r="AH240" s="141" t="s">
        <v>263</v>
      </c>
      <c r="AI240" s="48"/>
      <c r="AJ240" s="56"/>
      <c r="AK240" s="56"/>
    </row>
    <row r="241" spans="1:37" ht="31.95" customHeight="1" x14ac:dyDescent="0.3">
      <c r="A241" s="12"/>
      <c r="B241" s="203"/>
      <c r="C241" s="49"/>
      <c r="D241" s="49">
        <f>IF(H241=Categories!$E$4,VLOOKUP(G241,Categories!$A$4:$C$13,3,1),VLOOKUP(H241,Categories!$E$4:$G$24,3,1))</f>
        <v>45</v>
      </c>
      <c r="E241" s="49"/>
      <c r="F241" s="44">
        <v>20</v>
      </c>
      <c r="G241" s="50" t="s">
        <v>243</v>
      </c>
      <c r="H241" s="51" t="s">
        <v>250</v>
      </c>
      <c r="I241" s="52"/>
      <c r="J241" s="130">
        <v>2800</v>
      </c>
      <c r="K241" s="53">
        <v>1</v>
      </c>
      <c r="L241" s="54">
        <v>0.99</v>
      </c>
      <c r="M241" s="54" t="s">
        <v>185</v>
      </c>
      <c r="N241" s="55" t="s">
        <v>216</v>
      </c>
      <c r="O241" s="193" t="s">
        <v>0</v>
      </c>
      <c r="P241" s="202" t="s">
        <v>0</v>
      </c>
      <c r="Q241" s="149"/>
      <c r="R241" s="142"/>
      <c r="S241" s="142"/>
      <c r="U241" s="145"/>
      <c r="V241" s="145"/>
      <c r="W241" s="146"/>
      <c r="X241" s="147"/>
      <c r="Y241" s="147"/>
      <c r="Z241" s="147"/>
      <c r="AA241" s="147"/>
      <c r="AB241" s="147"/>
      <c r="AC241" s="147"/>
      <c r="AD241" s="147"/>
      <c r="AE241" s="147"/>
      <c r="AF241" s="146"/>
      <c r="AG241" s="148"/>
      <c r="AH241" s="141"/>
      <c r="AI241" s="48"/>
      <c r="AJ241" s="56"/>
      <c r="AK241" s="56"/>
    </row>
    <row r="242" spans="1:37" ht="31.95" customHeight="1" x14ac:dyDescent="0.3">
      <c r="A242" s="12"/>
      <c r="B242" s="203"/>
      <c r="C242" s="49"/>
      <c r="D242" s="49">
        <f>IF(H242=Categories!$E$4,VLOOKUP(G242,Categories!$A$4:$C$13,3,1),VLOOKUP(H242,Categories!$E$4:$G$24,3,1))</f>
        <v>120</v>
      </c>
      <c r="E242" s="49"/>
      <c r="F242" s="44">
        <v>20</v>
      </c>
      <c r="G242" s="50" t="s">
        <v>247</v>
      </c>
      <c r="H242" s="45" t="s">
        <v>0</v>
      </c>
      <c r="I242" s="52"/>
      <c r="J242" s="130">
        <v>2800</v>
      </c>
      <c r="K242" s="53">
        <v>1</v>
      </c>
      <c r="L242" s="54">
        <v>0.99</v>
      </c>
      <c r="M242" s="54" t="s">
        <v>185</v>
      </c>
      <c r="N242" s="55" t="s">
        <v>216</v>
      </c>
      <c r="O242" s="193" t="s">
        <v>0</v>
      </c>
      <c r="P242" s="202" t="s">
        <v>0</v>
      </c>
      <c r="Q242" s="149"/>
      <c r="R242" s="142"/>
      <c r="S242" s="142"/>
      <c r="U242" s="145"/>
      <c r="V242" s="145"/>
      <c r="W242" s="146"/>
      <c r="X242" s="147"/>
      <c r="Y242" s="147"/>
      <c r="Z242" s="147"/>
      <c r="AA242" s="147"/>
      <c r="AB242" s="147"/>
      <c r="AC242" s="147"/>
      <c r="AD242" s="147"/>
      <c r="AE242" s="147"/>
      <c r="AF242" s="146"/>
      <c r="AG242" s="148"/>
      <c r="AH242" s="141"/>
      <c r="AI242" s="48"/>
      <c r="AJ242" s="56"/>
      <c r="AK242" s="56"/>
    </row>
    <row r="243" spans="1:37" ht="31.95" customHeight="1" x14ac:dyDescent="0.3">
      <c r="A243" s="12"/>
      <c r="B243" s="203"/>
      <c r="C243" s="49"/>
      <c r="D243" s="49">
        <f>IF(H243=Categories!$E$4,VLOOKUP(G243,Categories!$A$4:$C$13,3,1),VLOOKUP(H243,Categories!$E$4:$G$24,3,1))</f>
        <v>45</v>
      </c>
      <c r="E243" s="49"/>
      <c r="F243" s="44" t="s">
        <v>0</v>
      </c>
      <c r="G243" s="50" t="s">
        <v>243</v>
      </c>
      <c r="H243" s="51" t="s">
        <v>2</v>
      </c>
      <c r="I243" s="52"/>
      <c r="J243" s="130">
        <v>3100</v>
      </c>
      <c r="K243" s="53">
        <v>1</v>
      </c>
      <c r="L243" s="54">
        <v>0.99</v>
      </c>
      <c r="M243" s="54" t="s">
        <v>185</v>
      </c>
      <c r="N243" s="55" t="s">
        <v>216</v>
      </c>
      <c r="O243" s="193" t="s">
        <v>0</v>
      </c>
      <c r="P243" s="202" t="s">
        <v>0</v>
      </c>
      <c r="Q243" s="149"/>
      <c r="R243" s="142"/>
      <c r="S243" s="142"/>
      <c r="U243" s="145"/>
      <c r="V243" s="145"/>
      <c r="W243" s="146"/>
      <c r="X243" s="147"/>
      <c r="Y243" s="147"/>
      <c r="Z243" s="147"/>
      <c r="AA243" s="147"/>
      <c r="AB243" s="147"/>
      <c r="AC243" s="147"/>
      <c r="AD243" s="147"/>
      <c r="AE243" s="147"/>
      <c r="AF243" s="146"/>
      <c r="AG243" s="148"/>
      <c r="AH243" s="141"/>
      <c r="AI243" s="48"/>
      <c r="AJ243" s="56"/>
      <c r="AK243" s="56"/>
    </row>
    <row r="244" spans="1:37" ht="31.95" customHeight="1" x14ac:dyDescent="0.3">
      <c r="A244" s="183"/>
      <c r="B244" s="204"/>
      <c r="C244" s="49"/>
      <c r="D244" s="49">
        <f>IF(H244=Categories!$E$4,VLOOKUP(G244,Categories!$A$4:$C$13,3,1),VLOOKUP(H244,Categories!$E$4:$G$24,3,1))</f>
        <v>120</v>
      </c>
      <c r="E244" s="49"/>
      <c r="F244" s="44">
        <v>21</v>
      </c>
      <c r="G244" s="50" t="s">
        <v>44</v>
      </c>
      <c r="H244" s="51" t="s">
        <v>0</v>
      </c>
      <c r="I244" s="52"/>
      <c r="J244" s="130">
        <v>3100</v>
      </c>
      <c r="K244" s="53">
        <v>1</v>
      </c>
      <c r="L244" s="54">
        <v>0.99</v>
      </c>
      <c r="M244" s="54" t="s">
        <v>185</v>
      </c>
      <c r="N244" s="55" t="s">
        <v>216</v>
      </c>
      <c r="O244" s="193" t="s">
        <v>0</v>
      </c>
      <c r="P244" s="202" t="s">
        <v>0</v>
      </c>
      <c r="Q244" s="185"/>
      <c r="R244" s="186"/>
      <c r="S244" s="186"/>
      <c r="U244" s="187"/>
      <c r="V244" s="187"/>
      <c r="W244" s="188"/>
      <c r="X244" s="189"/>
      <c r="Y244" s="189"/>
      <c r="Z244" s="189"/>
      <c r="AA244" s="189"/>
      <c r="AB244" s="189"/>
      <c r="AC244" s="189"/>
      <c r="AD244" s="189"/>
      <c r="AE244" s="189"/>
      <c r="AF244" s="188"/>
      <c r="AG244" s="190"/>
      <c r="AH244" s="141"/>
      <c r="AI244" s="56"/>
      <c r="AJ244" s="56"/>
      <c r="AK244" s="56"/>
    </row>
    <row r="245" spans="1:37" ht="31.95" customHeight="1" x14ac:dyDescent="0.3">
      <c r="A245" s="183"/>
      <c r="B245" s="204"/>
      <c r="C245" s="49"/>
      <c r="D245" s="49">
        <f>IF(H245=Categories!$E$4,VLOOKUP(G245,Categories!$A$4:$C$13,3,1),VLOOKUP(H245,Categories!$E$4:$G$24,3,1))</f>
        <v>45</v>
      </c>
      <c r="E245" s="49"/>
      <c r="F245" s="44">
        <v>21</v>
      </c>
      <c r="G245" s="50" t="s">
        <v>243</v>
      </c>
      <c r="H245" s="51" t="s">
        <v>249</v>
      </c>
      <c r="I245" s="52"/>
      <c r="J245" s="130">
        <v>3100</v>
      </c>
      <c r="K245" s="53">
        <v>2</v>
      </c>
      <c r="L245" s="54">
        <v>4</v>
      </c>
      <c r="M245" s="54" t="s">
        <v>217</v>
      </c>
      <c r="N245" s="55" t="s">
        <v>216</v>
      </c>
      <c r="O245" s="193" t="s">
        <v>0</v>
      </c>
      <c r="P245" s="202" t="s">
        <v>0</v>
      </c>
      <c r="Q245" s="185"/>
      <c r="R245" s="186"/>
      <c r="S245" s="186"/>
      <c r="U245" s="187"/>
      <c r="V245" s="187"/>
      <c r="W245" s="188"/>
      <c r="X245" s="189"/>
      <c r="Y245" s="189"/>
      <c r="Z245" s="189"/>
      <c r="AA245" s="189"/>
      <c r="AB245" s="189"/>
      <c r="AC245" s="189"/>
      <c r="AD245" s="189"/>
      <c r="AE245" s="189"/>
      <c r="AF245" s="188"/>
      <c r="AG245" s="190"/>
      <c r="AH245" s="141"/>
      <c r="AI245" s="56"/>
      <c r="AJ245" s="56"/>
      <c r="AK245" s="56"/>
    </row>
    <row r="246" spans="1:37" ht="31.95" customHeight="1" x14ac:dyDescent="0.3">
      <c r="A246" s="12"/>
      <c r="B246" s="203"/>
      <c r="C246" s="49"/>
      <c r="D246" s="49">
        <f>IF(H246=Categories!$E$4,VLOOKUP(G246,Categories!$A$4:$C$13,3,1),VLOOKUP(H246,Categories!$E$4:$G$24,3,1))</f>
        <v>120</v>
      </c>
      <c r="E246" s="49"/>
      <c r="F246" s="44">
        <v>21</v>
      </c>
      <c r="G246" s="50" t="s">
        <v>44</v>
      </c>
      <c r="H246" s="45" t="s">
        <v>0</v>
      </c>
      <c r="I246" s="52"/>
      <c r="J246" s="130">
        <v>3100</v>
      </c>
      <c r="K246" s="53">
        <v>2</v>
      </c>
      <c r="L246" s="54">
        <v>4</v>
      </c>
      <c r="M246" s="54" t="s">
        <v>217</v>
      </c>
      <c r="N246" s="55" t="s">
        <v>216</v>
      </c>
      <c r="O246" s="193" t="s">
        <v>0</v>
      </c>
      <c r="P246" s="202" t="s">
        <v>0</v>
      </c>
      <c r="Q246" s="149"/>
      <c r="R246" s="142"/>
      <c r="S246" s="142"/>
      <c r="U246" s="145"/>
      <c r="V246" s="145"/>
      <c r="W246" s="146"/>
      <c r="X246" s="147"/>
      <c r="Y246" s="147"/>
      <c r="Z246" s="147"/>
      <c r="AA246" s="147"/>
      <c r="AB246" s="147"/>
      <c r="AC246" s="147"/>
      <c r="AD246" s="147"/>
      <c r="AE246" s="147"/>
      <c r="AF246" s="146"/>
      <c r="AG246" s="148"/>
      <c r="AH246" s="141"/>
      <c r="AI246" s="48"/>
      <c r="AJ246" s="56"/>
      <c r="AK246" s="56"/>
    </row>
    <row r="247" spans="1:37" ht="31.95" customHeight="1" x14ac:dyDescent="0.3">
      <c r="A247" s="12"/>
      <c r="B247" s="203"/>
      <c r="C247" s="49"/>
      <c r="D247" s="49">
        <f>IF(H247=Categories!$E$4,VLOOKUP(G247,Categories!$A$4:$C$13,3,1),VLOOKUP(H247,Categories!$E$4:$G$24,3,1))</f>
        <v>45</v>
      </c>
      <c r="E247" s="49"/>
      <c r="F247" s="44">
        <v>21</v>
      </c>
      <c r="G247" s="50" t="s">
        <v>243</v>
      </c>
      <c r="H247" s="51" t="s">
        <v>249</v>
      </c>
      <c r="I247" s="52"/>
      <c r="J247" s="130">
        <v>3100</v>
      </c>
      <c r="K247" s="53">
        <v>3</v>
      </c>
      <c r="L247" s="54">
        <v>4.6399999999999997</v>
      </c>
      <c r="M247" s="54" t="s">
        <v>282</v>
      </c>
      <c r="N247" s="55" t="s">
        <v>216</v>
      </c>
      <c r="O247" s="193" t="s">
        <v>0</v>
      </c>
      <c r="P247" s="202" t="s">
        <v>0</v>
      </c>
      <c r="Q247" s="149"/>
      <c r="R247" s="142"/>
      <c r="S247" s="142"/>
      <c r="U247" s="145"/>
      <c r="V247" s="145"/>
      <c r="W247" s="146"/>
      <c r="X247" s="147"/>
      <c r="Y247" s="147"/>
      <c r="Z247" s="147"/>
      <c r="AA247" s="147"/>
      <c r="AB247" s="147"/>
      <c r="AC247" s="147"/>
      <c r="AD247" s="147"/>
      <c r="AE247" s="147"/>
      <c r="AF247" s="146"/>
      <c r="AG247" s="148"/>
      <c r="AH247" s="141"/>
      <c r="AI247" s="48"/>
      <c r="AJ247" s="56"/>
      <c r="AK247" s="56"/>
    </row>
    <row r="248" spans="1:37" ht="31.95" customHeight="1" x14ac:dyDescent="0.3">
      <c r="A248" s="12"/>
      <c r="B248" s="203"/>
      <c r="C248" s="49"/>
      <c r="D248" s="49">
        <f>IF(H248=Categories!$E$4,VLOOKUP(G248,Categories!$A$4:$C$13,3,1),VLOOKUP(H248,Categories!$E$4:$G$24,3,1))</f>
        <v>120</v>
      </c>
      <c r="E248" s="49"/>
      <c r="F248" s="44">
        <v>21</v>
      </c>
      <c r="G248" s="50" t="s">
        <v>44</v>
      </c>
      <c r="H248" s="45" t="s">
        <v>0</v>
      </c>
      <c r="I248" s="52"/>
      <c r="J248" s="130">
        <v>3100</v>
      </c>
      <c r="K248" s="53">
        <v>3</v>
      </c>
      <c r="L248" s="54">
        <v>4.6399999999999997</v>
      </c>
      <c r="M248" s="54" t="s">
        <v>282</v>
      </c>
      <c r="N248" s="55" t="s">
        <v>216</v>
      </c>
      <c r="O248" s="193" t="s">
        <v>0</v>
      </c>
      <c r="P248" s="202" t="s">
        <v>0</v>
      </c>
      <c r="Q248" s="149"/>
      <c r="R248" s="142"/>
      <c r="S248" s="142"/>
      <c r="U248" s="145"/>
      <c r="V248" s="145"/>
      <c r="W248" s="146"/>
      <c r="X248" s="147"/>
      <c r="Y248" s="147"/>
      <c r="Z248" s="147"/>
      <c r="AA248" s="147"/>
      <c r="AB248" s="147"/>
      <c r="AC248" s="147"/>
      <c r="AD248" s="147"/>
      <c r="AE248" s="147"/>
      <c r="AF248" s="146"/>
      <c r="AG248" s="148"/>
      <c r="AH248" s="141"/>
      <c r="AI248" s="48"/>
      <c r="AJ248" s="56"/>
      <c r="AK248" s="56"/>
    </row>
    <row r="249" spans="1:37" ht="31.95" customHeight="1" x14ac:dyDescent="0.3">
      <c r="A249" s="12"/>
      <c r="B249" s="203"/>
      <c r="C249" s="49"/>
      <c r="D249" s="49">
        <f>IF(H249=Categories!$E$4,VLOOKUP(G249,Categories!$A$4:$C$13,3,1),VLOOKUP(H249,Categories!$E$4:$G$24,3,1))</f>
        <v>45</v>
      </c>
      <c r="E249" s="49"/>
      <c r="F249" s="44">
        <v>21</v>
      </c>
      <c r="G249" s="50" t="s">
        <v>243</v>
      </c>
      <c r="H249" s="51" t="s">
        <v>250</v>
      </c>
      <c r="I249" s="52"/>
      <c r="J249" s="130">
        <v>3100</v>
      </c>
      <c r="K249" s="53">
        <v>1</v>
      </c>
      <c r="L249" s="54">
        <v>0.99</v>
      </c>
      <c r="M249" s="54" t="s">
        <v>185</v>
      </c>
      <c r="N249" s="55" t="s">
        <v>216</v>
      </c>
      <c r="O249" s="193" t="s">
        <v>0</v>
      </c>
      <c r="P249" s="202" t="s">
        <v>0</v>
      </c>
      <c r="Q249" s="149"/>
      <c r="R249" s="142"/>
      <c r="S249" s="142"/>
      <c r="U249" s="145"/>
      <c r="V249" s="145"/>
      <c r="W249" s="146"/>
      <c r="X249" s="147"/>
      <c r="Y249" s="147"/>
      <c r="Z249" s="147"/>
      <c r="AA249" s="147"/>
      <c r="AB249" s="147"/>
      <c r="AC249" s="147"/>
      <c r="AD249" s="147"/>
      <c r="AE249" s="147"/>
      <c r="AF249" s="146"/>
      <c r="AG249" s="148"/>
      <c r="AH249" s="141"/>
      <c r="AI249" s="48"/>
      <c r="AJ249" s="56"/>
      <c r="AK249" s="56"/>
    </row>
    <row r="250" spans="1:37" ht="31.95" customHeight="1" x14ac:dyDescent="0.3">
      <c r="A250" s="12"/>
      <c r="B250" s="203"/>
      <c r="C250" s="49"/>
      <c r="D250" s="49">
        <f>IF(H250=Categories!$E$4,VLOOKUP(G250,Categories!$A$4:$C$13,3,1),VLOOKUP(H250,Categories!$E$4:$G$24,3,1))</f>
        <v>120</v>
      </c>
      <c r="E250" s="49"/>
      <c r="F250" s="44">
        <v>21</v>
      </c>
      <c r="G250" s="50" t="s">
        <v>247</v>
      </c>
      <c r="H250" s="45" t="s">
        <v>0</v>
      </c>
      <c r="I250" s="52"/>
      <c r="J250" s="130">
        <v>3100</v>
      </c>
      <c r="K250" s="53">
        <v>1</v>
      </c>
      <c r="L250" s="54">
        <v>0.99</v>
      </c>
      <c r="M250" s="54" t="s">
        <v>185</v>
      </c>
      <c r="N250" s="55" t="s">
        <v>216</v>
      </c>
      <c r="O250" s="193" t="s">
        <v>0</v>
      </c>
      <c r="P250" s="202" t="s">
        <v>0</v>
      </c>
      <c r="Q250" s="149"/>
      <c r="R250" s="142"/>
      <c r="S250" s="142"/>
      <c r="U250" s="145"/>
      <c r="V250" s="145"/>
      <c r="W250" s="146"/>
      <c r="X250" s="147"/>
      <c r="Y250" s="147"/>
      <c r="Z250" s="147"/>
      <c r="AA250" s="147"/>
      <c r="AB250" s="147"/>
      <c r="AC250" s="147"/>
      <c r="AD250" s="147"/>
      <c r="AE250" s="147"/>
      <c r="AF250" s="146"/>
      <c r="AG250" s="148"/>
      <c r="AH250" s="141"/>
      <c r="AI250" s="48"/>
      <c r="AJ250" s="56"/>
      <c r="AK250" s="56"/>
    </row>
    <row r="251" spans="1:37" ht="31.95" customHeight="1" x14ac:dyDescent="0.3">
      <c r="A251" s="183"/>
      <c r="B251" s="204"/>
      <c r="C251" s="49"/>
      <c r="D251" s="49" t="str">
        <f>IF(H251=Categories!$E$4,VLOOKUP(G251,Categories!$A$4:$C$13,3,1),VLOOKUP(H251,Categories!$E$4:$G$24,3,1))</f>
        <v>-</v>
      </c>
      <c r="E251" s="49"/>
      <c r="F251" s="44" t="s">
        <v>0</v>
      </c>
      <c r="G251" s="50" t="s">
        <v>3</v>
      </c>
      <c r="H251" s="51" t="s">
        <v>62</v>
      </c>
      <c r="I251" s="52"/>
      <c r="J251" s="130">
        <v>3100</v>
      </c>
      <c r="K251" s="53" t="s">
        <v>0</v>
      </c>
      <c r="L251" s="54" t="str">
        <f>IFERROR(VLOOKUP(VLOOKUP(N251,N251,1,1),Categories!$K$4:$V$17,2+VLOOKUP(K251,K251,1,1)),"-"  )</f>
        <v>-</v>
      </c>
      <c r="M251" s="54" t="str">
        <f>IFERROR(VLOOKUP(VLOOKUP(N251,N251,1,1),Categories!$K$3:$V$17,7+VLOOKUP(K251,K251,1,1)),"-")</f>
        <v>-</v>
      </c>
      <c r="N251" s="55" t="s">
        <v>0</v>
      </c>
      <c r="O251" s="193" t="s">
        <v>0</v>
      </c>
      <c r="P251" s="202" t="s">
        <v>0</v>
      </c>
      <c r="Q251" s="185"/>
      <c r="R251" s="186"/>
      <c r="S251" s="186"/>
      <c r="U251" s="187"/>
      <c r="V251" s="187"/>
      <c r="W251" s="188"/>
      <c r="X251" s="189"/>
      <c r="Y251" s="189"/>
      <c r="Z251" s="189"/>
      <c r="AA251" s="189"/>
      <c r="AB251" s="189"/>
      <c r="AC251" s="189"/>
      <c r="AD251" s="189"/>
      <c r="AE251" s="189"/>
      <c r="AF251" s="188"/>
      <c r="AG251" s="190"/>
      <c r="AH251" s="141"/>
      <c r="AI251" s="56"/>
      <c r="AJ251" s="56"/>
      <c r="AK251" s="56"/>
    </row>
    <row r="252" spans="1:37" ht="31.95" customHeight="1" x14ac:dyDescent="0.3">
      <c r="A252" s="183"/>
      <c r="B252" s="204"/>
      <c r="C252" s="49"/>
      <c r="D252" s="49" t="str">
        <f>IF(H252=Categories!$E$4,VLOOKUP(G252,Categories!$A$4:$C$13,3,1),VLOOKUP(H252,Categories!$E$4:$G$24,3,1))</f>
        <v>-</v>
      </c>
      <c r="E252" s="49"/>
      <c r="F252" s="44" t="s">
        <v>0</v>
      </c>
      <c r="G252" s="50" t="s">
        <v>3</v>
      </c>
      <c r="H252" s="51" t="s">
        <v>63</v>
      </c>
      <c r="I252" s="52"/>
      <c r="J252" s="130">
        <v>2200</v>
      </c>
      <c r="K252" s="53">
        <v>1</v>
      </c>
      <c r="L252" s="54">
        <f>IFERROR(VLOOKUP(VLOOKUP(N252,N252,1,1),Categories!$K$4:$V$17,2+VLOOKUP(K252,K252,1,1)),"-"  )</f>
        <v>2.33</v>
      </c>
      <c r="M252" s="54" t="str">
        <f>IFERROR(VLOOKUP(VLOOKUP(N252,N252,1,1),Categories!$K$3:$V$17,7+VLOOKUP(K252,K252,1,1)),"-")</f>
        <v>0 rev.</v>
      </c>
      <c r="N252" s="55" t="s">
        <v>114</v>
      </c>
      <c r="O252" s="193" t="s">
        <v>0</v>
      </c>
      <c r="P252" s="202" t="s">
        <v>0</v>
      </c>
      <c r="Q252" s="185"/>
      <c r="R252" s="186"/>
      <c r="S252" s="186"/>
      <c r="T252" s="142"/>
      <c r="U252" s="187"/>
      <c r="V252" s="187"/>
      <c r="W252" s="188"/>
      <c r="X252" s="189"/>
      <c r="Y252" s="189"/>
      <c r="Z252" s="189"/>
      <c r="AA252" s="189"/>
      <c r="AB252" s="189"/>
      <c r="AC252" s="189"/>
      <c r="AD252" s="189"/>
      <c r="AE252" s="189"/>
      <c r="AF252" s="188"/>
      <c r="AG252" s="190"/>
      <c r="AH252" s="141" t="s">
        <v>253</v>
      </c>
      <c r="AI252" s="56" t="s">
        <v>280</v>
      </c>
      <c r="AJ252" s="56"/>
      <c r="AK252" s="56"/>
    </row>
    <row r="253" spans="1:37" ht="31.95" customHeight="1" x14ac:dyDescent="0.3">
      <c r="A253" s="183"/>
      <c r="B253" s="204"/>
      <c r="C253" s="49"/>
      <c r="D253" s="49">
        <f>IF(H253=Categories!$E$4,VLOOKUP(G253,Categories!$A$4:$C$13,3,1),VLOOKUP(H253,Categories!$E$4:$G$24,3,1))</f>
        <v>120</v>
      </c>
      <c r="E253" s="49"/>
      <c r="F253" s="44">
        <v>10</v>
      </c>
      <c r="G253" s="50" t="s">
        <v>44</v>
      </c>
      <c r="H253" s="51" t="s">
        <v>0</v>
      </c>
      <c r="I253" s="52"/>
      <c r="J253" s="130">
        <v>2200</v>
      </c>
      <c r="K253" s="53">
        <v>1</v>
      </c>
      <c r="L253" s="54">
        <f>IFERROR(VLOOKUP(VLOOKUP(N253,N253,1,1),Categories!$K$4:$V$17,2+VLOOKUP(K253,K253,1,1)),"-"  )</f>
        <v>2.33</v>
      </c>
      <c r="M253" s="54" t="str">
        <f>IFERROR(VLOOKUP(VLOOKUP(N253,N253,1,1),Categories!$K$3:$V$17,7+VLOOKUP(K253,K253,1,1)),"-")</f>
        <v>0 rev.</v>
      </c>
      <c r="N253" s="55" t="s">
        <v>114</v>
      </c>
      <c r="O253" s="193" t="s">
        <v>0</v>
      </c>
      <c r="P253" s="202" t="s">
        <v>0</v>
      </c>
      <c r="Q253" s="185"/>
      <c r="R253" s="186"/>
      <c r="S253" s="186"/>
      <c r="T253" s="142"/>
      <c r="U253" s="187"/>
      <c r="V253" s="187"/>
      <c r="W253" s="188"/>
      <c r="X253" s="189"/>
      <c r="Y253" s="189"/>
      <c r="Z253" s="189"/>
      <c r="AA253" s="189"/>
      <c r="AB253" s="189"/>
      <c r="AC253" s="189"/>
      <c r="AD253" s="189"/>
      <c r="AE253" s="189"/>
      <c r="AF253" s="188"/>
      <c r="AG253" s="190"/>
      <c r="AH253" s="141"/>
      <c r="AI253" s="56"/>
      <c r="AJ253" s="56"/>
      <c r="AK253" s="56"/>
    </row>
    <row r="254" spans="1:37" ht="31.95" customHeight="1" x14ac:dyDescent="0.3">
      <c r="A254" s="183"/>
      <c r="B254" s="204"/>
      <c r="C254" s="49"/>
      <c r="D254" s="49">
        <f>IF(H254=Categories!$E$4,VLOOKUP(G254,Categories!$A$4:$C$13,3,1),VLOOKUP(H254,Categories!$E$4:$G$24,3,1))</f>
        <v>45</v>
      </c>
      <c r="E254" s="49"/>
      <c r="F254" s="44">
        <v>10</v>
      </c>
      <c r="G254" s="50" t="s">
        <v>243</v>
      </c>
      <c r="H254" s="51" t="s">
        <v>249</v>
      </c>
      <c r="I254" s="52"/>
      <c r="J254" s="130">
        <v>2200</v>
      </c>
      <c r="K254" s="53">
        <v>2</v>
      </c>
      <c r="L254" s="54" t="str">
        <f>IFERROR(VLOOKUP(VLOOKUP(N254,N254,1,1),Categories!$K$4:$V$17,2+VLOOKUP(K254,K254,1,1)),"-"  )</f>
        <v>~9</v>
      </c>
      <c r="M254" s="54" t="str">
        <f>IFERROR(VLOOKUP(VLOOKUP(N254,N254,1,1),Categories!$K$3:$V$17,7+VLOOKUP(K254,K254,1,1)),"-")</f>
        <v>1.0 rev.</v>
      </c>
      <c r="N254" s="55" t="s">
        <v>114</v>
      </c>
      <c r="O254" s="193" t="s">
        <v>0</v>
      </c>
      <c r="P254" s="202" t="s">
        <v>0</v>
      </c>
      <c r="Q254" s="185"/>
      <c r="R254" s="186"/>
      <c r="S254" s="186"/>
      <c r="T254" s="142"/>
      <c r="U254" s="187"/>
      <c r="V254" s="187"/>
      <c r="W254" s="188"/>
      <c r="X254" s="189"/>
      <c r="Y254" s="189"/>
      <c r="Z254" s="189"/>
      <c r="AA254" s="189"/>
      <c r="AB254" s="189"/>
      <c r="AC254" s="189"/>
      <c r="AD254" s="189"/>
      <c r="AE254" s="189"/>
      <c r="AF254" s="188"/>
      <c r="AG254" s="190"/>
      <c r="AH254" s="141"/>
      <c r="AI254" s="56"/>
      <c r="AJ254" s="56"/>
      <c r="AK254" s="56"/>
    </row>
    <row r="255" spans="1:37" ht="31.95" customHeight="1" x14ac:dyDescent="0.3">
      <c r="A255" s="12"/>
      <c r="B255" s="203"/>
      <c r="C255" s="49"/>
      <c r="D255" s="49">
        <f>IF(H255=Categories!$E$4,VLOOKUP(G255,Categories!$A$4:$C$13,3,1),VLOOKUP(H255,Categories!$E$4:$G$24,3,1))</f>
        <v>120</v>
      </c>
      <c r="E255" s="49"/>
      <c r="F255" s="44">
        <v>10</v>
      </c>
      <c r="G255" s="50" t="s">
        <v>44</v>
      </c>
      <c r="H255" s="45" t="s">
        <v>0</v>
      </c>
      <c r="I255" s="52"/>
      <c r="J255" s="130">
        <v>2200</v>
      </c>
      <c r="K255" s="53">
        <v>2</v>
      </c>
      <c r="L255" s="54" t="str">
        <f>IFERROR(VLOOKUP(VLOOKUP(N255,N255,1,1),Categories!$K$4:$V$17,2+VLOOKUP(K255,K255,1,1)),"-"  )</f>
        <v>~9</v>
      </c>
      <c r="M255" s="54" t="str">
        <f>IFERROR(VLOOKUP(VLOOKUP(N255,N255,1,1),Categories!$K$3:$V$17,7+VLOOKUP(K255,K255,1,1)),"-")</f>
        <v>1.0 rev.</v>
      </c>
      <c r="N255" s="55" t="s">
        <v>114</v>
      </c>
      <c r="O255" s="193" t="s">
        <v>0</v>
      </c>
      <c r="P255" s="202" t="s">
        <v>0</v>
      </c>
      <c r="Q255" s="149"/>
      <c r="R255" s="142"/>
      <c r="S255" s="142"/>
      <c r="T255" s="142"/>
      <c r="U255" s="145"/>
      <c r="V255" s="145"/>
      <c r="W255" s="146"/>
      <c r="X255" s="147"/>
      <c r="Y255" s="147"/>
      <c r="Z255" s="147"/>
      <c r="AA255" s="147"/>
      <c r="AB255" s="147"/>
      <c r="AC255" s="147"/>
      <c r="AD255" s="147"/>
      <c r="AE255" s="147"/>
      <c r="AF255" s="146"/>
      <c r="AG255" s="148"/>
      <c r="AH255" s="141"/>
      <c r="AI255" s="48"/>
      <c r="AJ255" s="56"/>
      <c r="AK255" s="56"/>
    </row>
    <row r="256" spans="1:37" ht="31.95" customHeight="1" x14ac:dyDescent="0.3">
      <c r="A256" s="12"/>
      <c r="B256" s="203"/>
      <c r="C256" s="49"/>
      <c r="D256" s="49">
        <f>IF(H256=Categories!$E$4,VLOOKUP(G256,Categories!$A$4:$C$13,3,1),VLOOKUP(H256,Categories!$E$4:$G$24,3,1))</f>
        <v>45</v>
      </c>
      <c r="E256" s="49"/>
      <c r="F256" s="44">
        <v>10</v>
      </c>
      <c r="G256" s="50" t="s">
        <v>243</v>
      </c>
      <c r="H256" s="51" t="s">
        <v>249</v>
      </c>
      <c r="I256" s="52"/>
      <c r="J256" s="130">
        <v>2200</v>
      </c>
      <c r="K256" s="53">
        <v>3</v>
      </c>
      <c r="L256" s="54" t="str">
        <f>IFERROR(VLOOKUP(VLOOKUP(N256,N256,1,1),Categories!$K$4:$V$17,2+VLOOKUP(K256,K256,1,1)),"-"  )</f>
        <v>~10</v>
      </c>
      <c r="M256" s="54" t="str">
        <f>IFERROR(VLOOKUP(VLOOKUP(N256,N256,1,1),Categories!$K$3:$V$17,7+VLOOKUP(K256,K256,1,1)),"-")</f>
        <v>1.5 rev.</v>
      </c>
      <c r="N256" s="55" t="s">
        <v>114</v>
      </c>
      <c r="O256" s="193" t="s">
        <v>0</v>
      </c>
      <c r="P256" s="202" t="s">
        <v>0</v>
      </c>
      <c r="Q256" s="149"/>
      <c r="R256" s="142"/>
      <c r="S256" s="142"/>
      <c r="T256" s="142"/>
      <c r="U256" s="145"/>
      <c r="V256" s="145"/>
      <c r="W256" s="146"/>
      <c r="X256" s="147"/>
      <c r="Y256" s="147"/>
      <c r="Z256" s="147"/>
      <c r="AA256" s="147"/>
      <c r="AB256" s="147"/>
      <c r="AC256" s="147"/>
      <c r="AD256" s="147"/>
      <c r="AE256" s="147"/>
      <c r="AF256" s="146"/>
      <c r="AG256" s="148"/>
      <c r="AH256" s="141"/>
      <c r="AI256" s="48"/>
      <c r="AJ256" s="56"/>
      <c r="AK256" s="56"/>
    </row>
    <row r="257" spans="1:37" ht="31.95" customHeight="1" x14ac:dyDescent="0.3">
      <c r="A257" s="12"/>
      <c r="B257" s="203"/>
      <c r="C257" s="49"/>
      <c r="D257" s="49">
        <f>IF(H257=Categories!$E$4,VLOOKUP(G257,Categories!$A$4:$C$13,3,1),VLOOKUP(H257,Categories!$E$4:$G$24,3,1))</f>
        <v>120</v>
      </c>
      <c r="E257" s="49"/>
      <c r="F257" s="44">
        <v>10</v>
      </c>
      <c r="G257" s="50" t="s">
        <v>44</v>
      </c>
      <c r="H257" s="45" t="s">
        <v>0</v>
      </c>
      <c r="I257" s="52"/>
      <c r="J257" s="130">
        <v>2200</v>
      </c>
      <c r="K257" s="53">
        <v>3</v>
      </c>
      <c r="L257" s="54" t="str">
        <f>IFERROR(VLOOKUP(VLOOKUP(N257,N257,1,1),Categories!$K$4:$V$17,2+VLOOKUP(K257,K257,1,1)),"-"  )</f>
        <v>~10</v>
      </c>
      <c r="M257" s="54" t="str">
        <f>IFERROR(VLOOKUP(VLOOKUP(N257,N257,1,1),Categories!$K$3:$V$17,7+VLOOKUP(K257,K257,1,1)),"-")</f>
        <v>1.5 rev.</v>
      </c>
      <c r="N257" s="55" t="s">
        <v>114</v>
      </c>
      <c r="O257" s="193" t="s">
        <v>0</v>
      </c>
      <c r="P257" s="202" t="s">
        <v>0</v>
      </c>
      <c r="Q257" s="149"/>
      <c r="R257" s="142"/>
      <c r="S257" s="142"/>
      <c r="T257" s="142"/>
      <c r="U257" s="145"/>
      <c r="V257" s="145"/>
      <c r="W257" s="146"/>
      <c r="X257" s="147"/>
      <c r="Y257" s="147"/>
      <c r="Z257" s="147"/>
      <c r="AA257" s="147"/>
      <c r="AB257" s="147"/>
      <c r="AC257" s="147"/>
      <c r="AD257" s="147"/>
      <c r="AE257" s="147"/>
      <c r="AF257" s="146"/>
      <c r="AG257" s="148"/>
      <c r="AH257" s="141"/>
      <c r="AI257" s="48"/>
      <c r="AJ257" s="56"/>
      <c r="AK257" s="56"/>
    </row>
    <row r="258" spans="1:37" ht="31.95" customHeight="1" x14ac:dyDescent="0.3">
      <c r="A258" s="12"/>
      <c r="B258" s="203"/>
      <c r="C258" s="49"/>
      <c r="D258" s="49">
        <f>IF(H258=Categories!$E$4,VLOOKUP(G258,Categories!$A$4:$C$13,3,1),VLOOKUP(H258,Categories!$E$4:$G$24,3,1))</f>
        <v>45</v>
      </c>
      <c r="E258" s="49"/>
      <c r="F258" s="44">
        <v>10</v>
      </c>
      <c r="G258" s="50" t="s">
        <v>243</v>
      </c>
      <c r="H258" s="51" t="s">
        <v>249</v>
      </c>
      <c r="I258" s="52"/>
      <c r="J258" s="130">
        <v>2200</v>
      </c>
      <c r="K258" s="53">
        <v>4</v>
      </c>
      <c r="L258" s="54" t="str">
        <f>IFERROR(VLOOKUP(VLOOKUP(N258,N258,1,1),Categories!$K$4:$V$17,2+VLOOKUP(K258,K258,1,1)),"-"  )</f>
        <v>~11</v>
      </c>
      <c r="M258" s="54" t="str">
        <f>IFERROR(VLOOKUP(VLOOKUP(N258,N258,1,1),Categories!$K$3:$V$17,7+VLOOKUP(K258,K258,1,1)),"-")</f>
        <v>2.0 rev.</v>
      </c>
      <c r="N258" s="55" t="s">
        <v>114</v>
      </c>
      <c r="O258" s="193" t="s">
        <v>0</v>
      </c>
      <c r="P258" s="202" t="s">
        <v>0</v>
      </c>
      <c r="Q258" s="149"/>
      <c r="R258" s="142"/>
      <c r="S258" s="142"/>
      <c r="T258" s="142"/>
      <c r="U258" s="145"/>
      <c r="V258" s="145"/>
      <c r="W258" s="146"/>
      <c r="X258" s="147"/>
      <c r="Y258" s="147"/>
      <c r="Z258" s="147"/>
      <c r="AA258" s="147"/>
      <c r="AB258" s="147"/>
      <c r="AC258" s="147"/>
      <c r="AD258" s="147"/>
      <c r="AE258" s="147"/>
      <c r="AF258" s="146"/>
      <c r="AG258" s="148"/>
      <c r="AH258" s="141"/>
      <c r="AI258" s="48"/>
      <c r="AJ258" s="56"/>
      <c r="AK258" s="56"/>
    </row>
    <row r="259" spans="1:37" ht="31.95" customHeight="1" x14ac:dyDescent="0.3">
      <c r="A259" s="12"/>
      <c r="B259" s="203"/>
      <c r="C259" s="49"/>
      <c r="D259" s="49">
        <f>IF(H259=Categories!$E$4,VLOOKUP(G259,Categories!$A$4:$C$13,3,1),VLOOKUP(H259,Categories!$E$4:$G$24,3,1))</f>
        <v>120</v>
      </c>
      <c r="E259" s="49"/>
      <c r="F259" s="44">
        <v>10</v>
      </c>
      <c r="G259" s="50" t="s">
        <v>44</v>
      </c>
      <c r="H259" s="45" t="s">
        <v>0</v>
      </c>
      <c r="I259" s="52"/>
      <c r="J259" s="130">
        <v>2200</v>
      </c>
      <c r="K259" s="53">
        <v>4</v>
      </c>
      <c r="L259" s="54" t="str">
        <f>IFERROR(VLOOKUP(VLOOKUP(N259,N259,1,1),Categories!$K$4:$V$17,2+VLOOKUP(K259,K259,1,1)),"-"  )</f>
        <v>~11</v>
      </c>
      <c r="M259" s="54" t="str">
        <f>IFERROR(VLOOKUP(VLOOKUP(N259,N259,1,1),Categories!$K$3:$V$17,7+VLOOKUP(K259,K259,1,1)),"-")</f>
        <v>2.0 rev.</v>
      </c>
      <c r="N259" s="55" t="s">
        <v>114</v>
      </c>
      <c r="O259" s="193" t="s">
        <v>0</v>
      </c>
      <c r="P259" s="202" t="s">
        <v>0</v>
      </c>
      <c r="Q259" s="149"/>
      <c r="R259" s="142"/>
      <c r="S259" s="142"/>
      <c r="T259" s="186"/>
      <c r="U259" s="145"/>
      <c r="V259" s="145"/>
      <c r="W259" s="146"/>
      <c r="X259" s="147"/>
      <c r="Y259" s="147"/>
      <c r="Z259" s="147"/>
      <c r="AA259" s="147"/>
      <c r="AB259" s="147"/>
      <c r="AC259" s="147"/>
      <c r="AD259" s="147"/>
      <c r="AE259" s="147"/>
      <c r="AF259" s="146"/>
      <c r="AG259" s="148"/>
      <c r="AH259" s="141"/>
      <c r="AI259" s="48"/>
      <c r="AJ259" s="56"/>
      <c r="AK259" s="56"/>
    </row>
    <row r="260" spans="1:37" ht="31.95" customHeight="1" x14ac:dyDescent="0.3">
      <c r="A260" s="12"/>
      <c r="B260" s="203"/>
      <c r="C260" s="49"/>
      <c r="D260" s="49">
        <f>IF(H260=Categories!$E$4,VLOOKUP(G260,Categories!$A$4:$C$13,3,1),VLOOKUP(H260,Categories!$E$4:$G$24,3,1))</f>
        <v>45</v>
      </c>
      <c r="E260" s="49"/>
      <c r="F260" s="44">
        <v>10</v>
      </c>
      <c r="G260" s="50" t="s">
        <v>243</v>
      </c>
      <c r="H260" s="51" t="s">
        <v>249</v>
      </c>
      <c r="I260" s="52"/>
      <c r="J260" s="130">
        <v>2200</v>
      </c>
      <c r="K260" s="53">
        <v>5</v>
      </c>
      <c r="L260" s="54" t="str">
        <f>IFERROR(VLOOKUP(VLOOKUP(N260,N260,1,1),Categories!$K$4:$V$17,2+VLOOKUP(K260,K260,1,1)),"-"  )</f>
        <v>~12</v>
      </c>
      <c r="M260" s="54" t="str">
        <f>IFERROR(VLOOKUP(VLOOKUP(N260,N260,1,1),Categories!$K$3:$V$17,7+VLOOKUP(K260,K260,1,1)),"-")</f>
        <v>2.5 rev.</v>
      </c>
      <c r="N260" s="55" t="s">
        <v>114</v>
      </c>
      <c r="O260" s="193" t="s">
        <v>0</v>
      </c>
      <c r="P260" s="202" t="s">
        <v>0</v>
      </c>
      <c r="Q260" s="149"/>
      <c r="R260" s="142"/>
      <c r="S260" s="142"/>
      <c r="T260" s="186"/>
      <c r="U260" s="145"/>
      <c r="V260" s="145"/>
      <c r="W260" s="146"/>
      <c r="X260" s="147"/>
      <c r="Y260" s="147"/>
      <c r="Z260" s="147"/>
      <c r="AA260" s="147"/>
      <c r="AB260" s="147"/>
      <c r="AC260" s="147"/>
      <c r="AD260" s="147"/>
      <c r="AE260" s="147"/>
      <c r="AF260" s="146"/>
      <c r="AG260" s="148"/>
      <c r="AH260" s="141"/>
      <c r="AI260" s="48"/>
      <c r="AJ260" s="56"/>
      <c r="AK260" s="56"/>
    </row>
    <row r="261" spans="1:37" ht="31.95" customHeight="1" x14ac:dyDescent="0.3">
      <c r="A261" s="12"/>
      <c r="B261" s="203"/>
      <c r="C261" s="49"/>
      <c r="D261" s="49">
        <f>IF(H261=Categories!$E$4,VLOOKUP(G261,Categories!$A$4:$C$13,3,1),VLOOKUP(H261,Categories!$E$4:$G$24,3,1))</f>
        <v>120</v>
      </c>
      <c r="E261" s="49"/>
      <c r="F261" s="44">
        <v>10</v>
      </c>
      <c r="G261" s="50" t="s">
        <v>44</v>
      </c>
      <c r="H261" s="45" t="s">
        <v>0</v>
      </c>
      <c r="I261" s="52"/>
      <c r="J261" s="130">
        <v>2200</v>
      </c>
      <c r="K261" s="53">
        <v>5</v>
      </c>
      <c r="L261" s="54" t="str">
        <f>IFERROR(VLOOKUP(VLOOKUP(N261,N261,1,1),Categories!$K$4:$V$17,2+VLOOKUP(K261,K261,1,1)),"-"  )</f>
        <v>~12</v>
      </c>
      <c r="M261" s="54" t="str">
        <f>IFERROR(VLOOKUP(VLOOKUP(N261,N261,1,1),Categories!$K$3:$V$17,7+VLOOKUP(K261,K261,1,1)),"-")</f>
        <v>2.5 rev.</v>
      </c>
      <c r="N261" s="55" t="s">
        <v>114</v>
      </c>
      <c r="O261" s="193" t="s">
        <v>0</v>
      </c>
      <c r="P261" s="202" t="s">
        <v>0</v>
      </c>
      <c r="Q261" s="149"/>
      <c r="R261" s="142"/>
      <c r="S261" s="142"/>
      <c r="T261" s="142"/>
      <c r="U261" s="145"/>
      <c r="V261" s="145"/>
      <c r="W261" s="146"/>
      <c r="X261" s="147"/>
      <c r="Y261" s="147"/>
      <c r="Z261" s="147"/>
      <c r="AA261" s="147"/>
      <c r="AB261" s="147"/>
      <c r="AC261" s="147"/>
      <c r="AD261" s="147"/>
      <c r="AE261" s="147"/>
      <c r="AF261" s="146"/>
      <c r="AG261" s="148"/>
      <c r="AH261" s="141"/>
      <c r="AI261" s="48"/>
      <c r="AJ261" s="56"/>
      <c r="AK261" s="56"/>
    </row>
    <row r="262" spans="1:37" ht="31.95" customHeight="1" x14ac:dyDescent="0.3">
      <c r="A262" s="12"/>
      <c r="B262" s="203"/>
      <c r="C262" s="49"/>
      <c r="D262" s="49">
        <f>IF(H262=Categories!$E$4,VLOOKUP(G262,Categories!$A$4:$C$13,3,1),VLOOKUP(H262,Categories!$E$4:$G$24,3,1))</f>
        <v>45</v>
      </c>
      <c r="E262" s="49"/>
      <c r="F262" s="44">
        <v>10</v>
      </c>
      <c r="G262" s="50" t="s">
        <v>243</v>
      </c>
      <c r="H262" s="51" t="s">
        <v>250</v>
      </c>
      <c r="I262" s="52"/>
      <c r="J262" s="130">
        <v>2200</v>
      </c>
      <c r="K262" s="53">
        <v>1</v>
      </c>
      <c r="L262" s="54">
        <f>IFERROR(VLOOKUP(VLOOKUP(N262,N262,1,1),Categories!$K$4:$V$17,2+VLOOKUP(K262,K262,1,1)),"-"  )</f>
        <v>2.33</v>
      </c>
      <c r="M262" s="54" t="str">
        <f>IFERROR(VLOOKUP(VLOOKUP(N262,N262,1,1),Categories!$K$3:$V$17,7+VLOOKUP(K262,K262,1,1)),"-")</f>
        <v>0 rev.</v>
      </c>
      <c r="N262" s="55" t="s">
        <v>114</v>
      </c>
      <c r="O262" s="193" t="s">
        <v>0</v>
      </c>
      <c r="P262" s="202" t="s">
        <v>0</v>
      </c>
      <c r="Q262" s="149"/>
      <c r="R262" s="142"/>
      <c r="S262" s="142"/>
      <c r="T262" s="142"/>
      <c r="U262" s="145"/>
      <c r="V262" s="145"/>
      <c r="W262" s="146"/>
      <c r="X262" s="147"/>
      <c r="Y262" s="147"/>
      <c r="Z262" s="147"/>
      <c r="AA262" s="147"/>
      <c r="AB262" s="147"/>
      <c r="AC262" s="147"/>
      <c r="AD262" s="147"/>
      <c r="AE262" s="147"/>
      <c r="AF262" s="146"/>
      <c r="AG262" s="148"/>
      <c r="AH262" s="141"/>
      <c r="AI262" s="48"/>
      <c r="AJ262" s="56"/>
      <c r="AK262" s="56"/>
    </row>
    <row r="263" spans="1:37" ht="31.95" customHeight="1" x14ac:dyDescent="0.3">
      <c r="A263" s="12"/>
      <c r="B263" s="203"/>
      <c r="C263" s="49"/>
      <c r="D263" s="49">
        <f>IF(H263=Categories!$E$4,VLOOKUP(G263,Categories!$A$4:$C$13,3,1),VLOOKUP(H263,Categories!$E$4:$G$24,3,1))</f>
        <v>120</v>
      </c>
      <c r="E263" s="49"/>
      <c r="F263" s="44">
        <v>10</v>
      </c>
      <c r="G263" s="50" t="s">
        <v>247</v>
      </c>
      <c r="H263" s="45" t="s">
        <v>0</v>
      </c>
      <c r="I263" s="52"/>
      <c r="J263" s="130">
        <v>2200</v>
      </c>
      <c r="K263" s="53">
        <v>1</v>
      </c>
      <c r="L263" s="54">
        <f>IFERROR(VLOOKUP(VLOOKUP(N263,N263,1,1),Categories!$K$4:$V$17,2+VLOOKUP(K263,K263,1,1)),"-"  )</f>
        <v>2.33</v>
      </c>
      <c r="M263" s="54" t="str">
        <f>IFERROR(VLOOKUP(VLOOKUP(N263,N263,1,1),Categories!$K$3:$V$17,7+VLOOKUP(K263,K263,1,1)),"-")</f>
        <v>0 rev.</v>
      </c>
      <c r="N263" s="55" t="s">
        <v>114</v>
      </c>
      <c r="O263" s="193" t="s">
        <v>0</v>
      </c>
      <c r="P263" s="202" t="s">
        <v>0</v>
      </c>
      <c r="Q263" s="149"/>
      <c r="R263" s="142"/>
      <c r="S263" s="142"/>
      <c r="T263" s="142"/>
      <c r="U263" s="145"/>
      <c r="V263" s="145"/>
      <c r="W263" s="146"/>
      <c r="X263" s="147"/>
      <c r="Y263" s="147"/>
      <c r="Z263" s="147"/>
      <c r="AA263" s="147"/>
      <c r="AB263" s="147"/>
      <c r="AC263" s="147"/>
      <c r="AD263" s="147"/>
      <c r="AE263" s="147"/>
      <c r="AF263" s="146"/>
      <c r="AG263" s="148"/>
      <c r="AH263" s="141"/>
      <c r="AI263" s="48"/>
      <c r="AJ263" s="56"/>
      <c r="AK263" s="56"/>
    </row>
    <row r="264" spans="1:37" ht="31.95" customHeight="1" x14ac:dyDescent="0.3">
      <c r="A264" s="12"/>
      <c r="B264" s="203"/>
      <c r="C264" s="49"/>
      <c r="D264" s="49">
        <f>IF(H264=Categories!$E$4,VLOOKUP(G264,Categories!$A$4:$C$13,3,1),VLOOKUP(H264,Categories!$E$4:$G$24,3,1))</f>
        <v>45</v>
      </c>
      <c r="E264" s="49"/>
      <c r="F264" s="44" t="s">
        <v>0</v>
      </c>
      <c r="G264" s="50" t="s">
        <v>3</v>
      </c>
      <c r="H264" s="51" t="s">
        <v>2</v>
      </c>
      <c r="I264" s="52"/>
      <c r="J264" s="130">
        <v>2500</v>
      </c>
      <c r="K264" s="53">
        <v>1</v>
      </c>
      <c r="L264" s="54">
        <f>IFERROR(VLOOKUP(VLOOKUP(N264,N264,1,1),Categories!$K$4:$V$17,2+VLOOKUP(K264,K264,1,1)),"-"  )</f>
        <v>2.33</v>
      </c>
      <c r="M264" s="54" t="str">
        <f>IFERROR(VLOOKUP(VLOOKUP(N264,N264,1,1),Categories!$K$3:$V$17,7+VLOOKUP(K264,K264,1,1)),"-")</f>
        <v>0 rev.</v>
      </c>
      <c r="N264" s="55" t="s">
        <v>114</v>
      </c>
      <c r="O264" s="193" t="s">
        <v>0</v>
      </c>
      <c r="P264" s="202" t="s">
        <v>0</v>
      </c>
      <c r="Q264" s="149"/>
      <c r="R264" s="142"/>
      <c r="S264" s="142"/>
      <c r="T264" s="142"/>
      <c r="U264" s="145"/>
      <c r="V264" s="145"/>
      <c r="W264" s="146"/>
      <c r="X264" s="147"/>
      <c r="Y264" s="147"/>
      <c r="Z264" s="147"/>
      <c r="AA264" s="147"/>
      <c r="AB264" s="147"/>
      <c r="AC264" s="147"/>
      <c r="AD264" s="147"/>
      <c r="AE264" s="147"/>
      <c r="AF264" s="146"/>
      <c r="AG264" s="148"/>
      <c r="AH264" s="141"/>
      <c r="AI264" s="48"/>
      <c r="AJ264" s="56"/>
      <c r="AK264" s="56"/>
    </row>
    <row r="265" spans="1:37" ht="31.95" customHeight="1" x14ac:dyDescent="0.3">
      <c r="A265" s="183"/>
      <c r="B265" s="204"/>
      <c r="C265" s="49"/>
      <c r="D265" s="49">
        <f>IF(H265=Categories!$E$4,VLOOKUP(G265,Categories!$A$4:$C$13,3,1),VLOOKUP(H265,Categories!$E$4:$G$24,3,1))</f>
        <v>120</v>
      </c>
      <c r="E265" s="49"/>
      <c r="F265" s="44">
        <v>11</v>
      </c>
      <c r="G265" s="50" t="s">
        <v>44</v>
      </c>
      <c r="H265" s="51" t="s">
        <v>0</v>
      </c>
      <c r="I265" s="52"/>
      <c r="J265" s="130">
        <v>2500</v>
      </c>
      <c r="K265" s="53">
        <v>1</v>
      </c>
      <c r="L265" s="54">
        <f>IFERROR(VLOOKUP(VLOOKUP(N265,N265,1,1),Categories!$K$4:$V$17,2+VLOOKUP(K265,K265,1,1)),"-"  )</f>
        <v>2.33</v>
      </c>
      <c r="M265" s="54" t="str">
        <f>IFERROR(VLOOKUP(VLOOKUP(N265,N265,1,1),Categories!$K$3:$V$17,7+VLOOKUP(K265,K265,1,1)),"-")</f>
        <v>0 rev.</v>
      </c>
      <c r="N265" s="55" t="s">
        <v>114</v>
      </c>
      <c r="O265" s="193" t="s">
        <v>0</v>
      </c>
      <c r="P265" s="202" t="s">
        <v>0</v>
      </c>
      <c r="Q265" s="185"/>
      <c r="R265" s="186"/>
      <c r="S265" s="186"/>
      <c r="T265" s="142"/>
      <c r="U265" s="187"/>
      <c r="V265" s="187"/>
      <c r="W265" s="188"/>
      <c r="X265" s="189"/>
      <c r="Y265" s="189"/>
      <c r="Z265" s="189"/>
      <c r="AA265" s="189"/>
      <c r="AB265" s="189"/>
      <c r="AC265" s="189"/>
      <c r="AD265" s="189"/>
      <c r="AE265" s="189"/>
      <c r="AF265" s="188"/>
      <c r="AG265" s="190"/>
      <c r="AH265" s="141"/>
      <c r="AI265" s="56"/>
      <c r="AJ265" s="56"/>
      <c r="AK265" s="56"/>
    </row>
    <row r="266" spans="1:37" ht="31.95" customHeight="1" x14ac:dyDescent="0.3">
      <c r="A266" s="183"/>
      <c r="B266" s="204"/>
      <c r="C266" s="49"/>
      <c r="D266" s="49">
        <f>IF(H266=Categories!$E$4,VLOOKUP(G266,Categories!$A$4:$C$13,3,1),VLOOKUP(H266,Categories!$E$4:$G$24,3,1))</f>
        <v>45</v>
      </c>
      <c r="E266" s="49"/>
      <c r="F266" s="44">
        <v>11</v>
      </c>
      <c r="G266" s="50" t="s">
        <v>243</v>
      </c>
      <c r="H266" s="51" t="s">
        <v>249</v>
      </c>
      <c r="I266" s="52"/>
      <c r="J266" s="130">
        <v>2500</v>
      </c>
      <c r="K266" s="53">
        <v>2</v>
      </c>
      <c r="L266" s="54" t="str">
        <f>IFERROR(VLOOKUP(VLOOKUP(N266,N266,1,1),Categories!$K$4:$V$17,2+VLOOKUP(K266,K266,1,1)),"-"  )</f>
        <v>~9</v>
      </c>
      <c r="M266" s="54" t="str">
        <f>IFERROR(VLOOKUP(VLOOKUP(N266,N266,1,1),Categories!$K$3:$V$17,7+VLOOKUP(K266,K266,1,1)),"-")</f>
        <v>1.0 rev.</v>
      </c>
      <c r="N266" s="55" t="s">
        <v>114</v>
      </c>
      <c r="O266" s="193" t="s">
        <v>0</v>
      </c>
      <c r="P266" s="202" t="s">
        <v>0</v>
      </c>
      <c r="Q266" s="185"/>
      <c r="R266" s="186"/>
      <c r="S266" s="186"/>
      <c r="T266" s="142"/>
      <c r="U266" s="187"/>
      <c r="V266" s="187"/>
      <c r="W266" s="188"/>
      <c r="X266" s="189"/>
      <c r="Y266" s="189"/>
      <c r="Z266" s="189"/>
      <c r="AA266" s="189"/>
      <c r="AB266" s="189"/>
      <c r="AC266" s="189"/>
      <c r="AD266" s="189"/>
      <c r="AE266" s="189"/>
      <c r="AF266" s="188"/>
      <c r="AG266" s="190"/>
      <c r="AH266" s="141"/>
      <c r="AI266" s="56"/>
      <c r="AJ266" s="56"/>
      <c r="AK266" s="56"/>
    </row>
    <row r="267" spans="1:37" ht="31.95" customHeight="1" x14ac:dyDescent="0.3">
      <c r="A267" s="12"/>
      <c r="B267" s="203"/>
      <c r="C267" s="49"/>
      <c r="D267" s="49">
        <f>IF(H267=Categories!$E$4,VLOOKUP(G267,Categories!$A$4:$C$13,3,1),VLOOKUP(H267,Categories!$E$4:$G$24,3,1))</f>
        <v>120</v>
      </c>
      <c r="E267" s="49"/>
      <c r="F267" s="44">
        <v>11</v>
      </c>
      <c r="G267" s="50" t="s">
        <v>44</v>
      </c>
      <c r="H267" s="45" t="s">
        <v>0</v>
      </c>
      <c r="I267" s="52"/>
      <c r="J267" s="130">
        <v>2500</v>
      </c>
      <c r="K267" s="53">
        <v>2</v>
      </c>
      <c r="L267" s="54" t="str">
        <f>IFERROR(VLOOKUP(VLOOKUP(N267,N267,1,1),Categories!$K$4:$V$17,2+VLOOKUP(K267,K267,1,1)),"-"  )</f>
        <v>~9</v>
      </c>
      <c r="M267" s="54" t="str">
        <f>IFERROR(VLOOKUP(VLOOKUP(N267,N267,1,1),Categories!$K$3:$V$17,7+VLOOKUP(K267,K267,1,1)),"-")</f>
        <v>1.0 rev.</v>
      </c>
      <c r="N267" s="55" t="s">
        <v>114</v>
      </c>
      <c r="O267" s="193" t="s">
        <v>0</v>
      </c>
      <c r="P267" s="202" t="s">
        <v>0</v>
      </c>
      <c r="Q267" s="149"/>
      <c r="R267" s="142"/>
      <c r="S267" s="142"/>
      <c r="T267" s="142"/>
      <c r="U267" s="145"/>
      <c r="V267" s="145"/>
      <c r="W267" s="146"/>
      <c r="X267" s="147"/>
      <c r="Y267" s="147"/>
      <c r="Z267" s="147"/>
      <c r="AA267" s="147"/>
      <c r="AB267" s="147"/>
      <c r="AC267" s="147"/>
      <c r="AD267" s="147"/>
      <c r="AE267" s="147"/>
      <c r="AF267" s="146"/>
      <c r="AG267" s="148"/>
      <c r="AH267" s="141"/>
      <c r="AI267" s="48"/>
      <c r="AJ267" s="56"/>
      <c r="AK267" s="56"/>
    </row>
    <row r="268" spans="1:37" ht="31.95" customHeight="1" x14ac:dyDescent="0.3">
      <c r="A268" s="12"/>
      <c r="B268" s="203"/>
      <c r="C268" s="49"/>
      <c r="D268" s="49">
        <f>IF(H268=Categories!$E$4,VLOOKUP(G268,Categories!$A$4:$C$13,3,1),VLOOKUP(H268,Categories!$E$4:$G$24,3,1))</f>
        <v>45</v>
      </c>
      <c r="E268" s="49"/>
      <c r="F268" s="44">
        <v>11</v>
      </c>
      <c r="G268" s="50" t="s">
        <v>243</v>
      </c>
      <c r="H268" s="51" t="s">
        <v>249</v>
      </c>
      <c r="I268" s="52"/>
      <c r="J268" s="130">
        <v>2500</v>
      </c>
      <c r="K268" s="53">
        <v>3</v>
      </c>
      <c r="L268" s="54" t="str">
        <f>IFERROR(VLOOKUP(VLOOKUP(N268,N268,1,1),Categories!$K$4:$V$17,2+VLOOKUP(K268,K268,1,1)),"-"  )</f>
        <v>~10</v>
      </c>
      <c r="M268" s="54" t="str">
        <f>IFERROR(VLOOKUP(VLOOKUP(N268,N268,1,1),Categories!$K$3:$V$17,7+VLOOKUP(K268,K268,1,1)),"-")</f>
        <v>1.5 rev.</v>
      </c>
      <c r="N268" s="55" t="s">
        <v>114</v>
      </c>
      <c r="O268" s="193" t="s">
        <v>0</v>
      </c>
      <c r="P268" s="202" t="s">
        <v>0</v>
      </c>
      <c r="Q268" s="149"/>
      <c r="R268" s="142"/>
      <c r="S268" s="142"/>
      <c r="T268" s="142"/>
      <c r="U268" s="145"/>
      <c r="V268" s="145"/>
      <c r="W268" s="146"/>
      <c r="X268" s="147"/>
      <c r="Y268" s="147"/>
      <c r="Z268" s="147"/>
      <c r="AA268" s="147"/>
      <c r="AB268" s="147"/>
      <c r="AC268" s="147"/>
      <c r="AD268" s="147"/>
      <c r="AE268" s="147"/>
      <c r="AF268" s="146"/>
      <c r="AG268" s="148"/>
      <c r="AH268" s="141"/>
      <c r="AI268" s="48"/>
      <c r="AJ268" s="56"/>
      <c r="AK268" s="56"/>
    </row>
    <row r="269" spans="1:37" ht="31.95" customHeight="1" x14ac:dyDescent="0.3">
      <c r="A269" s="12"/>
      <c r="B269" s="203"/>
      <c r="C269" s="49"/>
      <c r="D269" s="49">
        <f>IF(H269=Categories!$E$4,VLOOKUP(G269,Categories!$A$4:$C$13,3,1),VLOOKUP(H269,Categories!$E$4:$G$24,3,1))</f>
        <v>120</v>
      </c>
      <c r="E269" s="49"/>
      <c r="F269" s="44">
        <v>11</v>
      </c>
      <c r="G269" s="50" t="s">
        <v>44</v>
      </c>
      <c r="H269" s="45" t="s">
        <v>0</v>
      </c>
      <c r="I269" s="52"/>
      <c r="J269" s="130">
        <v>2500</v>
      </c>
      <c r="K269" s="53">
        <v>3</v>
      </c>
      <c r="L269" s="54" t="str">
        <f>IFERROR(VLOOKUP(VLOOKUP(N269,N269,1,1),Categories!$K$4:$V$17,2+VLOOKUP(K269,K269,1,1)),"-"  )</f>
        <v>~10</v>
      </c>
      <c r="M269" s="54" t="str">
        <f>IFERROR(VLOOKUP(VLOOKUP(N269,N269,1,1),Categories!$K$3:$V$17,7+VLOOKUP(K269,K269,1,1)),"-")</f>
        <v>1.5 rev.</v>
      </c>
      <c r="N269" s="55" t="s">
        <v>114</v>
      </c>
      <c r="O269" s="193" t="s">
        <v>0</v>
      </c>
      <c r="P269" s="202" t="s">
        <v>0</v>
      </c>
      <c r="Q269" s="149"/>
      <c r="R269" s="142"/>
      <c r="S269" s="142"/>
      <c r="T269" s="142"/>
      <c r="U269" s="145"/>
      <c r="V269" s="145"/>
      <c r="W269" s="146"/>
      <c r="X269" s="147"/>
      <c r="Y269" s="147"/>
      <c r="Z269" s="147"/>
      <c r="AA269" s="147"/>
      <c r="AB269" s="147"/>
      <c r="AC269" s="147"/>
      <c r="AD269" s="147"/>
      <c r="AE269" s="147"/>
      <c r="AF269" s="146"/>
      <c r="AG269" s="148"/>
      <c r="AH269" s="141"/>
      <c r="AI269" s="48"/>
      <c r="AJ269" s="56"/>
      <c r="AK269" s="56"/>
    </row>
    <row r="270" spans="1:37" ht="31.95" customHeight="1" x14ac:dyDescent="0.3">
      <c r="A270" s="12"/>
      <c r="B270" s="203"/>
      <c r="C270" s="49"/>
      <c r="D270" s="49">
        <f>IF(H270=Categories!$E$4,VLOOKUP(G270,Categories!$A$4:$C$13,3,1),VLOOKUP(H270,Categories!$E$4:$G$24,3,1))</f>
        <v>45</v>
      </c>
      <c r="E270" s="49"/>
      <c r="F270" s="44">
        <v>11</v>
      </c>
      <c r="G270" s="50" t="s">
        <v>243</v>
      </c>
      <c r="H270" s="51" t="s">
        <v>249</v>
      </c>
      <c r="I270" s="52"/>
      <c r="J270" s="130">
        <v>2500</v>
      </c>
      <c r="K270" s="53">
        <v>4</v>
      </c>
      <c r="L270" s="54" t="str">
        <f>IFERROR(VLOOKUP(VLOOKUP(N270,N270,1,1),Categories!$K$4:$V$17,2+VLOOKUP(K270,K270,1,1)),"-"  )</f>
        <v>~11</v>
      </c>
      <c r="M270" s="54" t="str">
        <f>IFERROR(VLOOKUP(VLOOKUP(N270,N270,1,1),Categories!$K$3:$V$17,7+VLOOKUP(K270,K270,1,1)),"-")</f>
        <v>2.0 rev.</v>
      </c>
      <c r="N270" s="55" t="s">
        <v>114</v>
      </c>
      <c r="O270" s="193" t="s">
        <v>0</v>
      </c>
      <c r="P270" s="202" t="s">
        <v>0</v>
      </c>
      <c r="Q270" s="149"/>
      <c r="R270" s="142"/>
      <c r="S270" s="142"/>
      <c r="T270" s="142"/>
      <c r="U270" s="145"/>
      <c r="V270" s="145"/>
      <c r="W270" s="146"/>
      <c r="X270" s="147"/>
      <c r="Y270" s="147"/>
      <c r="Z270" s="147"/>
      <c r="AA270" s="147"/>
      <c r="AB270" s="147"/>
      <c r="AC270" s="147"/>
      <c r="AD270" s="147"/>
      <c r="AE270" s="147"/>
      <c r="AF270" s="146"/>
      <c r="AG270" s="148"/>
      <c r="AH270" s="141"/>
      <c r="AI270" s="48"/>
      <c r="AJ270" s="56"/>
      <c r="AK270" s="56"/>
    </row>
    <row r="271" spans="1:37" ht="31.95" customHeight="1" x14ac:dyDescent="0.3">
      <c r="A271" s="12"/>
      <c r="B271" s="203"/>
      <c r="C271" s="49"/>
      <c r="D271" s="49">
        <f>IF(H271=Categories!$E$4,VLOOKUP(G271,Categories!$A$4:$C$13,3,1),VLOOKUP(H271,Categories!$E$4:$G$24,3,1))</f>
        <v>120</v>
      </c>
      <c r="E271" s="49"/>
      <c r="F271" s="44">
        <v>11</v>
      </c>
      <c r="G271" s="50" t="s">
        <v>44</v>
      </c>
      <c r="H271" s="45" t="s">
        <v>0</v>
      </c>
      <c r="I271" s="52"/>
      <c r="J271" s="130">
        <v>2500</v>
      </c>
      <c r="K271" s="53">
        <v>4</v>
      </c>
      <c r="L271" s="54" t="str">
        <f>IFERROR(VLOOKUP(VLOOKUP(N271,N271,1,1),Categories!$K$4:$V$17,2+VLOOKUP(K271,K271,1,1)),"-"  )</f>
        <v>~11</v>
      </c>
      <c r="M271" s="54" t="str">
        <f>IFERROR(VLOOKUP(VLOOKUP(N271,N271,1,1),Categories!$K$3:$V$17,7+VLOOKUP(K271,K271,1,1)),"-")</f>
        <v>2.0 rev.</v>
      </c>
      <c r="N271" s="55" t="s">
        <v>114</v>
      </c>
      <c r="O271" s="193" t="s">
        <v>0</v>
      </c>
      <c r="P271" s="202" t="s">
        <v>0</v>
      </c>
      <c r="Q271" s="149"/>
      <c r="R271" s="142"/>
      <c r="S271" s="142"/>
      <c r="T271" s="186"/>
      <c r="U271" s="145"/>
      <c r="V271" s="145"/>
      <c r="W271" s="146"/>
      <c r="X271" s="147"/>
      <c r="Y271" s="147"/>
      <c r="Z271" s="147"/>
      <c r="AA271" s="147"/>
      <c r="AB271" s="147"/>
      <c r="AC271" s="147"/>
      <c r="AD271" s="147"/>
      <c r="AE271" s="147"/>
      <c r="AF271" s="146"/>
      <c r="AG271" s="148"/>
      <c r="AH271" s="141"/>
      <c r="AI271" s="48"/>
      <c r="AJ271" s="56"/>
      <c r="AK271" s="56"/>
    </row>
    <row r="272" spans="1:37" ht="31.95" customHeight="1" x14ac:dyDescent="0.3">
      <c r="A272" s="12"/>
      <c r="B272" s="203"/>
      <c r="C272" s="49"/>
      <c r="D272" s="49">
        <f>IF(H272=Categories!$E$4,VLOOKUP(G272,Categories!$A$4:$C$13,3,1),VLOOKUP(H272,Categories!$E$4:$G$24,3,1))</f>
        <v>45</v>
      </c>
      <c r="E272" s="49"/>
      <c r="F272" s="44">
        <v>11</v>
      </c>
      <c r="G272" s="50" t="s">
        <v>243</v>
      </c>
      <c r="H272" s="51" t="s">
        <v>249</v>
      </c>
      <c r="I272" s="52"/>
      <c r="J272" s="130">
        <v>2500</v>
      </c>
      <c r="K272" s="53">
        <v>5</v>
      </c>
      <c r="L272" s="54" t="str">
        <f>IFERROR(VLOOKUP(VLOOKUP(N272,N272,1,1),Categories!$K$4:$V$17,2+VLOOKUP(K272,K272,1,1)),"-"  )</f>
        <v>~12</v>
      </c>
      <c r="M272" s="54" t="str">
        <f>IFERROR(VLOOKUP(VLOOKUP(N272,N272,1,1),Categories!$K$3:$V$17,7+VLOOKUP(K272,K272,1,1)),"-")</f>
        <v>2.5 rev.</v>
      </c>
      <c r="N272" s="55" t="s">
        <v>114</v>
      </c>
      <c r="O272" s="193" t="s">
        <v>0</v>
      </c>
      <c r="P272" s="202" t="s">
        <v>0</v>
      </c>
      <c r="Q272" s="149"/>
      <c r="R272" s="142"/>
      <c r="S272" s="142"/>
      <c r="T272" s="186"/>
      <c r="U272" s="145"/>
      <c r="V272" s="145"/>
      <c r="W272" s="146"/>
      <c r="X272" s="147"/>
      <c r="Y272" s="147"/>
      <c r="Z272" s="147"/>
      <c r="AA272" s="147"/>
      <c r="AB272" s="147"/>
      <c r="AC272" s="147"/>
      <c r="AD272" s="147"/>
      <c r="AE272" s="147"/>
      <c r="AF272" s="146"/>
      <c r="AG272" s="148"/>
      <c r="AH272" s="141"/>
      <c r="AI272" s="48"/>
      <c r="AJ272" s="56"/>
      <c r="AK272" s="56"/>
    </row>
    <row r="273" spans="1:37" ht="31.95" customHeight="1" x14ac:dyDescent="0.3">
      <c r="A273" s="12"/>
      <c r="B273" s="203"/>
      <c r="C273" s="49"/>
      <c r="D273" s="49">
        <f>IF(H273=Categories!$E$4,VLOOKUP(G273,Categories!$A$4:$C$13,3,1),VLOOKUP(H273,Categories!$E$4:$G$24,3,1))</f>
        <v>120</v>
      </c>
      <c r="E273" s="49"/>
      <c r="F273" s="44">
        <v>11</v>
      </c>
      <c r="G273" s="50" t="s">
        <v>44</v>
      </c>
      <c r="H273" s="45" t="s">
        <v>0</v>
      </c>
      <c r="I273" s="52"/>
      <c r="J273" s="130">
        <v>2500</v>
      </c>
      <c r="K273" s="53">
        <v>5</v>
      </c>
      <c r="L273" s="54" t="str">
        <f>IFERROR(VLOOKUP(VLOOKUP(N273,N273,1,1),Categories!$K$4:$V$17,2+VLOOKUP(K273,K273,1,1)),"-"  )</f>
        <v>~12</v>
      </c>
      <c r="M273" s="54" t="str">
        <f>IFERROR(VLOOKUP(VLOOKUP(N273,N273,1,1),Categories!$K$3:$V$17,7+VLOOKUP(K273,K273,1,1)),"-")</f>
        <v>2.5 rev.</v>
      </c>
      <c r="N273" s="55" t="s">
        <v>114</v>
      </c>
      <c r="O273" s="193" t="s">
        <v>0</v>
      </c>
      <c r="P273" s="202" t="s">
        <v>0</v>
      </c>
      <c r="Q273" s="149"/>
      <c r="R273" s="142"/>
      <c r="S273" s="142"/>
      <c r="T273" s="142"/>
      <c r="U273" s="145"/>
      <c r="V273" s="145"/>
      <c r="W273" s="146"/>
      <c r="X273" s="147"/>
      <c r="Y273" s="147"/>
      <c r="Z273" s="147"/>
      <c r="AA273" s="147"/>
      <c r="AB273" s="147"/>
      <c r="AC273" s="147"/>
      <c r="AD273" s="147"/>
      <c r="AE273" s="147"/>
      <c r="AF273" s="146"/>
      <c r="AG273" s="148"/>
      <c r="AH273" s="141"/>
      <c r="AI273" s="48"/>
      <c r="AJ273" s="56"/>
      <c r="AK273" s="56"/>
    </row>
    <row r="274" spans="1:37" ht="31.95" customHeight="1" x14ac:dyDescent="0.3">
      <c r="A274" s="12"/>
      <c r="B274" s="203"/>
      <c r="C274" s="49"/>
      <c r="D274" s="49">
        <f>IF(H274=Categories!$E$4,VLOOKUP(G274,Categories!$A$4:$C$13,3,1),VLOOKUP(H274,Categories!$E$4:$G$24,3,1))</f>
        <v>45</v>
      </c>
      <c r="E274" s="49"/>
      <c r="F274" s="44">
        <v>11</v>
      </c>
      <c r="G274" s="50" t="s">
        <v>243</v>
      </c>
      <c r="H274" s="51" t="s">
        <v>250</v>
      </c>
      <c r="I274" s="52"/>
      <c r="J274" s="130">
        <v>2500</v>
      </c>
      <c r="K274" s="53">
        <v>1</v>
      </c>
      <c r="L274" s="54">
        <f>IFERROR(VLOOKUP(VLOOKUP(N274,N274,1,1),Categories!$K$4:$V$17,2+VLOOKUP(K274,K274,1,1)),"-"  )</f>
        <v>2.33</v>
      </c>
      <c r="M274" s="54" t="str">
        <f>IFERROR(VLOOKUP(VLOOKUP(N274,N274,1,1),Categories!$K$3:$V$17,7+VLOOKUP(K274,K274,1,1)),"-")</f>
        <v>0 rev.</v>
      </c>
      <c r="N274" s="55" t="s">
        <v>114</v>
      </c>
      <c r="O274" s="193" t="s">
        <v>0</v>
      </c>
      <c r="P274" s="202" t="s">
        <v>0</v>
      </c>
      <c r="Q274" s="149"/>
      <c r="R274" s="142"/>
      <c r="S274" s="142"/>
      <c r="T274" s="142"/>
      <c r="U274" s="145"/>
      <c r="V274" s="145"/>
      <c r="W274" s="146"/>
      <c r="X274" s="147"/>
      <c r="Y274" s="147"/>
      <c r="Z274" s="147"/>
      <c r="AA274" s="147"/>
      <c r="AB274" s="147"/>
      <c r="AC274" s="147"/>
      <c r="AD274" s="147"/>
      <c r="AE274" s="147"/>
      <c r="AF274" s="146"/>
      <c r="AG274" s="148"/>
      <c r="AH274" s="141"/>
      <c r="AI274" s="48"/>
      <c r="AJ274" s="56"/>
      <c r="AK274" s="56"/>
    </row>
    <row r="275" spans="1:37" ht="31.95" customHeight="1" x14ac:dyDescent="0.3">
      <c r="A275" s="12"/>
      <c r="B275" s="203"/>
      <c r="C275" s="49"/>
      <c r="D275" s="49">
        <f>IF(H275=Categories!$E$4,VLOOKUP(G275,Categories!$A$4:$C$13,3,1),VLOOKUP(H275,Categories!$E$4:$G$24,3,1))</f>
        <v>120</v>
      </c>
      <c r="E275" s="49"/>
      <c r="F275" s="44">
        <v>11</v>
      </c>
      <c r="G275" s="50" t="s">
        <v>247</v>
      </c>
      <c r="H275" s="45" t="s">
        <v>0</v>
      </c>
      <c r="I275" s="52"/>
      <c r="J275" s="130">
        <v>2500</v>
      </c>
      <c r="K275" s="53">
        <v>1</v>
      </c>
      <c r="L275" s="54">
        <f>IFERROR(VLOOKUP(VLOOKUP(N275,N275,1,1),Categories!$K$4:$V$17,2+VLOOKUP(K275,K275,1,1)),"-"  )</f>
        <v>2.33</v>
      </c>
      <c r="M275" s="54" t="str">
        <f>IFERROR(VLOOKUP(VLOOKUP(N275,N275,1,1),Categories!$K$3:$V$17,7+VLOOKUP(K275,K275,1,1)),"-")</f>
        <v>0 rev.</v>
      </c>
      <c r="N275" s="55" t="s">
        <v>114</v>
      </c>
      <c r="O275" s="193" t="s">
        <v>0</v>
      </c>
      <c r="P275" s="202" t="s">
        <v>0</v>
      </c>
      <c r="Q275" s="149"/>
      <c r="R275" s="142"/>
      <c r="S275" s="142"/>
      <c r="T275" s="142"/>
      <c r="U275" s="145"/>
      <c r="V275" s="145"/>
      <c r="W275" s="146"/>
      <c r="X275" s="147"/>
      <c r="Y275" s="147"/>
      <c r="Z275" s="147"/>
      <c r="AA275" s="147"/>
      <c r="AB275" s="147"/>
      <c r="AC275" s="147"/>
      <c r="AD275" s="147"/>
      <c r="AE275" s="147"/>
      <c r="AF275" s="146"/>
      <c r="AG275" s="148"/>
      <c r="AH275" s="141"/>
      <c r="AI275" s="48"/>
      <c r="AJ275" s="56"/>
      <c r="AK275" s="56"/>
    </row>
    <row r="276" spans="1:37" ht="31.95" customHeight="1" x14ac:dyDescent="0.3">
      <c r="A276" s="12"/>
      <c r="B276" s="203"/>
      <c r="C276" s="49"/>
      <c r="D276" s="49">
        <f>IF(H276=Categories!$E$4,VLOOKUP(G276,Categories!$A$4:$C$13,3,1),VLOOKUP(H276,Categories!$E$4:$G$24,3,1))</f>
        <v>45</v>
      </c>
      <c r="E276" s="49"/>
      <c r="F276" s="44" t="s">
        <v>0</v>
      </c>
      <c r="G276" s="50" t="s">
        <v>243</v>
      </c>
      <c r="H276" s="51" t="s">
        <v>2</v>
      </c>
      <c r="I276" s="52"/>
      <c r="J276" s="130">
        <v>2800</v>
      </c>
      <c r="K276" s="53">
        <v>1</v>
      </c>
      <c r="L276" s="54">
        <f>IFERROR(VLOOKUP(VLOOKUP(N276,N276,1,1),Categories!$K$4:$V$17,2+VLOOKUP(K276,K276,1,1)),"-"  )</f>
        <v>2.33</v>
      </c>
      <c r="M276" s="54" t="str">
        <f>IFERROR(VLOOKUP(VLOOKUP(N276,N276,1,1),Categories!$K$3:$V$17,7+VLOOKUP(K276,K276,1,1)),"-")</f>
        <v>0 rev.</v>
      </c>
      <c r="N276" s="55" t="s">
        <v>114</v>
      </c>
      <c r="O276" s="193" t="s">
        <v>0</v>
      </c>
      <c r="P276" s="202" t="s">
        <v>0</v>
      </c>
      <c r="Q276" s="149"/>
      <c r="R276" s="142"/>
      <c r="S276" s="142"/>
      <c r="T276" s="142"/>
      <c r="U276" s="145"/>
      <c r="V276" s="145"/>
      <c r="W276" s="146"/>
      <c r="X276" s="147"/>
      <c r="Y276" s="147"/>
      <c r="Z276" s="147"/>
      <c r="AA276" s="147"/>
      <c r="AB276" s="147"/>
      <c r="AC276" s="147"/>
      <c r="AD276" s="147"/>
      <c r="AE276" s="147"/>
      <c r="AF276" s="146"/>
      <c r="AG276" s="148"/>
      <c r="AH276" s="141" t="s">
        <v>253</v>
      </c>
      <c r="AI276" s="56" t="s">
        <v>281</v>
      </c>
      <c r="AJ276" s="56"/>
      <c r="AK276" s="56"/>
    </row>
    <row r="277" spans="1:37" ht="31.95" customHeight="1" x14ac:dyDescent="0.3">
      <c r="A277" s="183"/>
      <c r="B277" s="204"/>
      <c r="C277" s="49"/>
      <c r="D277" s="49">
        <f>IF(H277=Categories!$E$4,VLOOKUP(G277,Categories!$A$4:$C$13,3,1),VLOOKUP(H277,Categories!$E$4:$G$24,3,1))</f>
        <v>120</v>
      </c>
      <c r="E277" s="49"/>
      <c r="F277" s="44">
        <v>12</v>
      </c>
      <c r="G277" s="50" t="s">
        <v>44</v>
      </c>
      <c r="H277" s="51" t="s">
        <v>0</v>
      </c>
      <c r="I277" s="52"/>
      <c r="J277" s="130">
        <v>2800</v>
      </c>
      <c r="K277" s="53">
        <v>1</v>
      </c>
      <c r="L277" s="54">
        <f>IFERROR(VLOOKUP(VLOOKUP(N277,N277,1,1),Categories!$K$4:$V$17,2+VLOOKUP(K277,K277,1,1)),"-"  )</f>
        <v>2.33</v>
      </c>
      <c r="M277" s="54" t="str">
        <f>IFERROR(VLOOKUP(VLOOKUP(N277,N277,1,1),Categories!$K$3:$V$17,7+VLOOKUP(K277,K277,1,1)),"-")</f>
        <v>0 rev.</v>
      </c>
      <c r="N277" s="55" t="s">
        <v>114</v>
      </c>
      <c r="O277" s="193" t="s">
        <v>0</v>
      </c>
      <c r="P277" s="202" t="s">
        <v>0</v>
      </c>
      <c r="Q277" s="185"/>
      <c r="R277" s="186"/>
      <c r="S277" s="186"/>
      <c r="T277" s="142"/>
      <c r="U277" s="187"/>
      <c r="V277" s="187"/>
      <c r="W277" s="188"/>
      <c r="X277" s="189"/>
      <c r="Y277" s="189"/>
      <c r="Z277" s="189"/>
      <c r="AA277" s="189"/>
      <c r="AB277" s="189"/>
      <c r="AC277" s="189"/>
      <c r="AD277" s="189"/>
      <c r="AE277" s="189"/>
      <c r="AF277" s="188"/>
      <c r="AG277" s="190"/>
      <c r="AH277" s="141" t="s">
        <v>263</v>
      </c>
      <c r="AI277" s="56"/>
      <c r="AJ277" s="56"/>
      <c r="AK277" s="56"/>
    </row>
    <row r="278" spans="1:37" ht="31.95" customHeight="1" x14ac:dyDescent="0.3">
      <c r="A278" s="183"/>
      <c r="B278" s="204"/>
      <c r="C278" s="49"/>
      <c r="D278" s="49">
        <f>IF(H278=Categories!$E$4,VLOOKUP(G278,Categories!$A$4:$C$13,3,1),VLOOKUP(H278,Categories!$E$4:$G$24,3,1))</f>
        <v>45</v>
      </c>
      <c r="E278" s="49"/>
      <c r="F278" s="44">
        <v>12</v>
      </c>
      <c r="G278" s="50" t="s">
        <v>243</v>
      </c>
      <c r="H278" s="51" t="s">
        <v>249</v>
      </c>
      <c r="I278" s="52"/>
      <c r="J278" s="130">
        <v>2800</v>
      </c>
      <c r="K278" s="53">
        <v>2</v>
      </c>
      <c r="L278" s="54" t="str">
        <f>IFERROR(VLOOKUP(VLOOKUP(N278,N278,1,1),Categories!$K$4:$V$17,2+VLOOKUP(K278,K278,1,1)),"-"  )</f>
        <v>~9</v>
      </c>
      <c r="M278" s="54" t="str">
        <f>IFERROR(VLOOKUP(VLOOKUP(N278,N278,1,1),Categories!$K$3:$V$17,7+VLOOKUP(K278,K278,1,1)),"-")</f>
        <v>1.0 rev.</v>
      </c>
      <c r="N278" s="55" t="s">
        <v>114</v>
      </c>
      <c r="O278" s="193" t="s">
        <v>0</v>
      </c>
      <c r="P278" s="202" t="s">
        <v>0</v>
      </c>
      <c r="Q278" s="185"/>
      <c r="R278" s="186"/>
      <c r="S278" s="186"/>
      <c r="T278" s="142"/>
      <c r="U278" s="187"/>
      <c r="V278" s="187"/>
      <c r="W278" s="188"/>
      <c r="X278" s="189"/>
      <c r="Y278" s="189"/>
      <c r="Z278" s="189"/>
      <c r="AA278" s="189"/>
      <c r="AB278" s="189"/>
      <c r="AC278" s="189"/>
      <c r="AD278" s="189"/>
      <c r="AE278" s="189"/>
      <c r="AF278" s="188"/>
      <c r="AG278" s="190"/>
      <c r="AH278" s="141"/>
      <c r="AI278" s="56"/>
      <c r="AJ278" s="56"/>
      <c r="AK278" s="56"/>
    </row>
    <row r="279" spans="1:37" ht="31.95" customHeight="1" x14ac:dyDescent="0.3">
      <c r="A279" s="12"/>
      <c r="B279" s="203"/>
      <c r="C279" s="49"/>
      <c r="D279" s="49">
        <f>IF(H279=Categories!$E$4,VLOOKUP(G279,Categories!$A$4:$C$13,3,1),VLOOKUP(H279,Categories!$E$4:$G$24,3,1))</f>
        <v>120</v>
      </c>
      <c r="E279" s="49"/>
      <c r="F279" s="44">
        <v>12</v>
      </c>
      <c r="G279" s="50" t="s">
        <v>44</v>
      </c>
      <c r="H279" s="45" t="s">
        <v>0</v>
      </c>
      <c r="I279" s="52"/>
      <c r="J279" s="130">
        <v>2800</v>
      </c>
      <c r="K279" s="53">
        <v>2</v>
      </c>
      <c r="L279" s="54" t="str">
        <f>IFERROR(VLOOKUP(VLOOKUP(N279,N279,1,1),Categories!$K$4:$V$17,2+VLOOKUP(K279,K279,1,1)),"-"  )</f>
        <v>~9</v>
      </c>
      <c r="M279" s="54" t="str">
        <f>IFERROR(VLOOKUP(VLOOKUP(N279,N279,1,1),Categories!$K$3:$V$17,7+VLOOKUP(K279,K279,1,1)),"-")</f>
        <v>1.0 rev.</v>
      </c>
      <c r="N279" s="55" t="s">
        <v>114</v>
      </c>
      <c r="O279" s="193" t="s">
        <v>0</v>
      </c>
      <c r="P279" s="202" t="s">
        <v>0</v>
      </c>
      <c r="Q279" s="149"/>
      <c r="R279" s="142"/>
      <c r="S279" s="142"/>
      <c r="T279" s="142"/>
      <c r="U279" s="145"/>
      <c r="V279" s="145"/>
      <c r="W279" s="146"/>
      <c r="X279" s="147"/>
      <c r="Y279" s="147"/>
      <c r="Z279" s="147"/>
      <c r="AA279" s="147"/>
      <c r="AB279" s="147"/>
      <c r="AC279" s="147"/>
      <c r="AD279" s="147"/>
      <c r="AE279" s="147"/>
      <c r="AF279" s="146"/>
      <c r="AG279" s="148"/>
      <c r="AH279" s="141" t="s">
        <v>263</v>
      </c>
      <c r="AI279" s="48"/>
      <c r="AJ279" s="56"/>
      <c r="AK279" s="56"/>
    </row>
    <row r="280" spans="1:37" ht="31.95" customHeight="1" x14ac:dyDescent="0.3">
      <c r="A280" s="12"/>
      <c r="B280" s="203"/>
      <c r="C280" s="49"/>
      <c r="D280" s="49">
        <f>IF(H280=Categories!$E$4,VLOOKUP(G280,Categories!$A$4:$C$13,3,1),VLOOKUP(H280,Categories!$E$4:$G$24,3,1))</f>
        <v>45</v>
      </c>
      <c r="E280" s="49"/>
      <c r="F280" s="44">
        <v>12</v>
      </c>
      <c r="G280" s="50" t="s">
        <v>243</v>
      </c>
      <c r="H280" s="51" t="s">
        <v>249</v>
      </c>
      <c r="I280" s="52"/>
      <c r="J280" s="130">
        <v>2800</v>
      </c>
      <c r="K280" s="53">
        <v>3</v>
      </c>
      <c r="L280" s="54" t="str">
        <f>IFERROR(VLOOKUP(VLOOKUP(N280,N280,1,1),Categories!$K$4:$V$17,2+VLOOKUP(K280,K280,1,1)),"-"  )</f>
        <v>~10</v>
      </c>
      <c r="M280" s="54" t="str">
        <f>IFERROR(VLOOKUP(VLOOKUP(N280,N280,1,1),Categories!$K$3:$V$17,7+VLOOKUP(K280,K280,1,1)),"-")</f>
        <v>1.5 rev.</v>
      </c>
      <c r="N280" s="55" t="s">
        <v>114</v>
      </c>
      <c r="O280" s="193" t="s">
        <v>0</v>
      </c>
      <c r="P280" s="202" t="s">
        <v>0</v>
      </c>
      <c r="Q280" s="149"/>
      <c r="R280" s="142"/>
      <c r="S280" s="142"/>
      <c r="T280" s="142"/>
      <c r="U280" s="145"/>
      <c r="V280" s="145"/>
      <c r="W280" s="146"/>
      <c r="X280" s="147"/>
      <c r="Y280" s="147"/>
      <c r="Z280" s="147"/>
      <c r="AA280" s="147"/>
      <c r="AB280" s="147"/>
      <c r="AC280" s="147"/>
      <c r="AD280" s="147"/>
      <c r="AE280" s="147"/>
      <c r="AF280" s="146"/>
      <c r="AG280" s="148"/>
      <c r="AH280" s="141"/>
      <c r="AI280" s="48"/>
      <c r="AJ280" s="56"/>
      <c r="AK280" s="56"/>
    </row>
    <row r="281" spans="1:37" ht="31.95" customHeight="1" x14ac:dyDescent="0.3">
      <c r="A281" s="12"/>
      <c r="B281" s="203"/>
      <c r="C281" s="49"/>
      <c r="D281" s="49">
        <f>IF(H281=Categories!$E$4,VLOOKUP(G281,Categories!$A$4:$C$13,3,1),VLOOKUP(H281,Categories!$E$4:$G$24,3,1))</f>
        <v>120</v>
      </c>
      <c r="E281" s="49"/>
      <c r="F281" s="44">
        <v>12</v>
      </c>
      <c r="G281" s="50" t="s">
        <v>44</v>
      </c>
      <c r="H281" s="45" t="s">
        <v>0</v>
      </c>
      <c r="I281" s="52"/>
      <c r="J281" s="130">
        <v>2800</v>
      </c>
      <c r="K281" s="53">
        <v>3</v>
      </c>
      <c r="L281" s="54" t="str">
        <f>IFERROR(VLOOKUP(VLOOKUP(N281,N281,1,1),Categories!$K$4:$V$17,2+VLOOKUP(K281,K281,1,1)),"-"  )</f>
        <v>~10</v>
      </c>
      <c r="M281" s="54" t="str">
        <f>IFERROR(VLOOKUP(VLOOKUP(N281,N281,1,1),Categories!$K$3:$V$17,7+VLOOKUP(K281,K281,1,1)),"-")</f>
        <v>1.5 rev.</v>
      </c>
      <c r="N281" s="55" t="s">
        <v>114</v>
      </c>
      <c r="O281" s="193" t="s">
        <v>0</v>
      </c>
      <c r="P281" s="202" t="s">
        <v>0</v>
      </c>
      <c r="Q281" s="149"/>
      <c r="R281" s="142"/>
      <c r="S281" s="142"/>
      <c r="T281" s="142"/>
      <c r="U281" s="145"/>
      <c r="V281" s="145"/>
      <c r="W281" s="146"/>
      <c r="X281" s="147"/>
      <c r="Y281" s="147"/>
      <c r="Z281" s="147"/>
      <c r="AA281" s="147"/>
      <c r="AB281" s="147"/>
      <c r="AC281" s="147"/>
      <c r="AD281" s="147"/>
      <c r="AE281" s="147"/>
      <c r="AF281" s="146"/>
      <c r="AG281" s="148"/>
      <c r="AH281" s="141" t="s">
        <v>263</v>
      </c>
      <c r="AI281" s="48"/>
      <c r="AJ281" s="56"/>
      <c r="AK281" s="56"/>
    </row>
    <row r="282" spans="1:37" ht="31.95" customHeight="1" x14ac:dyDescent="0.3">
      <c r="A282" s="12"/>
      <c r="B282" s="203"/>
      <c r="C282" s="49"/>
      <c r="D282" s="49">
        <f>IF(H282=Categories!$E$4,VLOOKUP(G282,Categories!$A$4:$C$13,3,1),VLOOKUP(H282,Categories!$E$4:$G$24,3,1))</f>
        <v>45</v>
      </c>
      <c r="E282" s="49"/>
      <c r="F282" s="44">
        <v>12</v>
      </c>
      <c r="G282" s="50" t="s">
        <v>243</v>
      </c>
      <c r="H282" s="51" t="s">
        <v>249</v>
      </c>
      <c r="I282" s="52"/>
      <c r="J282" s="130">
        <v>2800</v>
      </c>
      <c r="K282" s="53">
        <v>4</v>
      </c>
      <c r="L282" s="54" t="str">
        <f>IFERROR(VLOOKUP(VLOOKUP(N282,N282,1,1),Categories!$K$4:$V$17,2+VLOOKUP(K282,K282,1,1)),"-"  )</f>
        <v>~11</v>
      </c>
      <c r="M282" s="54" t="str">
        <f>IFERROR(VLOOKUP(VLOOKUP(N282,N282,1,1),Categories!$K$3:$V$17,7+VLOOKUP(K282,K282,1,1)),"-")</f>
        <v>2.0 rev.</v>
      </c>
      <c r="N282" s="55" t="s">
        <v>114</v>
      </c>
      <c r="O282" s="193" t="s">
        <v>0</v>
      </c>
      <c r="P282" s="202" t="s">
        <v>0</v>
      </c>
      <c r="Q282" s="149"/>
      <c r="R282" s="142"/>
      <c r="S282" s="142"/>
      <c r="T282" s="142"/>
      <c r="U282" s="145"/>
      <c r="V282" s="145"/>
      <c r="W282" s="146"/>
      <c r="X282" s="147"/>
      <c r="Y282" s="147"/>
      <c r="Z282" s="147"/>
      <c r="AA282" s="147"/>
      <c r="AB282" s="147"/>
      <c r="AC282" s="147"/>
      <c r="AD282" s="147"/>
      <c r="AE282" s="147"/>
      <c r="AF282" s="146"/>
      <c r="AG282" s="148"/>
      <c r="AH282" s="141"/>
      <c r="AI282" s="48"/>
      <c r="AJ282" s="56"/>
      <c r="AK282" s="56"/>
    </row>
    <row r="283" spans="1:37" ht="31.95" customHeight="1" x14ac:dyDescent="0.3">
      <c r="A283" s="12"/>
      <c r="B283" s="203"/>
      <c r="C283" s="49"/>
      <c r="D283" s="49">
        <f>IF(H283=Categories!$E$4,VLOOKUP(G283,Categories!$A$4:$C$13,3,1),VLOOKUP(H283,Categories!$E$4:$G$24,3,1))</f>
        <v>120</v>
      </c>
      <c r="E283" s="49"/>
      <c r="F283" s="44">
        <v>12</v>
      </c>
      <c r="G283" s="50" t="s">
        <v>44</v>
      </c>
      <c r="H283" s="45" t="s">
        <v>0</v>
      </c>
      <c r="I283" s="52"/>
      <c r="J283" s="130">
        <v>2800</v>
      </c>
      <c r="K283" s="53">
        <v>4</v>
      </c>
      <c r="L283" s="54" t="str">
        <f>IFERROR(VLOOKUP(VLOOKUP(N283,N283,1,1),Categories!$K$4:$V$17,2+VLOOKUP(K283,K283,1,1)),"-"  )</f>
        <v>~11</v>
      </c>
      <c r="M283" s="54" t="str">
        <f>IFERROR(VLOOKUP(VLOOKUP(N283,N283,1,1),Categories!$K$3:$V$17,7+VLOOKUP(K283,K283,1,1)),"-")</f>
        <v>2.0 rev.</v>
      </c>
      <c r="N283" s="55" t="s">
        <v>114</v>
      </c>
      <c r="O283" s="193" t="s">
        <v>0</v>
      </c>
      <c r="P283" s="202" t="s">
        <v>0</v>
      </c>
      <c r="Q283" s="149"/>
      <c r="R283" s="142"/>
      <c r="S283" s="142"/>
      <c r="T283" s="186"/>
      <c r="U283" s="145"/>
      <c r="V283" s="145"/>
      <c r="W283" s="146"/>
      <c r="X283" s="147"/>
      <c r="Y283" s="147"/>
      <c r="Z283" s="147"/>
      <c r="AA283" s="147"/>
      <c r="AB283" s="147"/>
      <c r="AC283" s="147"/>
      <c r="AD283" s="147"/>
      <c r="AE283" s="147"/>
      <c r="AF283" s="146"/>
      <c r="AG283" s="148"/>
      <c r="AH283" s="141" t="s">
        <v>263</v>
      </c>
      <c r="AI283" s="48"/>
      <c r="AJ283" s="56"/>
      <c r="AK283" s="56"/>
    </row>
    <row r="284" spans="1:37" ht="31.95" customHeight="1" x14ac:dyDescent="0.3">
      <c r="A284" s="12"/>
      <c r="B284" s="203"/>
      <c r="C284" s="49"/>
      <c r="D284" s="49">
        <f>IF(H284=Categories!$E$4,VLOOKUP(G284,Categories!$A$4:$C$13,3,1),VLOOKUP(H284,Categories!$E$4:$G$24,3,1))</f>
        <v>45</v>
      </c>
      <c r="E284" s="49"/>
      <c r="F284" s="44">
        <v>12</v>
      </c>
      <c r="G284" s="50" t="s">
        <v>243</v>
      </c>
      <c r="H284" s="51" t="s">
        <v>249</v>
      </c>
      <c r="I284" s="52"/>
      <c r="J284" s="130">
        <v>2800</v>
      </c>
      <c r="K284" s="53">
        <v>5</v>
      </c>
      <c r="L284" s="54" t="str">
        <f>IFERROR(VLOOKUP(VLOOKUP(N284,N284,1,1),Categories!$K$4:$V$17,2+VLOOKUP(K284,K284,1,1)),"-"  )</f>
        <v>~12</v>
      </c>
      <c r="M284" s="54" t="str">
        <f>IFERROR(VLOOKUP(VLOOKUP(N284,N284,1,1),Categories!$K$3:$V$17,7+VLOOKUP(K284,K284,1,1)),"-")</f>
        <v>2.5 rev.</v>
      </c>
      <c r="N284" s="55" t="s">
        <v>114</v>
      </c>
      <c r="O284" s="193" t="s">
        <v>0</v>
      </c>
      <c r="P284" s="202" t="s">
        <v>0</v>
      </c>
      <c r="Q284" s="149"/>
      <c r="R284" s="142"/>
      <c r="S284" s="142"/>
      <c r="T284" s="186"/>
      <c r="U284" s="145"/>
      <c r="V284" s="145"/>
      <c r="W284" s="146"/>
      <c r="X284" s="147"/>
      <c r="Y284" s="147"/>
      <c r="Z284" s="147"/>
      <c r="AA284" s="147"/>
      <c r="AB284" s="147"/>
      <c r="AC284" s="147"/>
      <c r="AD284" s="147"/>
      <c r="AE284" s="147"/>
      <c r="AF284" s="146"/>
      <c r="AG284" s="148"/>
      <c r="AH284" s="141"/>
      <c r="AI284" s="48"/>
      <c r="AJ284" s="56"/>
      <c r="AK284" s="56"/>
    </row>
    <row r="285" spans="1:37" ht="31.95" customHeight="1" x14ac:dyDescent="0.3">
      <c r="A285" s="12"/>
      <c r="B285" s="203"/>
      <c r="C285" s="49"/>
      <c r="D285" s="49">
        <f>IF(H285=Categories!$E$4,VLOOKUP(G285,Categories!$A$4:$C$13,3,1),VLOOKUP(H285,Categories!$E$4:$G$24,3,1))</f>
        <v>120</v>
      </c>
      <c r="E285" s="49"/>
      <c r="F285" s="44">
        <v>12</v>
      </c>
      <c r="G285" s="50" t="s">
        <v>44</v>
      </c>
      <c r="H285" s="45" t="s">
        <v>0</v>
      </c>
      <c r="I285" s="52"/>
      <c r="J285" s="130">
        <v>2800</v>
      </c>
      <c r="K285" s="53">
        <v>5</v>
      </c>
      <c r="L285" s="54" t="str">
        <f>IFERROR(VLOOKUP(VLOOKUP(N285,N285,1,1),Categories!$K$4:$V$17,2+VLOOKUP(K285,K285,1,1)),"-"  )</f>
        <v>~12</v>
      </c>
      <c r="M285" s="54" t="str">
        <f>IFERROR(VLOOKUP(VLOOKUP(N285,N285,1,1),Categories!$K$3:$V$17,7+VLOOKUP(K285,K285,1,1)),"-")</f>
        <v>2.5 rev.</v>
      </c>
      <c r="N285" s="55" t="s">
        <v>114</v>
      </c>
      <c r="O285" s="193" t="s">
        <v>0</v>
      </c>
      <c r="P285" s="202" t="s">
        <v>0</v>
      </c>
      <c r="Q285" s="149"/>
      <c r="R285" s="142"/>
      <c r="S285" s="142"/>
      <c r="T285" s="186"/>
      <c r="U285" s="145"/>
      <c r="V285" s="145"/>
      <c r="W285" s="146"/>
      <c r="X285" s="147"/>
      <c r="Y285" s="147"/>
      <c r="Z285" s="147"/>
      <c r="AA285" s="147"/>
      <c r="AB285" s="147"/>
      <c r="AC285" s="147"/>
      <c r="AD285" s="147"/>
      <c r="AE285" s="147"/>
      <c r="AF285" s="146"/>
      <c r="AG285" s="148"/>
      <c r="AH285" s="141" t="s">
        <v>263</v>
      </c>
      <c r="AI285" s="48"/>
      <c r="AJ285" s="56"/>
      <c r="AK285" s="56"/>
    </row>
    <row r="286" spans="1:37" ht="31.95" customHeight="1" x14ac:dyDescent="0.3">
      <c r="A286" s="12"/>
      <c r="B286" s="203"/>
      <c r="C286" s="49"/>
      <c r="D286" s="49">
        <f>IF(H286=Categories!$E$4,VLOOKUP(G286,Categories!$A$4:$C$13,3,1),VLOOKUP(H286,Categories!$E$4:$G$24,3,1))</f>
        <v>45</v>
      </c>
      <c r="E286" s="49"/>
      <c r="F286" s="44">
        <v>12</v>
      </c>
      <c r="G286" s="50" t="s">
        <v>243</v>
      </c>
      <c r="H286" s="51" t="s">
        <v>250</v>
      </c>
      <c r="I286" s="52"/>
      <c r="J286" s="130">
        <v>2800</v>
      </c>
      <c r="K286" s="53">
        <v>1</v>
      </c>
      <c r="L286" s="54">
        <f>IFERROR(VLOOKUP(VLOOKUP(N286,N286,1,1),Categories!$K$4:$V$17,2+VLOOKUP(K286,K286,1,1)),"-"  )</f>
        <v>2.33</v>
      </c>
      <c r="M286" s="54" t="str">
        <f>IFERROR(VLOOKUP(VLOOKUP(N286,N286,1,1),Categories!$K$3:$V$17,7+VLOOKUP(K286,K286,1,1)),"-")</f>
        <v>0 rev.</v>
      </c>
      <c r="N286" s="55" t="s">
        <v>114</v>
      </c>
      <c r="O286" s="193" t="s">
        <v>0</v>
      </c>
      <c r="P286" s="202" t="s">
        <v>0</v>
      </c>
      <c r="Q286" s="149"/>
      <c r="R286" s="142"/>
      <c r="S286" s="142"/>
      <c r="T286" s="186"/>
      <c r="U286" s="145"/>
      <c r="V286" s="145"/>
      <c r="W286" s="146"/>
      <c r="X286" s="147"/>
      <c r="Y286" s="147"/>
      <c r="Z286" s="147"/>
      <c r="AA286" s="147"/>
      <c r="AB286" s="147"/>
      <c r="AC286" s="147"/>
      <c r="AD286" s="147"/>
      <c r="AE286" s="147"/>
      <c r="AF286" s="146"/>
      <c r="AG286" s="148"/>
      <c r="AH286" s="141"/>
      <c r="AI286" s="48"/>
      <c r="AJ286" s="56"/>
      <c r="AK286" s="56"/>
    </row>
    <row r="287" spans="1:37" ht="31.95" customHeight="1" x14ac:dyDescent="0.3">
      <c r="A287" s="12"/>
      <c r="B287" s="203"/>
      <c r="C287" s="49"/>
      <c r="D287" s="49">
        <f>IF(H287=Categories!$E$4,VLOOKUP(G287,Categories!$A$4:$C$13,3,1),VLOOKUP(H287,Categories!$E$4:$G$24,3,1))</f>
        <v>120</v>
      </c>
      <c r="E287" s="49"/>
      <c r="F287" s="44">
        <v>12</v>
      </c>
      <c r="G287" s="50" t="s">
        <v>247</v>
      </c>
      <c r="H287" s="45" t="s">
        <v>0</v>
      </c>
      <c r="I287" s="52"/>
      <c r="J287" s="130">
        <v>2800</v>
      </c>
      <c r="K287" s="53">
        <v>1</v>
      </c>
      <c r="L287" s="54">
        <f>IFERROR(VLOOKUP(VLOOKUP(N287,N287,1,1),Categories!$K$4:$V$17,2+VLOOKUP(K287,K287,1,1)),"-"  )</f>
        <v>2.33</v>
      </c>
      <c r="M287" s="54" t="str">
        <f>IFERROR(VLOOKUP(VLOOKUP(N287,N287,1,1),Categories!$K$3:$V$17,7+VLOOKUP(K287,K287,1,1)),"-")</f>
        <v>0 rev.</v>
      </c>
      <c r="N287" s="55" t="s">
        <v>114</v>
      </c>
      <c r="O287" s="193" t="s">
        <v>0</v>
      </c>
      <c r="P287" s="202" t="s">
        <v>0</v>
      </c>
      <c r="Q287" s="149"/>
      <c r="R287" s="142"/>
      <c r="S287" s="142"/>
      <c r="T287" s="142"/>
      <c r="U287" s="145"/>
      <c r="V287" s="145"/>
      <c r="W287" s="146"/>
      <c r="X287" s="147"/>
      <c r="Y287" s="147"/>
      <c r="Z287" s="147"/>
      <c r="AA287" s="147"/>
      <c r="AB287" s="147"/>
      <c r="AC287" s="147"/>
      <c r="AD287" s="147"/>
      <c r="AE287" s="147"/>
      <c r="AF287" s="146"/>
      <c r="AG287" s="148"/>
      <c r="AH287" s="141"/>
      <c r="AI287" s="48"/>
      <c r="AJ287" s="56"/>
      <c r="AK287" s="56"/>
    </row>
    <row r="288" spans="1:37" ht="31.95" customHeight="1" x14ac:dyDescent="0.3">
      <c r="A288" s="12"/>
      <c r="B288" s="203"/>
      <c r="C288" s="49"/>
      <c r="D288" s="49">
        <f>IF(H288=Categories!$E$4,VLOOKUP(G288,Categories!$A$4:$C$13,3,1),VLOOKUP(H288,Categories!$E$4:$G$24,3,1))</f>
        <v>45</v>
      </c>
      <c r="E288" s="49"/>
      <c r="F288" s="44" t="s">
        <v>0</v>
      </c>
      <c r="G288" s="50" t="s">
        <v>243</v>
      </c>
      <c r="H288" s="51" t="s">
        <v>2</v>
      </c>
      <c r="I288" s="52"/>
      <c r="J288" s="130">
        <v>3100</v>
      </c>
      <c r="K288" s="53">
        <v>1</v>
      </c>
      <c r="L288" s="54">
        <f>IFERROR(VLOOKUP(VLOOKUP(N288,N288,1,1),Categories!$K$4:$V$17,2+VLOOKUP(K288,K288,1,1)),"-"  )</f>
        <v>2.33</v>
      </c>
      <c r="M288" s="54" t="str">
        <f>IFERROR(VLOOKUP(VLOOKUP(N288,N288,1,1),Categories!$K$3:$V$17,7+VLOOKUP(K288,K288,1,1)),"-")</f>
        <v>0 rev.</v>
      </c>
      <c r="N288" s="55" t="s">
        <v>114</v>
      </c>
      <c r="O288" s="193" t="s">
        <v>0</v>
      </c>
      <c r="P288" s="202" t="s">
        <v>0</v>
      </c>
      <c r="Q288" s="149"/>
      <c r="R288" s="142"/>
      <c r="S288" s="142"/>
      <c r="T288" s="142"/>
      <c r="U288" s="145"/>
      <c r="V288" s="145"/>
      <c r="W288" s="146"/>
      <c r="X288" s="147"/>
      <c r="Y288" s="147"/>
      <c r="Z288" s="147"/>
      <c r="AA288" s="147"/>
      <c r="AB288" s="147"/>
      <c r="AC288" s="147"/>
      <c r="AD288" s="147"/>
      <c r="AE288" s="147"/>
      <c r="AF288" s="146"/>
      <c r="AG288" s="148"/>
      <c r="AH288" s="141"/>
      <c r="AI288" s="48"/>
      <c r="AJ288" s="56"/>
      <c r="AK288" s="56"/>
    </row>
    <row r="289" spans="1:37" ht="31.95" customHeight="1" x14ac:dyDescent="0.3">
      <c r="A289" s="183"/>
      <c r="B289" s="204"/>
      <c r="C289" s="49"/>
      <c r="D289" s="49">
        <f>IF(H289=Categories!$E$4,VLOOKUP(G289,Categories!$A$4:$C$13,3,1),VLOOKUP(H289,Categories!$E$4:$G$24,3,1))</f>
        <v>120</v>
      </c>
      <c r="E289" s="49"/>
      <c r="F289" s="44">
        <v>13</v>
      </c>
      <c r="G289" s="50" t="s">
        <v>44</v>
      </c>
      <c r="H289" s="51" t="s">
        <v>0</v>
      </c>
      <c r="I289" s="52"/>
      <c r="J289" s="130">
        <v>3100</v>
      </c>
      <c r="K289" s="53">
        <v>1</v>
      </c>
      <c r="L289" s="54">
        <f>IFERROR(VLOOKUP(VLOOKUP(N289,N289,1,1),Categories!$K$4:$V$17,2+VLOOKUP(K289,K289,1,1)),"-"  )</f>
        <v>2.33</v>
      </c>
      <c r="M289" s="54" t="str">
        <f>IFERROR(VLOOKUP(VLOOKUP(N289,N289,1,1),Categories!$K$3:$V$17,7+VLOOKUP(K289,K289,1,1)),"-")</f>
        <v>0 rev.</v>
      </c>
      <c r="N289" s="55" t="s">
        <v>114</v>
      </c>
      <c r="O289" s="193" t="s">
        <v>0</v>
      </c>
      <c r="P289" s="202" t="s">
        <v>0</v>
      </c>
      <c r="Q289" s="185"/>
      <c r="R289" s="186"/>
      <c r="S289" s="186"/>
      <c r="T289" s="142"/>
      <c r="U289" s="187"/>
      <c r="V289" s="187"/>
      <c r="W289" s="188"/>
      <c r="X289" s="189"/>
      <c r="Y289" s="189"/>
      <c r="Z289" s="189"/>
      <c r="AA289" s="189"/>
      <c r="AB289" s="189"/>
      <c r="AC289" s="189"/>
      <c r="AD289" s="189"/>
      <c r="AE289" s="189"/>
      <c r="AF289" s="188"/>
      <c r="AG289" s="190"/>
      <c r="AH289" s="141"/>
      <c r="AI289" s="56"/>
      <c r="AJ289" s="56"/>
      <c r="AK289" s="56"/>
    </row>
    <row r="290" spans="1:37" ht="31.95" customHeight="1" x14ac:dyDescent="0.3">
      <c r="A290" s="183"/>
      <c r="B290" s="204"/>
      <c r="C290" s="49"/>
      <c r="D290" s="49">
        <f>IF(H290=Categories!$E$4,VLOOKUP(G290,Categories!$A$4:$C$13,3,1),VLOOKUP(H290,Categories!$E$4:$G$24,3,1))</f>
        <v>45</v>
      </c>
      <c r="E290" s="49"/>
      <c r="F290" s="44">
        <v>13</v>
      </c>
      <c r="G290" s="50" t="s">
        <v>243</v>
      </c>
      <c r="H290" s="51" t="s">
        <v>249</v>
      </c>
      <c r="I290" s="52"/>
      <c r="J290" s="130">
        <v>3100</v>
      </c>
      <c r="K290" s="53">
        <v>2</v>
      </c>
      <c r="L290" s="54" t="str">
        <f>IFERROR(VLOOKUP(VLOOKUP(N290,N290,1,1),Categories!$K$4:$V$17,2+VLOOKUP(K290,K290,1,1)),"-"  )</f>
        <v>~9</v>
      </c>
      <c r="M290" s="54" t="str">
        <f>IFERROR(VLOOKUP(VLOOKUP(N290,N290,1,1),Categories!$K$3:$V$17,7+VLOOKUP(K290,K290,1,1)),"-")</f>
        <v>1.0 rev.</v>
      </c>
      <c r="N290" s="55" t="s">
        <v>114</v>
      </c>
      <c r="O290" s="193" t="s">
        <v>0</v>
      </c>
      <c r="P290" s="202" t="s">
        <v>0</v>
      </c>
      <c r="Q290" s="185"/>
      <c r="R290" s="186"/>
      <c r="S290" s="186"/>
      <c r="T290" s="142"/>
      <c r="U290" s="187"/>
      <c r="V290" s="187"/>
      <c r="W290" s="188"/>
      <c r="X290" s="189"/>
      <c r="Y290" s="189"/>
      <c r="Z290" s="189"/>
      <c r="AA290" s="189"/>
      <c r="AB290" s="189"/>
      <c r="AC290" s="189"/>
      <c r="AD290" s="189"/>
      <c r="AE290" s="189"/>
      <c r="AF290" s="188"/>
      <c r="AG290" s="190"/>
      <c r="AH290" s="141"/>
      <c r="AI290" s="56"/>
      <c r="AJ290" s="56"/>
      <c r="AK290" s="56"/>
    </row>
    <row r="291" spans="1:37" ht="31.95" customHeight="1" x14ac:dyDescent="0.3">
      <c r="A291" s="12"/>
      <c r="B291" s="203"/>
      <c r="C291" s="49"/>
      <c r="D291" s="49">
        <f>IF(H291=Categories!$E$4,VLOOKUP(G291,Categories!$A$4:$C$13,3,1),VLOOKUP(H291,Categories!$E$4:$G$24,3,1))</f>
        <v>120</v>
      </c>
      <c r="E291" s="49"/>
      <c r="F291" s="44">
        <v>13</v>
      </c>
      <c r="G291" s="50" t="s">
        <v>44</v>
      </c>
      <c r="H291" s="45" t="s">
        <v>0</v>
      </c>
      <c r="I291" s="52"/>
      <c r="J291" s="130">
        <v>3100</v>
      </c>
      <c r="K291" s="53">
        <v>2</v>
      </c>
      <c r="L291" s="54" t="str">
        <f>IFERROR(VLOOKUP(VLOOKUP(N291,N291,1,1),Categories!$K$4:$V$17,2+VLOOKUP(K291,K291,1,1)),"-"  )</f>
        <v>~9</v>
      </c>
      <c r="M291" s="54" t="str">
        <f>IFERROR(VLOOKUP(VLOOKUP(N291,N291,1,1),Categories!$K$3:$V$17,7+VLOOKUP(K291,K291,1,1)),"-")</f>
        <v>1.0 rev.</v>
      </c>
      <c r="N291" s="55" t="s">
        <v>114</v>
      </c>
      <c r="O291" s="193" t="s">
        <v>0</v>
      </c>
      <c r="P291" s="202" t="s">
        <v>0</v>
      </c>
      <c r="Q291" s="149"/>
      <c r="R291" s="142"/>
      <c r="S291" s="142"/>
      <c r="T291" s="142"/>
      <c r="U291" s="145"/>
      <c r="V291" s="145"/>
      <c r="W291" s="146"/>
      <c r="X291" s="147"/>
      <c r="Y291" s="147"/>
      <c r="Z291" s="147"/>
      <c r="AA291" s="147"/>
      <c r="AB291" s="147"/>
      <c r="AC291" s="147"/>
      <c r="AD291" s="147"/>
      <c r="AE291" s="147"/>
      <c r="AF291" s="146"/>
      <c r="AG291" s="148"/>
      <c r="AH291" s="141"/>
      <c r="AI291" s="48"/>
      <c r="AJ291" s="56"/>
      <c r="AK291" s="56"/>
    </row>
    <row r="292" spans="1:37" ht="31.95" customHeight="1" x14ac:dyDescent="0.3">
      <c r="A292" s="12"/>
      <c r="B292" s="203"/>
      <c r="C292" s="49"/>
      <c r="D292" s="49">
        <f>IF(H292=Categories!$E$4,VLOOKUP(G292,Categories!$A$4:$C$13,3,1),VLOOKUP(H292,Categories!$E$4:$G$24,3,1))</f>
        <v>45</v>
      </c>
      <c r="E292" s="49"/>
      <c r="F292" s="44">
        <v>13</v>
      </c>
      <c r="G292" s="50" t="s">
        <v>243</v>
      </c>
      <c r="H292" s="51" t="s">
        <v>249</v>
      </c>
      <c r="I292" s="52"/>
      <c r="J292" s="130">
        <v>3100</v>
      </c>
      <c r="K292" s="53">
        <v>3</v>
      </c>
      <c r="L292" s="54" t="str">
        <f>IFERROR(VLOOKUP(VLOOKUP(N292,N292,1,1),Categories!$K$4:$V$17,2+VLOOKUP(K292,K292,1,1)),"-"  )</f>
        <v>~10</v>
      </c>
      <c r="M292" s="54" t="str">
        <f>IFERROR(VLOOKUP(VLOOKUP(N292,N292,1,1),Categories!$K$3:$V$17,7+VLOOKUP(K292,K292,1,1)),"-")</f>
        <v>1.5 rev.</v>
      </c>
      <c r="N292" s="55" t="s">
        <v>114</v>
      </c>
      <c r="O292" s="193" t="s">
        <v>0</v>
      </c>
      <c r="P292" s="202" t="s">
        <v>0</v>
      </c>
      <c r="Q292" s="149"/>
      <c r="R292" s="142"/>
      <c r="S292" s="142"/>
      <c r="T292" s="142"/>
      <c r="U292" s="145"/>
      <c r="V292" s="145"/>
      <c r="W292" s="146"/>
      <c r="X292" s="147"/>
      <c r="Y292" s="147"/>
      <c r="Z292" s="147"/>
      <c r="AA292" s="147"/>
      <c r="AB292" s="147"/>
      <c r="AC292" s="147"/>
      <c r="AD292" s="147"/>
      <c r="AE292" s="147"/>
      <c r="AF292" s="146"/>
      <c r="AG292" s="148"/>
      <c r="AH292" s="141"/>
      <c r="AI292" s="48"/>
      <c r="AJ292" s="56"/>
      <c r="AK292" s="56"/>
    </row>
    <row r="293" spans="1:37" ht="31.95" customHeight="1" x14ac:dyDescent="0.3">
      <c r="A293" s="12"/>
      <c r="B293" s="203"/>
      <c r="C293" s="49"/>
      <c r="D293" s="49">
        <f>IF(H293=Categories!$E$4,VLOOKUP(G293,Categories!$A$4:$C$13,3,1),VLOOKUP(H293,Categories!$E$4:$G$24,3,1))</f>
        <v>120</v>
      </c>
      <c r="E293" s="49"/>
      <c r="F293" s="44">
        <v>13</v>
      </c>
      <c r="G293" s="50" t="s">
        <v>44</v>
      </c>
      <c r="H293" s="45" t="s">
        <v>0</v>
      </c>
      <c r="I293" s="52"/>
      <c r="J293" s="130">
        <v>3100</v>
      </c>
      <c r="K293" s="53">
        <v>3</v>
      </c>
      <c r="L293" s="54" t="str">
        <f>IFERROR(VLOOKUP(VLOOKUP(N293,N293,1,1),Categories!$K$4:$V$17,2+VLOOKUP(K293,K293,1,1)),"-"  )</f>
        <v>~10</v>
      </c>
      <c r="M293" s="54" t="str">
        <f>IFERROR(VLOOKUP(VLOOKUP(N293,N293,1,1),Categories!$K$3:$V$17,7+VLOOKUP(K293,K293,1,1)),"-")</f>
        <v>1.5 rev.</v>
      </c>
      <c r="N293" s="55" t="s">
        <v>114</v>
      </c>
      <c r="O293" s="193" t="s">
        <v>0</v>
      </c>
      <c r="P293" s="202" t="s">
        <v>0</v>
      </c>
      <c r="Q293" s="149"/>
      <c r="R293" s="142"/>
      <c r="S293" s="142"/>
      <c r="T293" s="186"/>
      <c r="U293" s="145"/>
      <c r="V293" s="145"/>
      <c r="W293" s="146"/>
      <c r="X293" s="147"/>
      <c r="Y293" s="147"/>
      <c r="Z293" s="147"/>
      <c r="AA293" s="147"/>
      <c r="AB293" s="147"/>
      <c r="AC293" s="147"/>
      <c r="AD293" s="147"/>
      <c r="AE293" s="147"/>
      <c r="AF293" s="146"/>
      <c r="AG293" s="148"/>
      <c r="AH293" s="141"/>
      <c r="AI293" s="48"/>
      <c r="AJ293" s="56"/>
      <c r="AK293" s="56"/>
    </row>
    <row r="294" spans="1:37" ht="31.95" customHeight="1" x14ac:dyDescent="0.3">
      <c r="A294" s="12"/>
      <c r="B294" s="203"/>
      <c r="C294" s="49"/>
      <c r="D294" s="49">
        <f>IF(H294=Categories!$E$4,VLOOKUP(G294,Categories!$A$4:$C$13,3,1),VLOOKUP(H294,Categories!$E$4:$G$24,3,1))</f>
        <v>45</v>
      </c>
      <c r="E294" s="49"/>
      <c r="F294" s="44">
        <v>13</v>
      </c>
      <c r="G294" s="50" t="s">
        <v>243</v>
      </c>
      <c r="H294" s="51" t="s">
        <v>249</v>
      </c>
      <c r="I294" s="52"/>
      <c r="J294" s="130">
        <v>3100</v>
      </c>
      <c r="K294" s="53">
        <v>4</v>
      </c>
      <c r="L294" s="54" t="str">
        <f>IFERROR(VLOOKUP(VLOOKUP(N294,N294,1,1),Categories!$K$4:$V$17,2+VLOOKUP(K294,K294,1,1)),"-"  )</f>
        <v>~11</v>
      </c>
      <c r="M294" s="54" t="str">
        <f>IFERROR(VLOOKUP(VLOOKUP(N294,N294,1,1),Categories!$K$3:$V$17,7+VLOOKUP(K294,K294,1,1)),"-")</f>
        <v>2.0 rev.</v>
      </c>
      <c r="N294" s="55" t="s">
        <v>114</v>
      </c>
      <c r="O294" s="193" t="s">
        <v>0</v>
      </c>
      <c r="P294" s="202" t="s">
        <v>0</v>
      </c>
      <c r="Q294" s="149"/>
      <c r="R294" s="142"/>
      <c r="S294" s="142"/>
      <c r="T294" s="186"/>
      <c r="U294" s="145"/>
      <c r="V294" s="145"/>
      <c r="W294" s="146"/>
      <c r="X294" s="147"/>
      <c r="Y294" s="147"/>
      <c r="Z294" s="147"/>
      <c r="AA294" s="147"/>
      <c r="AB294" s="147"/>
      <c r="AC294" s="147"/>
      <c r="AD294" s="147"/>
      <c r="AE294" s="147"/>
      <c r="AF294" s="146"/>
      <c r="AG294" s="148"/>
      <c r="AH294" s="141"/>
      <c r="AI294" s="48"/>
      <c r="AJ294" s="56"/>
      <c r="AK294" s="56"/>
    </row>
    <row r="295" spans="1:37" ht="31.95" customHeight="1" x14ac:dyDescent="0.3">
      <c r="A295" s="12"/>
      <c r="B295" s="203"/>
      <c r="C295" s="49"/>
      <c r="D295" s="49">
        <f>IF(H295=Categories!$E$4,VLOOKUP(G295,Categories!$A$4:$C$13,3,1),VLOOKUP(H295,Categories!$E$4:$G$24,3,1))</f>
        <v>120</v>
      </c>
      <c r="E295" s="49"/>
      <c r="F295" s="44">
        <v>13</v>
      </c>
      <c r="G295" s="50" t="s">
        <v>44</v>
      </c>
      <c r="H295" s="45" t="s">
        <v>0</v>
      </c>
      <c r="I295" s="52"/>
      <c r="J295" s="130">
        <v>3100</v>
      </c>
      <c r="K295" s="53">
        <v>4</v>
      </c>
      <c r="L295" s="54" t="str">
        <f>IFERROR(VLOOKUP(VLOOKUP(N295,N295,1,1),Categories!$K$4:$V$17,2+VLOOKUP(K295,K295,1,1)),"-"  )</f>
        <v>~11</v>
      </c>
      <c r="M295" s="54" t="str">
        <f>IFERROR(VLOOKUP(VLOOKUP(N295,N295,1,1),Categories!$K$3:$V$17,7+VLOOKUP(K295,K295,1,1)),"-")</f>
        <v>2.0 rev.</v>
      </c>
      <c r="N295" s="55" t="s">
        <v>114</v>
      </c>
      <c r="O295" s="193" t="s">
        <v>0</v>
      </c>
      <c r="P295" s="202" t="s">
        <v>0</v>
      </c>
      <c r="Q295" s="149"/>
      <c r="R295" s="142"/>
      <c r="S295" s="142"/>
      <c r="T295" s="142"/>
      <c r="U295" s="145"/>
      <c r="V295" s="145"/>
      <c r="W295" s="146"/>
      <c r="X295" s="147"/>
      <c r="Y295" s="147"/>
      <c r="Z295" s="147"/>
      <c r="AA295" s="147"/>
      <c r="AB295" s="147"/>
      <c r="AC295" s="147"/>
      <c r="AD295" s="147"/>
      <c r="AE295" s="147"/>
      <c r="AF295" s="146"/>
      <c r="AG295" s="148"/>
      <c r="AH295" s="141"/>
      <c r="AI295" s="48"/>
      <c r="AJ295" s="56"/>
      <c r="AK295" s="56"/>
    </row>
    <row r="296" spans="1:37" ht="31.95" customHeight="1" x14ac:dyDescent="0.3">
      <c r="A296" s="12"/>
      <c r="B296" s="203"/>
      <c r="C296" s="49"/>
      <c r="D296" s="49">
        <f>IF(H296=Categories!$E$4,VLOOKUP(G296,Categories!$A$4:$C$13,3,1),VLOOKUP(H296,Categories!$E$4:$G$24,3,1))</f>
        <v>45</v>
      </c>
      <c r="E296" s="49"/>
      <c r="F296" s="44">
        <v>13</v>
      </c>
      <c r="G296" s="50" t="s">
        <v>243</v>
      </c>
      <c r="H296" s="51" t="s">
        <v>249</v>
      </c>
      <c r="I296" s="52"/>
      <c r="J296" s="130">
        <v>3100</v>
      </c>
      <c r="K296" s="53">
        <v>5</v>
      </c>
      <c r="L296" s="54" t="str">
        <f>IFERROR(VLOOKUP(VLOOKUP(N296,N296,1,1),Categories!$K$4:$V$17,2+VLOOKUP(K296,K296,1,1)),"-"  )</f>
        <v>~12</v>
      </c>
      <c r="M296" s="54" t="str">
        <f>IFERROR(VLOOKUP(VLOOKUP(N296,N296,1,1),Categories!$K$3:$V$17,7+VLOOKUP(K296,K296,1,1)),"-")</f>
        <v>2.5 rev.</v>
      </c>
      <c r="N296" s="55" t="s">
        <v>114</v>
      </c>
      <c r="O296" s="193" t="s">
        <v>0</v>
      </c>
      <c r="P296" s="202" t="s">
        <v>0</v>
      </c>
      <c r="Q296" s="149"/>
      <c r="R296" s="142"/>
      <c r="S296" s="142"/>
      <c r="T296" s="142"/>
      <c r="U296" s="145"/>
      <c r="V296" s="145"/>
      <c r="W296" s="146"/>
      <c r="X296" s="147"/>
      <c r="Y296" s="147"/>
      <c r="Z296" s="147"/>
      <c r="AA296" s="147"/>
      <c r="AB296" s="147"/>
      <c r="AC296" s="147"/>
      <c r="AD296" s="147"/>
      <c r="AE296" s="147"/>
      <c r="AF296" s="146"/>
      <c r="AG296" s="148"/>
      <c r="AH296" s="141"/>
      <c r="AI296" s="48"/>
      <c r="AJ296" s="56"/>
      <c r="AK296" s="56"/>
    </row>
    <row r="297" spans="1:37" ht="31.95" customHeight="1" x14ac:dyDescent="0.3">
      <c r="A297" s="12"/>
      <c r="B297" s="203"/>
      <c r="C297" s="49"/>
      <c r="D297" s="49">
        <f>IF(H297=Categories!$E$4,VLOOKUP(G297,Categories!$A$4:$C$13,3,1),VLOOKUP(H297,Categories!$E$4:$G$24,3,1))</f>
        <v>120</v>
      </c>
      <c r="E297" s="49"/>
      <c r="F297" s="44">
        <v>13</v>
      </c>
      <c r="G297" s="50" t="s">
        <v>44</v>
      </c>
      <c r="H297" s="45" t="s">
        <v>0</v>
      </c>
      <c r="I297" s="52"/>
      <c r="J297" s="130">
        <v>3100</v>
      </c>
      <c r="K297" s="53">
        <v>5</v>
      </c>
      <c r="L297" s="54" t="str">
        <f>IFERROR(VLOOKUP(VLOOKUP(N297,N297,1,1),Categories!$K$4:$V$17,2+VLOOKUP(K297,K297,1,1)),"-"  )</f>
        <v>~12</v>
      </c>
      <c r="M297" s="54" t="str">
        <f>IFERROR(VLOOKUP(VLOOKUP(N297,N297,1,1),Categories!$K$3:$V$17,7+VLOOKUP(K297,K297,1,1)),"-")</f>
        <v>2.5 rev.</v>
      </c>
      <c r="N297" s="55" t="s">
        <v>114</v>
      </c>
      <c r="O297" s="193" t="s">
        <v>0</v>
      </c>
      <c r="P297" s="202" t="s">
        <v>0</v>
      </c>
      <c r="Q297" s="149"/>
      <c r="R297" s="142"/>
      <c r="S297" s="142"/>
      <c r="T297" s="142"/>
      <c r="U297" s="145"/>
      <c r="V297" s="145"/>
      <c r="W297" s="146"/>
      <c r="X297" s="147"/>
      <c r="Y297" s="147"/>
      <c r="Z297" s="147"/>
      <c r="AA297" s="147"/>
      <c r="AB297" s="147"/>
      <c r="AC297" s="147"/>
      <c r="AD297" s="147"/>
      <c r="AE297" s="147"/>
      <c r="AF297" s="146"/>
      <c r="AG297" s="148"/>
      <c r="AH297" s="141"/>
      <c r="AI297" s="48"/>
      <c r="AJ297" s="56"/>
      <c r="AK297" s="56"/>
    </row>
    <row r="298" spans="1:37" ht="31.95" customHeight="1" x14ac:dyDescent="0.3">
      <c r="A298" s="12"/>
      <c r="B298" s="203"/>
      <c r="C298" s="49"/>
      <c r="D298" s="49">
        <f>IF(H298=Categories!$E$4,VLOOKUP(G298,Categories!$A$4:$C$13,3,1),VLOOKUP(H298,Categories!$E$4:$G$24,3,1))</f>
        <v>45</v>
      </c>
      <c r="E298" s="49"/>
      <c r="F298" s="44">
        <v>13</v>
      </c>
      <c r="G298" s="50" t="s">
        <v>243</v>
      </c>
      <c r="H298" s="51" t="s">
        <v>250</v>
      </c>
      <c r="I298" s="52"/>
      <c r="J298" s="130">
        <v>3100</v>
      </c>
      <c r="K298" s="53">
        <v>1</v>
      </c>
      <c r="L298" s="54">
        <f>IFERROR(VLOOKUP(VLOOKUP(N298,N298,1,1),Categories!$K$4:$V$17,2+VLOOKUP(K298,K298,1,1)),"-"  )</f>
        <v>2.33</v>
      </c>
      <c r="M298" s="54" t="str">
        <f>IFERROR(VLOOKUP(VLOOKUP(N298,N298,1,1),Categories!$K$3:$V$17,7+VLOOKUP(K298,K298,1,1)),"-")</f>
        <v>0 rev.</v>
      </c>
      <c r="N298" s="55" t="s">
        <v>114</v>
      </c>
      <c r="O298" s="193" t="s">
        <v>0</v>
      </c>
      <c r="P298" s="202" t="s">
        <v>0</v>
      </c>
      <c r="Q298" s="149"/>
      <c r="R298" s="142"/>
      <c r="S298" s="142"/>
      <c r="T298" s="142"/>
      <c r="U298" s="145"/>
      <c r="V298" s="145"/>
      <c r="W298" s="146"/>
      <c r="X298" s="147"/>
      <c r="Y298" s="147"/>
      <c r="Z298" s="147"/>
      <c r="AA298" s="147"/>
      <c r="AB298" s="147"/>
      <c r="AC298" s="147"/>
      <c r="AD298" s="147"/>
      <c r="AE298" s="147"/>
      <c r="AF298" s="146"/>
      <c r="AG298" s="148"/>
      <c r="AH298" s="141"/>
      <c r="AI298" s="48"/>
      <c r="AJ298" s="56"/>
      <c r="AK298" s="56"/>
    </row>
    <row r="299" spans="1:37" ht="31.95" customHeight="1" x14ac:dyDescent="0.3">
      <c r="A299" s="12"/>
      <c r="B299" s="203"/>
      <c r="C299" s="49"/>
      <c r="D299" s="49">
        <f>IF(H299=Categories!$E$4,VLOOKUP(G299,Categories!$A$4:$C$13,3,1),VLOOKUP(H299,Categories!$E$4:$G$24,3,1))</f>
        <v>120</v>
      </c>
      <c r="E299" s="49"/>
      <c r="F299" s="44">
        <v>13</v>
      </c>
      <c r="G299" s="50" t="s">
        <v>247</v>
      </c>
      <c r="H299" s="45" t="s">
        <v>0</v>
      </c>
      <c r="I299" s="52"/>
      <c r="J299" s="130">
        <v>3100</v>
      </c>
      <c r="K299" s="53">
        <v>1</v>
      </c>
      <c r="L299" s="54">
        <f>IFERROR(VLOOKUP(VLOOKUP(N299,N299,1,1),Categories!$K$4:$V$17,2+VLOOKUP(K299,K299,1,1)),"-"  )</f>
        <v>2.33</v>
      </c>
      <c r="M299" s="54" t="str">
        <f>IFERROR(VLOOKUP(VLOOKUP(N299,N299,1,1),Categories!$K$3:$V$17,7+VLOOKUP(K299,K299,1,1)),"-")</f>
        <v>0 rev.</v>
      </c>
      <c r="N299" s="55" t="s">
        <v>114</v>
      </c>
      <c r="O299" s="193" t="s">
        <v>0</v>
      </c>
      <c r="P299" s="202" t="s">
        <v>0</v>
      </c>
      <c r="Q299" s="149"/>
      <c r="R299" s="142"/>
      <c r="S299" s="142"/>
      <c r="T299" s="142"/>
      <c r="U299" s="145"/>
      <c r="V299" s="145"/>
      <c r="W299" s="146"/>
      <c r="X299" s="147"/>
      <c r="Y299" s="147"/>
      <c r="Z299" s="147"/>
      <c r="AA299" s="147"/>
      <c r="AB299" s="147"/>
      <c r="AC299" s="147"/>
      <c r="AD299" s="147"/>
      <c r="AE299" s="147"/>
      <c r="AF299" s="146"/>
      <c r="AG299" s="148"/>
      <c r="AH299" s="141"/>
      <c r="AI299" s="48"/>
      <c r="AJ299" s="56"/>
      <c r="AK299" s="56"/>
    </row>
    <row r="300" spans="1:37" ht="31.95" customHeight="1" x14ac:dyDescent="0.3">
      <c r="A300" s="12"/>
      <c r="B300" s="203"/>
      <c r="C300" s="49"/>
      <c r="D300" s="49">
        <f>IF(H300=Categories!$E$4,VLOOKUP(G300,Categories!$A$4:$C$13,3,1),VLOOKUP(H300,Categories!$E$4:$G$24,3,1))</f>
        <v>45</v>
      </c>
      <c r="E300" s="49"/>
      <c r="F300" s="44" t="s">
        <v>0</v>
      </c>
      <c r="G300" s="50" t="s">
        <v>3</v>
      </c>
      <c r="H300" s="51" t="s">
        <v>2</v>
      </c>
      <c r="I300" s="52"/>
      <c r="J300" s="130">
        <v>2200</v>
      </c>
      <c r="K300" s="53">
        <v>1</v>
      </c>
      <c r="L300" s="54">
        <f>IFERROR(VLOOKUP(VLOOKUP(N300,N300,1,1),Categories!$K$4:$V$17,2+VLOOKUP(K300,K300,1,1)),"-"  )</f>
        <v>2.33</v>
      </c>
      <c r="M300" s="54" t="str">
        <f>IFERROR(VLOOKUP(VLOOKUP(N300,N300,1,1),Categories!$K$3:$V$17,7+VLOOKUP(K300,K300,1,1)),"-")</f>
        <v>0 rev.</v>
      </c>
      <c r="N300" s="55" t="s">
        <v>114</v>
      </c>
      <c r="O300" s="193" t="s">
        <v>0</v>
      </c>
      <c r="P300" s="202" t="s">
        <v>0</v>
      </c>
      <c r="Q300" s="149"/>
      <c r="R300" s="142"/>
      <c r="S300" s="142"/>
      <c r="T300" s="142"/>
      <c r="U300" s="145"/>
      <c r="V300" s="145"/>
      <c r="W300" s="146"/>
      <c r="X300" s="147"/>
      <c r="Y300" s="147"/>
      <c r="Z300" s="147"/>
      <c r="AA300" s="147"/>
      <c r="AB300" s="147"/>
      <c r="AC300" s="147"/>
      <c r="AD300" s="147"/>
      <c r="AE300" s="147"/>
      <c r="AF300" s="146"/>
      <c r="AG300" s="148"/>
      <c r="AH300" s="141"/>
      <c r="AI300" s="48"/>
      <c r="AJ300" s="56"/>
      <c r="AK300" s="56"/>
    </row>
    <row r="301" spans="1:37" ht="31.95" customHeight="1" x14ac:dyDescent="0.3">
      <c r="A301" s="183"/>
      <c r="B301" s="204"/>
      <c r="C301" s="49"/>
      <c r="D301" s="49" t="str">
        <f>IF(H301=Categories!$E$4,VLOOKUP(G301,Categories!$A$4:$C$13,3,1),VLOOKUP(H301,Categories!$E$4:$G$24,3,1))</f>
        <v>-</v>
      </c>
      <c r="E301" s="49"/>
      <c r="F301" s="44" t="s">
        <v>0</v>
      </c>
      <c r="G301" s="50" t="s">
        <v>3</v>
      </c>
      <c r="H301" s="51" t="s">
        <v>62</v>
      </c>
      <c r="I301" s="52"/>
      <c r="J301" s="130">
        <v>2200</v>
      </c>
      <c r="K301" s="53" t="s">
        <v>0</v>
      </c>
      <c r="L301" s="54" t="str">
        <f>IFERROR(VLOOKUP(VLOOKUP(N301,N301,1,1),Categories!$K$4:$V$17,2+VLOOKUP(K301,K301,1,1)),"-"  )</f>
        <v>-</v>
      </c>
      <c r="M301" s="54" t="str">
        <f>IFERROR(VLOOKUP(VLOOKUP(N301,N301,1,1),Categories!$K$3:$V$17,7+VLOOKUP(K301,K301,1,1)),"-")</f>
        <v>-</v>
      </c>
      <c r="N301" s="55" t="s">
        <v>0</v>
      </c>
      <c r="O301" s="193" t="s">
        <v>0</v>
      </c>
      <c r="P301" s="202" t="s">
        <v>0</v>
      </c>
      <c r="Q301" s="185"/>
      <c r="R301" s="186"/>
      <c r="S301" s="186"/>
      <c r="T301" s="186"/>
      <c r="U301" s="187"/>
      <c r="V301" s="187"/>
      <c r="W301" s="188"/>
      <c r="X301" s="189"/>
      <c r="Y301" s="189"/>
      <c r="Z301" s="189"/>
      <c r="AA301" s="189"/>
      <c r="AB301" s="189"/>
      <c r="AC301" s="189"/>
      <c r="AD301" s="189"/>
      <c r="AE301" s="189"/>
      <c r="AF301" s="188"/>
      <c r="AG301" s="190"/>
      <c r="AH301" s="141"/>
      <c r="AI301" s="56"/>
      <c r="AJ301" s="56"/>
      <c r="AK301" s="56"/>
    </row>
    <row r="302" spans="1:37" ht="31.95" customHeight="1" x14ac:dyDescent="0.3">
      <c r="A302" s="183"/>
      <c r="B302" s="184"/>
      <c r="C302" s="49"/>
      <c r="D302" s="49">
        <f>IF(H302=Categories!$E$4,VLOOKUP(G302,Categories!$A$4:$C$13,3,1),VLOOKUP(H302,Categories!$E$4:$G$24,3,1))</f>
        <v>60</v>
      </c>
      <c r="E302" s="49"/>
      <c r="F302" s="44">
        <v>22</v>
      </c>
      <c r="G302" s="50" t="s">
        <v>245</v>
      </c>
      <c r="H302" s="51" t="s">
        <v>0</v>
      </c>
      <c r="I302" s="52"/>
      <c r="J302" s="130">
        <v>3100</v>
      </c>
      <c r="K302" s="53" t="s">
        <v>0</v>
      </c>
      <c r="L302" s="54" t="str">
        <f>IFERROR(VLOOKUP(VLOOKUP(N302,N302,1,1),Categories!$K$4:$V$17,2+VLOOKUP(K302,K302,1,1)),"-"  )</f>
        <v>-</v>
      </c>
      <c r="M302" s="54" t="str">
        <f>IFERROR(VLOOKUP(VLOOKUP(N302,N302,1,1),Categories!$K$3:$V$17,7+VLOOKUP(K302,K302,1,1)),"-")</f>
        <v>-</v>
      </c>
      <c r="N302" s="55" t="s">
        <v>0</v>
      </c>
      <c r="O302" s="193" t="s">
        <v>0</v>
      </c>
      <c r="P302" s="202" t="s">
        <v>0</v>
      </c>
      <c r="Q302" s="185"/>
      <c r="R302" s="186"/>
      <c r="S302" s="186"/>
      <c r="U302" s="187"/>
      <c r="V302" s="187"/>
      <c r="W302" s="188"/>
      <c r="X302" s="189"/>
      <c r="Y302" s="189"/>
      <c r="Z302" s="189"/>
      <c r="AA302" s="189"/>
      <c r="AB302" s="189"/>
      <c r="AC302" s="189"/>
      <c r="AD302" s="189"/>
      <c r="AE302" s="189"/>
      <c r="AF302" s="188"/>
      <c r="AG302" s="190"/>
      <c r="AH302" s="141"/>
      <c r="AI302" s="56"/>
      <c r="AJ302" s="56"/>
      <c r="AK302" s="56" t="s">
        <v>251</v>
      </c>
    </row>
    <row r="303" spans="1:37" ht="31.95" customHeight="1" x14ac:dyDescent="0.3">
      <c r="A303" s="183"/>
      <c r="B303" s="184"/>
      <c r="C303" s="49"/>
      <c r="D303" s="49">
        <f>IF(H303=Categories!$E$4,VLOOKUP(G303,Categories!$A$4:$C$13,3,1),VLOOKUP(H303,Categories!$E$4:$G$24,3,1))</f>
        <v>45</v>
      </c>
      <c r="E303" s="49"/>
      <c r="F303" s="44">
        <v>22</v>
      </c>
      <c r="G303" s="50" t="s">
        <v>243</v>
      </c>
      <c r="H303" s="51" t="s">
        <v>2</v>
      </c>
      <c r="I303" s="52"/>
      <c r="J303" s="130">
        <v>2800</v>
      </c>
      <c r="K303" s="53" t="s">
        <v>0</v>
      </c>
      <c r="L303" s="54" t="str">
        <f>IFERROR(VLOOKUP(VLOOKUP(N303,N303,1,1),Categories!$K$4:$V$17,2+VLOOKUP(K303,K303,1,1)),"-"  )</f>
        <v>-</v>
      </c>
      <c r="M303" s="54" t="str">
        <f>IFERROR(VLOOKUP(VLOOKUP(N303,N303,1,1),Categories!$K$3:$V$17,7+VLOOKUP(K303,K303,1,1)),"-")</f>
        <v>-</v>
      </c>
      <c r="N303" s="55" t="s">
        <v>0</v>
      </c>
      <c r="O303" s="193" t="s">
        <v>0</v>
      </c>
      <c r="P303" s="202" t="s">
        <v>0</v>
      </c>
      <c r="Q303" s="185"/>
      <c r="R303" s="186"/>
      <c r="S303" s="186"/>
      <c r="U303" s="187"/>
      <c r="V303" s="187"/>
      <c r="W303" s="188"/>
      <c r="X303" s="189"/>
      <c r="Y303" s="189"/>
      <c r="Z303" s="189"/>
      <c r="AA303" s="189"/>
      <c r="AB303" s="189"/>
      <c r="AC303" s="189"/>
      <c r="AD303" s="189"/>
      <c r="AE303" s="189"/>
      <c r="AF303" s="188"/>
      <c r="AG303" s="190"/>
      <c r="AH303" s="141"/>
      <c r="AI303" s="56"/>
      <c r="AJ303" s="56"/>
      <c r="AK303" s="56" t="s">
        <v>251</v>
      </c>
    </row>
    <row r="304" spans="1:37" ht="31.95" customHeight="1" x14ac:dyDescent="0.3">
      <c r="A304" s="183"/>
      <c r="B304" s="184"/>
      <c r="C304" s="49"/>
      <c r="D304" s="49">
        <f>IF(H304=Categories!$E$4,VLOOKUP(G304,Categories!$A$4:$C$13,3,1),VLOOKUP(H304,Categories!$E$4:$G$24,3,1))</f>
        <v>60</v>
      </c>
      <c r="E304" s="49"/>
      <c r="F304" s="44">
        <v>22</v>
      </c>
      <c r="G304" s="50" t="s">
        <v>245</v>
      </c>
      <c r="H304" s="51" t="s">
        <v>0</v>
      </c>
      <c r="I304" s="52"/>
      <c r="J304" s="130">
        <v>2800</v>
      </c>
      <c r="K304" s="53" t="s">
        <v>0</v>
      </c>
      <c r="L304" s="54" t="str">
        <f>IFERROR(VLOOKUP(VLOOKUP(N304,N304,1,1),Categories!$K$4:$V$17,2+VLOOKUP(K304,K304,1,1)),"-"  )</f>
        <v>-</v>
      </c>
      <c r="M304" s="54" t="str">
        <f>IFERROR(VLOOKUP(VLOOKUP(N304,N304,1,1),Categories!$K$3:$V$17,7+VLOOKUP(K304,K304,1,1)),"-")</f>
        <v>-</v>
      </c>
      <c r="N304" s="55" t="s">
        <v>0</v>
      </c>
      <c r="O304" s="193" t="s">
        <v>0</v>
      </c>
      <c r="P304" s="202" t="s">
        <v>0</v>
      </c>
      <c r="Q304" s="185"/>
      <c r="R304" s="186"/>
      <c r="S304" s="186"/>
      <c r="U304" s="187"/>
      <c r="V304" s="187"/>
      <c r="W304" s="188"/>
      <c r="X304" s="189"/>
      <c r="Y304" s="189"/>
      <c r="Z304" s="189"/>
      <c r="AA304" s="189"/>
      <c r="AB304" s="189"/>
      <c r="AC304" s="189"/>
      <c r="AD304" s="189"/>
      <c r="AE304" s="189"/>
      <c r="AF304" s="188"/>
      <c r="AG304" s="190"/>
      <c r="AH304" s="141"/>
      <c r="AI304" s="56"/>
      <c r="AJ304" s="56"/>
      <c r="AK304" s="56" t="s">
        <v>251</v>
      </c>
    </row>
    <row r="305" spans="1:37" ht="31.95" customHeight="1" x14ac:dyDescent="0.3">
      <c r="A305" s="183"/>
      <c r="B305" s="184"/>
      <c r="C305" s="49"/>
      <c r="D305" s="49">
        <f>IF(H305=Categories!$E$4,VLOOKUP(G305,Categories!$A$4:$C$13,3,1),VLOOKUP(H305,Categories!$E$4:$G$24,3,1))</f>
        <v>45</v>
      </c>
      <c r="E305" s="49"/>
      <c r="F305" s="44">
        <v>22</v>
      </c>
      <c r="G305" s="50" t="s">
        <v>243</v>
      </c>
      <c r="H305" s="51" t="s">
        <v>2</v>
      </c>
      <c r="I305" s="52"/>
      <c r="J305" s="130">
        <v>2500</v>
      </c>
      <c r="K305" s="53" t="s">
        <v>0</v>
      </c>
      <c r="L305" s="54" t="str">
        <f>IFERROR(VLOOKUP(VLOOKUP(N305,N305,1,1),Categories!$K$4:$V$17,2+VLOOKUP(K305,K305,1,1)),"-"  )</f>
        <v>-</v>
      </c>
      <c r="M305" s="54" t="str">
        <f>IFERROR(VLOOKUP(VLOOKUP(N305,N305,1,1),Categories!$K$3:$V$17,7+VLOOKUP(K305,K305,1,1)),"-")</f>
        <v>-</v>
      </c>
      <c r="N305" s="55" t="s">
        <v>0</v>
      </c>
      <c r="O305" s="193" t="s">
        <v>0</v>
      </c>
      <c r="P305" s="202" t="s">
        <v>0</v>
      </c>
      <c r="Q305" s="185"/>
      <c r="R305" s="186"/>
      <c r="S305" s="186"/>
      <c r="U305" s="187"/>
      <c r="V305" s="187"/>
      <c r="W305" s="188"/>
      <c r="X305" s="189"/>
      <c r="Y305" s="189"/>
      <c r="Z305" s="189"/>
      <c r="AA305" s="189"/>
      <c r="AB305" s="189"/>
      <c r="AC305" s="189"/>
      <c r="AD305" s="189"/>
      <c r="AE305" s="189"/>
      <c r="AF305" s="188"/>
      <c r="AG305" s="190"/>
      <c r="AH305" s="141"/>
      <c r="AI305" s="56"/>
      <c r="AJ305" s="56"/>
      <c r="AK305" s="56" t="s">
        <v>251</v>
      </c>
    </row>
    <row r="306" spans="1:37" ht="31.95" customHeight="1" x14ac:dyDescent="0.3">
      <c r="A306" s="183"/>
      <c r="B306" s="184"/>
      <c r="C306" s="49"/>
      <c r="D306" s="49">
        <f>IF(H306=Categories!$E$4,VLOOKUP(G306,Categories!$A$4:$C$13,3,1),VLOOKUP(H306,Categories!$E$4:$G$24,3,1))</f>
        <v>60</v>
      </c>
      <c r="E306" s="49"/>
      <c r="F306" s="44">
        <v>22</v>
      </c>
      <c r="G306" s="50" t="s">
        <v>245</v>
      </c>
      <c r="H306" s="51" t="s">
        <v>0</v>
      </c>
      <c r="I306" s="52"/>
      <c r="J306" s="130">
        <v>2500</v>
      </c>
      <c r="K306" s="53" t="s">
        <v>0</v>
      </c>
      <c r="L306" s="54" t="str">
        <f>IFERROR(VLOOKUP(VLOOKUP(N306,N306,1,1),Categories!$K$4:$V$17,2+VLOOKUP(K306,K306,1,1)),"-"  )</f>
        <v>-</v>
      </c>
      <c r="M306" s="54" t="str">
        <f>IFERROR(VLOOKUP(VLOOKUP(N306,N306,1,1),Categories!$K$3:$V$17,7+VLOOKUP(K306,K306,1,1)),"-")</f>
        <v>-</v>
      </c>
      <c r="N306" s="55" t="s">
        <v>0</v>
      </c>
      <c r="O306" s="193" t="s">
        <v>0</v>
      </c>
      <c r="P306" s="202" t="s">
        <v>0</v>
      </c>
      <c r="Q306" s="185"/>
      <c r="R306" s="186"/>
      <c r="S306" s="186"/>
      <c r="U306" s="187"/>
      <c r="V306" s="187"/>
      <c r="W306" s="188"/>
      <c r="X306" s="189"/>
      <c r="Y306" s="189"/>
      <c r="Z306" s="189"/>
      <c r="AA306" s="189"/>
      <c r="AB306" s="189"/>
      <c r="AC306" s="189"/>
      <c r="AD306" s="189"/>
      <c r="AE306" s="189"/>
      <c r="AF306" s="188"/>
      <c r="AG306" s="190"/>
      <c r="AH306" s="141"/>
      <c r="AI306" s="56"/>
      <c r="AJ306" s="56"/>
      <c r="AK306" s="56" t="s">
        <v>251</v>
      </c>
    </row>
    <row r="307" spans="1:37" ht="31.95" customHeight="1" x14ac:dyDescent="0.3">
      <c r="A307" s="183"/>
      <c r="B307" s="184"/>
      <c r="C307" s="49"/>
      <c r="D307" s="49">
        <f>IF(H307=Categories!$E$4,VLOOKUP(G307,Categories!$A$4:$C$13,3,1),VLOOKUP(H307,Categories!$E$4:$G$24,3,1))</f>
        <v>45</v>
      </c>
      <c r="E307" s="49"/>
      <c r="F307" s="44">
        <v>22</v>
      </c>
      <c r="G307" s="50" t="s">
        <v>243</v>
      </c>
      <c r="H307" s="51" t="s">
        <v>2</v>
      </c>
      <c r="I307" s="52"/>
      <c r="J307" s="130">
        <v>2200</v>
      </c>
      <c r="K307" s="53" t="s">
        <v>0</v>
      </c>
      <c r="L307" s="54" t="str">
        <f>IFERROR(VLOOKUP(VLOOKUP(N307,N307,1,1),Categories!$K$4:$V$17,2+VLOOKUP(K307,K307,1,1)),"-"  )</f>
        <v>-</v>
      </c>
      <c r="M307" s="54" t="str">
        <f>IFERROR(VLOOKUP(VLOOKUP(N307,N307,1,1),Categories!$K$3:$V$17,7+VLOOKUP(K307,K307,1,1)),"-")</f>
        <v>-</v>
      </c>
      <c r="N307" s="55" t="s">
        <v>0</v>
      </c>
      <c r="O307" s="193" t="s">
        <v>0</v>
      </c>
      <c r="P307" s="202" t="s">
        <v>0</v>
      </c>
      <c r="Q307" s="185"/>
      <c r="R307" s="186"/>
      <c r="S307" s="186"/>
      <c r="U307" s="187"/>
      <c r="V307" s="187"/>
      <c r="W307" s="188"/>
      <c r="X307" s="189"/>
      <c r="Y307" s="189"/>
      <c r="Z307" s="189"/>
      <c r="AA307" s="189"/>
      <c r="AB307" s="189"/>
      <c r="AC307" s="189"/>
      <c r="AD307" s="189"/>
      <c r="AE307" s="189"/>
      <c r="AF307" s="188"/>
      <c r="AG307" s="190"/>
      <c r="AH307" s="141"/>
      <c r="AI307" s="56"/>
      <c r="AJ307" s="56"/>
      <c r="AK307" s="56" t="s">
        <v>251</v>
      </c>
    </row>
    <row r="308" spans="1:37" ht="31.95" customHeight="1" x14ac:dyDescent="0.3">
      <c r="A308" s="183"/>
      <c r="B308" s="184"/>
      <c r="C308" s="49"/>
      <c r="D308" s="49">
        <f>IF(H308=Categories!$E$4,VLOOKUP(G308,Categories!$A$4:$C$13,3,1),VLOOKUP(H308,Categories!$E$4:$G$24,3,1))</f>
        <v>60</v>
      </c>
      <c r="E308" s="49"/>
      <c r="F308" s="44">
        <v>22</v>
      </c>
      <c r="G308" s="50" t="s">
        <v>245</v>
      </c>
      <c r="H308" s="51" t="s">
        <v>0</v>
      </c>
      <c r="I308" s="52"/>
      <c r="J308" s="130">
        <v>2200</v>
      </c>
      <c r="K308" s="53" t="s">
        <v>0</v>
      </c>
      <c r="L308" s="54" t="str">
        <f>IFERROR(VLOOKUP(VLOOKUP(N308,N308,1,1),Categories!$K$4:$V$17,2+VLOOKUP(K308,K308,1,1)),"-"  )</f>
        <v>-</v>
      </c>
      <c r="M308" s="54" t="str">
        <f>IFERROR(VLOOKUP(VLOOKUP(N308,N308,1,1),Categories!$K$3:$V$17,7+VLOOKUP(K308,K308,1,1)),"-")</f>
        <v>-</v>
      </c>
      <c r="N308" s="55" t="s">
        <v>0</v>
      </c>
      <c r="O308" s="193" t="s">
        <v>0</v>
      </c>
      <c r="P308" s="202" t="s">
        <v>0</v>
      </c>
      <c r="Q308" s="185"/>
      <c r="R308" s="186"/>
      <c r="S308" s="186"/>
      <c r="U308" s="187"/>
      <c r="V308" s="187"/>
      <c r="W308" s="188"/>
      <c r="X308" s="189"/>
      <c r="Y308" s="189"/>
      <c r="Z308" s="189"/>
      <c r="AA308" s="189"/>
      <c r="AB308" s="189"/>
      <c r="AC308" s="189"/>
      <c r="AD308" s="189"/>
      <c r="AE308" s="189"/>
      <c r="AF308" s="188"/>
      <c r="AG308" s="190"/>
      <c r="AH308" s="141"/>
      <c r="AI308" s="56"/>
      <c r="AJ308" s="56"/>
      <c r="AK308" s="56" t="s">
        <v>251</v>
      </c>
    </row>
    <row r="309" spans="1:37" ht="31.95" customHeight="1" x14ac:dyDescent="0.3">
      <c r="A309" s="183"/>
      <c r="B309" s="184"/>
      <c r="C309" s="49"/>
      <c r="D309" s="49">
        <f>IF(H309=Categories!$E$4,VLOOKUP(G309,Categories!$A$4:$C$13,3,1),VLOOKUP(H309,Categories!$E$4:$G$24,3,1))</f>
        <v>45</v>
      </c>
      <c r="E309" s="49"/>
      <c r="F309" s="44">
        <v>22</v>
      </c>
      <c r="G309" s="50" t="s">
        <v>243</v>
      </c>
      <c r="H309" s="51" t="s">
        <v>2</v>
      </c>
      <c r="I309" s="52"/>
      <c r="J309" s="130">
        <v>2100</v>
      </c>
      <c r="K309" s="53" t="s">
        <v>0</v>
      </c>
      <c r="L309" s="54" t="str">
        <f>IFERROR(VLOOKUP(VLOOKUP(N309,N309,1,1),Categories!$K$4:$V$17,2+VLOOKUP(K309,K309,1,1)),"-"  )</f>
        <v>-</v>
      </c>
      <c r="M309" s="54" t="str">
        <f>IFERROR(VLOOKUP(VLOOKUP(N309,N309,1,1),Categories!$K$3:$V$17,7+VLOOKUP(K309,K309,1,1)),"-")</f>
        <v>-</v>
      </c>
      <c r="N309" s="55" t="s">
        <v>0</v>
      </c>
      <c r="O309" s="193" t="s">
        <v>0</v>
      </c>
      <c r="P309" s="202" t="s">
        <v>0</v>
      </c>
      <c r="Q309" s="185"/>
      <c r="R309" s="186"/>
      <c r="S309" s="186"/>
      <c r="U309" s="187"/>
      <c r="V309" s="187"/>
      <c r="W309" s="188"/>
      <c r="X309" s="189"/>
      <c r="Y309" s="189"/>
      <c r="Z309" s="189"/>
      <c r="AA309" s="189"/>
      <c r="AB309" s="189"/>
      <c r="AC309" s="189"/>
      <c r="AD309" s="189"/>
      <c r="AE309" s="189"/>
      <c r="AF309" s="188"/>
      <c r="AG309" s="190"/>
      <c r="AH309" s="141"/>
      <c r="AI309" s="56"/>
      <c r="AJ309" s="56"/>
      <c r="AK309" s="56" t="s">
        <v>251</v>
      </c>
    </row>
    <row r="310" spans="1:37" ht="31.95" customHeight="1" x14ac:dyDescent="0.3">
      <c r="A310" s="183"/>
      <c r="B310" s="184"/>
      <c r="C310" s="49"/>
      <c r="D310" s="49">
        <f>IF(H310=Categories!$E$4,VLOOKUP(G310,Categories!$A$4:$C$13,3,1),VLOOKUP(H310,Categories!$E$4:$G$24,3,1))</f>
        <v>120</v>
      </c>
      <c r="E310" s="49"/>
      <c r="F310" s="44">
        <v>22</v>
      </c>
      <c r="G310" s="50" t="s">
        <v>1</v>
      </c>
      <c r="H310" s="51" t="s">
        <v>0</v>
      </c>
      <c r="I310" s="52"/>
      <c r="J310" s="130">
        <v>2100</v>
      </c>
      <c r="K310" s="53" t="s">
        <v>0</v>
      </c>
      <c r="L310" s="54" t="str">
        <f>IFERROR(VLOOKUP(VLOOKUP(N310,N310,1,1),Categories!$K$4:$V$17,2+VLOOKUP(K310,K310,1,1)),"-"  )</f>
        <v>-</v>
      </c>
      <c r="M310" s="54" t="str">
        <f>IFERROR(VLOOKUP(VLOOKUP(N310,N310,1,1),Categories!$K$3:$V$17,7+VLOOKUP(K310,K310,1,1)),"-")</f>
        <v>-</v>
      </c>
      <c r="N310" s="55" t="s">
        <v>0</v>
      </c>
      <c r="O310" s="193" t="s">
        <v>0</v>
      </c>
      <c r="P310" s="202" t="s">
        <v>0</v>
      </c>
      <c r="Q310" s="185"/>
      <c r="R310" s="186"/>
      <c r="S310" s="186"/>
      <c r="U310" s="187"/>
      <c r="V310" s="187"/>
      <c r="W310" s="188"/>
      <c r="X310" s="189"/>
      <c r="Y310" s="189"/>
      <c r="Z310" s="189"/>
      <c r="AA310" s="189"/>
      <c r="AB310" s="189"/>
      <c r="AC310" s="189"/>
      <c r="AD310" s="189"/>
      <c r="AE310" s="189"/>
      <c r="AF310" s="188"/>
      <c r="AG310" s="190"/>
      <c r="AH310" s="141"/>
      <c r="AI310" s="56"/>
      <c r="AJ310" s="56"/>
      <c r="AK310" s="56" t="s">
        <v>252</v>
      </c>
    </row>
    <row r="311" spans="1:37" ht="31.95" customHeight="1" x14ac:dyDescent="0.3">
      <c r="A311" s="183"/>
      <c r="B311" s="184"/>
      <c r="C311" s="49"/>
      <c r="D311" s="49">
        <f>IF(H311=Categories!$E$4,VLOOKUP(G311,Categories!$A$4:$C$13,3,1),VLOOKUP(H311,Categories!$E$4:$G$24,3,1))</f>
        <v>45</v>
      </c>
      <c r="E311" s="49"/>
      <c r="F311" s="44">
        <v>23</v>
      </c>
      <c r="G311" s="50" t="s">
        <v>243</v>
      </c>
      <c r="H311" s="51" t="s">
        <v>2</v>
      </c>
      <c r="I311" s="52"/>
      <c r="J311" s="130">
        <v>2300</v>
      </c>
      <c r="K311" s="53" t="s">
        <v>0</v>
      </c>
      <c r="L311" s="54" t="str">
        <f>IFERROR(VLOOKUP(VLOOKUP(N311,N311,1,1),Categories!$K$4:$V$17,2+VLOOKUP(K311,K311,1,1)),"-"  )</f>
        <v>-</v>
      </c>
      <c r="M311" s="54" t="str">
        <f>IFERROR(VLOOKUP(VLOOKUP(N311,N311,1,1),Categories!$K$3:$V$17,7+VLOOKUP(K311,K311,1,1)),"-")</f>
        <v>-</v>
      </c>
      <c r="N311" s="55" t="s">
        <v>0</v>
      </c>
      <c r="O311" s="193" t="s">
        <v>0</v>
      </c>
      <c r="P311" s="202" t="s">
        <v>0</v>
      </c>
      <c r="Q311" s="185"/>
      <c r="R311" s="186"/>
      <c r="S311" s="186"/>
      <c r="U311" s="187"/>
      <c r="V311" s="187"/>
      <c r="W311" s="188"/>
      <c r="X311" s="189"/>
      <c r="Y311" s="189"/>
      <c r="Z311" s="189"/>
      <c r="AA311" s="189"/>
      <c r="AB311" s="189"/>
      <c r="AC311" s="189"/>
      <c r="AD311" s="189"/>
      <c r="AE311" s="189"/>
      <c r="AF311" s="188"/>
      <c r="AG311" s="190"/>
      <c r="AH311" s="141"/>
      <c r="AI311" s="56"/>
      <c r="AJ311" s="56"/>
      <c r="AK311" s="56" t="s">
        <v>252</v>
      </c>
    </row>
    <row r="312" spans="1:37" ht="31.95" customHeight="1" x14ac:dyDescent="0.3">
      <c r="A312" s="183"/>
      <c r="B312" s="184"/>
      <c r="C312" s="49"/>
      <c r="D312" s="49">
        <f>IF(H312=Categories!$E$4,VLOOKUP(G312,Categories!$A$4:$C$13,3,1),VLOOKUP(H312,Categories!$E$4:$G$24,3,1))</f>
        <v>60</v>
      </c>
      <c r="E312" s="49"/>
      <c r="F312" s="44">
        <v>23</v>
      </c>
      <c r="G312" s="50" t="s">
        <v>245</v>
      </c>
      <c r="H312" s="51" t="s">
        <v>0</v>
      </c>
      <c r="I312" s="52"/>
      <c r="J312" s="130">
        <v>2300</v>
      </c>
      <c r="K312" s="53" t="s">
        <v>0</v>
      </c>
      <c r="L312" s="54" t="str">
        <f>IFERROR(VLOOKUP(VLOOKUP(N312,N312,1,1),Categories!$K$4:$V$17,2+VLOOKUP(K312,K312,1,1)),"-"  )</f>
        <v>-</v>
      </c>
      <c r="M312" s="54" t="str">
        <f>IFERROR(VLOOKUP(VLOOKUP(N312,N312,1,1),Categories!$K$3:$V$17,7+VLOOKUP(K312,K312,1,1)),"-")</f>
        <v>-</v>
      </c>
      <c r="N312" s="55" t="s">
        <v>0</v>
      </c>
      <c r="O312" s="193" t="s">
        <v>0</v>
      </c>
      <c r="P312" s="202" t="s">
        <v>0</v>
      </c>
      <c r="Q312" s="185"/>
      <c r="R312" s="186"/>
      <c r="S312" s="186"/>
      <c r="U312" s="187"/>
      <c r="V312" s="187"/>
      <c r="W312" s="188"/>
      <c r="X312" s="189"/>
      <c r="Y312" s="189"/>
      <c r="Z312" s="189"/>
      <c r="AA312" s="189"/>
      <c r="AB312" s="189"/>
      <c r="AC312" s="189"/>
      <c r="AD312" s="189"/>
      <c r="AE312" s="189"/>
      <c r="AF312" s="188"/>
      <c r="AG312" s="190"/>
      <c r="AH312" s="141"/>
      <c r="AI312" s="56"/>
      <c r="AJ312" s="56"/>
      <c r="AK312" s="56" t="s">
        <v>252</v>
      </c>
    </row>
    <row r="313" spans="1:37" ht="31.95" customHeight="1" x14ac:dyDescent="0.3">
      <c r="A313" s="183"/>
      <c r="B313" s="184"/>
      <c r="C313" s="49"/>
      <c r="D313" s="49">
        <f>IF(H313=Categories!$E$4,VLOOKUP(G313,Categories!$A$4:$C$13,3,1),VLOOKUP(H313,Categories!$E$4:$G$24,3,1))</f>
        <v>45</v>
      </c>
      <c r="E313" s="49"/>
      <c r="F313" s="44">
        <v>23</v>
      </c>
      <c r="G313" s="50" t="s">
        <v>243</v>
      </c>
      <c r="H313" s="51" t="s">
        <v>2</v>
      </c>
      <c r="I313" s="52"/>
      <c r="J313" s="130">
        <v>2400</v>
      </c>
      <c r="K313" s="53" t="s">
        <v>0</v>
      </c>
      <c r="L313" s="54" t="str">
        <f>IFERROR(VLOOKUP(VLOOKUP(N313,N313,1,1),Categories!$K$4:$V$17,2+VLOOKUP(K313,K313,1,1)),"-"  )</f>
        <v>-</v>
      </c>
      <c r="M313" s="54" t="str">
        <f>IFERROR(VLOOKUP(VLOOKUP(N313,N313,1,1),Categories!$K$3:$V$17,7+VLOOKUP(K313,K313,1,1)),"-")</f>
        <v>-</v>
      </c>
      <c r="N313" s="55" t="s">
        <v>0</v>
      </c>
      <c r="O313" s="193" t="s">
        <v>0</v>
      </c>
      <c r="P313" s="202" t="s">
        <v>0</v>
      </c>
      <c r="Q313" s="185"/>
      <c r="R313" s="186"/>
      <c r="S313" s="186"/>
      <c r="U313" s="187"/>
      <c r="V313" s="187"/>
      <c r="W313" s="188"/>
      <c r="X313" s="189"/>
      <c r="Y313" s="189"/>
      <c r="Z313" s="189"/>
      <c r="AA313" s="189"/>
      <c r="AB313" s="189"/>
      <c r="AC313" s="189"/>
      <c r="AD313" s="189"/>
      <c r="AE313" s="189"/>
      <c r="AF313" s="188"/>
      <c r="AG313" s="190"/>
      <c r="AH313" s="141"/>
      <c r="AI313" s="56"/>
      <c r="AJ313" s="56"/>
      <c r="AK313" s="56" t="s">
        <v>252</v>
      </c>
    </row>
    <row r="314" spans="1:37" ht="31.95" customHeight="1" x14ac:dyDescent="0.3">
      <c r="A314" s="183"/>
      <c r="B314" s="184"/>
      <c r="C314" s="49"/>
      <c r="D314" s="49">
        <f>IF(H314=Categories!$E$4,VLOOKUP(G314,Categories!$A$4:$C$13,3,1),VLOOKUP(H314,Categories!$E$4:$G$24,3,1))</f>
        <v>60</v>
      </c>
      <c r="E314" s="49"/>
      <c r="F314" s="44">
        <v>23</v>
      </c>
      <c r="G314" s="50" t="s">
        <v>245</v>
      </c>
      <c r="H314" s="51" t="s">
        <v>0</v>
      </c>
      <c r="I314" s="52"/>
      <c r="J314" s="130">
        <v>2400</v>
      </c>
      <c r="K314" s="53" t="s">
        <v>0</v>
      </c>
      <c r="L314" s="54" t="str">
        <f>IFERROR(VLOOKUP(VLOOKUP(N314,N314,1,1),Categories!$K$4:$V$17,2+VLOOKUP(K314,K314,1,1)),"-"  )</f>
        <v>-</v>
      </c>
      <c r="M314" s="54" t="str">
        <f>IFERROR(VLOOKUP(VLOOKUP(N314,N314,1,1),Categories!$K$3:$V$17,7+VLOOKUP(K314,K314,1,1)),"-")</f>
        <v>-</v>
      </c>
      <c r="N314" s="55" t="s">
        <v>0</v>
      </c>
      <c r="O314" s="193" t="s">
        <v>0</v>
      </c>
      <c r="P314" s="202" t="s">
        <v>0</v>
      </c>
      <c r="Q314" s="185"/>
      <c r="R314" s="186"/>
      <c r="S314" s="186"/>
      <c r="U314" s="187"/>
      <c r="V314" s="187"/>
      <c r="W314" s="188"/>
      <c r="X314" s="189"/>
      <c r="Y314" s="189"/>
      <c r="Z314" s="189"/>
      <c r="AA314" s="189"/>
      <c r="AB314" s="189"/>
      <c r="AC314" s="189"/>
      <c r="AD314" s="189"/>
      <c r="AE314" s="189"/>
      <c r="AF314" s="188"/>
      <c r="AG314" s="190"/>
      <c r="AH314" s="141"/>
      <c r="AI314" s="56"/>
      <c r="AJ314" s="56"/>
      <c r="AK314" s="56" t="s">
        <v>252</v>
      </c>
    </row>
    <row r="315" spans="1:37" ht="31.95" customHeight="1" x14ac:dyDescent="0.3">
      <c r="A315" s="183"/>
      <c r="B315" s="184"/>
      <c r="C315" s="49"/>
      <c r="D315" s="49">
        <f>IF(H315=Categories!$E$4,VLOOKUP(G315,Categories!$A$4:$C$13,3,1),VLOOKUP(H315,Categories!$E$4:$G$24,3,1))</f>
        <v>45</v>
      </c>
      <c r="E315" s="49"/>
      <c r="F315" s="44">
        <v>23</v>
      </c>
      <c r="G315" s="50" t="s">
        <v>243</v>
      </c>
      <c r="H315" s="51" t="s">
        <v>2</v>
      </c>
      <c r="I315" s="52"/>
      <c r="J315" s="130">
        <v>2600</v>
      </c>
      <c r="K315" s="53" t="s">
        <v>0</v>
      </c>
      <c r="L315" s="54" t="str">
        <f>IFERROR(VLOOKUP(VLOOKUP(N315,N315,1,1),Categories!$K$4:$V$17,2+VLOOKUP(K315,K315,1,1)),"-"  )</f>
        <v>-</v>
      </c>
      <c r="M315" s="54" t="str">
        <f>IFERROR(VLOOKUP(VLOOKUP(N315,N315,1,1),Categories!$K$3:$V$17,7+VLOOKUP(K315,K315,1,1)),"-")</f>
        <v>-</v>
      </c>
      <c r="N315" s="55" t="s">
        <v>0</v>
      </c>
      <c r="O315" s="193" t="s">
        <v>0</v>
      </c>
      <c r="P315" s="202" t="s">
        <v>0</v>
      </c>
      <c r="Q315" s="185"/>
      <c r="R315" s="186"/>
      <c r="S315" s="186"/>
      <c r="U315" s="187"/>
      <c r="V315" s="187"/>
      <c r="W315" s="188"/>
      <c r="X315" s="189"/>
      <c r="Y315" s="189"/>
      <c r="Z315" s="189"/>
      <c r="AA315" s="189"/>
      <c r="AB315" s="189"/>
      <c r="AC315" s="189"/>
      <c r="AD315" s="189"/>
      <c r="AE315" s="189"/>
      <c r="AF315" s="188"/>
      <c r="AG315" s="190"/>
      <c r="AH315" s="141"/>
      <c r="AI315" s="56"/>
      <c r="AJ315" s="56"/>
      <c r="AK315" s="56" t="s">
        <v>252</v>
      </c>
    </row>
    <row r="316" spans="1:37" ht="31.95" customHeight="1" x14ac:dyDescent="0.3">
      <c r="A316" s="183"/>
      <c r="B316" s="184"/>
      <c r="C316" s="49"/>
      <c r="D316" s="49">
        <f>IF(H316=Categories!$E$4,VLOOKUP(G316,Categories!$A$4:$C$13,3,1),VLOOKUP(H316,Categories!$E$4:$G$24,3,1))</f>
        <v>60</v>
      </c>
      <c r="E316" s="49"/>
      <c r="F316" s="44">
        <v>23</v>
      </c>
      <c r="G316" s="50" t="s">
        <v>245</v>
      </c>
      <c r="H316" s="51" t="s">
        <v>0</v>
      </c>
      <c r="I316" s="52"/>
      <c r="J316" s="130">
        <v>2600</v>
      </c>
      <c r="K316" s="53" t="s">
        <v>0</v>
      </c>
      <c r="L316" s="54" t="str">
        <f>IFERROR(VLOOKUP(VLOOKUP(N316,N316,1,1),Categories!$K$4:$V$17,2+VLOOKUP(K316,K316,1,1)),"-"  )</f>
        <v>-</v>
      </c>
      <c r="M316" s="54" t="str">
        <f>IFERROR(VLOOKUP(VLOOKUP(N316,N316,1,1),Categories!$K$3:$V$17,7+VLOOKUP(K316,K316,1,1)),"-")</f>
        <v>-</v>
      </c>
      <c r="N316" s="55" t="s">
        <v>0</v>
      </c>
      <c r="O316" s="193" t="s">
        <v>0</v>
      </c>
      <c r="P316" s="202" t="s">
        <v>0</v>
      </c>
      <c r="Q316" s="185"/>
      <c r="R316" s="186"/>
      <c r="S316" s="186"/>
      <c r="U316" s="187"/>
      <c r="V316" s="187"/>
      <c r="W316" s="188"/>
      <c r="X316" s="189"/>
      <c r="Y316" s="189"/>
      <c r="Z316" s="189"/>
      <c r="AA316" s="189"/>
      <c r="AB316" s="189"/>
      <c r="AC316" s="189"/>
      <c r="AD316" s="189"/>
      <c r="AE316" s="189"/>
      <c r="AF316" s="188"/>
      <c r="AG316" s="190"/>
      <c r="AH316" s="141"/>
      <c r="AI316" s="56"/>
      <c r="AJ316" s="56"/>
      <c r="AK316" s="56" t="s">
        <v>252</v>
      </c>
    </row>
    <row r="317" spans="1:37" ht="31.95" customHeight="1" x14ac:dyDescent="0.3">
      <c r="A317" s="183"/>
      <c r="B317" s="184"/>
      <c r="C317" s="49"/>
      <c r="D317" s="49">
        <f>IF(H317=Categories!$E$4,VLOOKUP(G317,Categories!$A$4:$C$13,3,1),VLOOKUP(H317,Categories!$E$4:$G$24,3,1))</f>
        <v>45</v>
      </c>
      <c r="E317" s="49"/>
      <c r="F317" s="44">
        <v>23</v>
      </c>
      <c r="G317" s="50" t="s">
        <v>243</v>
      </c>
      <c r="H317" s="51" t="s">
        <v>2</v>
      </c>
      <c r="I317" s="52"/>
      <c r="J317" s="130">
        <v>2700</v>
      </c>
      <c r="K317" s="53" t="s">
        <v>0</v>
      </c>
      <c r="L317" s="54" t="str">
        <f>IFERROR(VLOOKUP(VLOOKUP(N317,N317,1,1),Categories!$K$4:$V$17,2+VLOOKUP(K317,K317,1,1)),"-"  )</f>
        <v>-</v>
      </c>
      <c r="M317" s="54" t="str">
        <f>IFERROR(VLOOKUP(VLOOKUP(N317,N317,1,1),Categories!$K$3:$V$17,7+VLOOKUP(K317,K317,1,1)),"-")</f>
        <v>-</v>
      </c>
      <c r="N317" s="55" t="s">
        <v>0</v>
      </c>
      <c r="O317" s="193" t="s">
        <v>0</v>
      </c>
      <c r="P317" s="202" t="s">
        <v>0</v>
      </c>
      <c r="Q317" s="185"/>
      <c r="R317" s="186"/>
      <c r="S317" s="186"/>
      <c r="U317" s="187"/>
      <c r="V317" s="187"/>
      <c r="W317" s="188"/>
      <c r="X317" s="189"/>
      <c r="Y317" s="189"/>
      <c r="Z317" s="189"/>
      <c r="AA317" s="189"/>
      <c r="AB317" s="189"/>
      <c r="AC317" s="189"/>
      <c r="AD317" s="189"/>
      <c r="AE317" s="189"/>
      <c r="AF317" s="188"/>
      <c r="AG317" s="190"/>
      <c r="AH317" s="141"/>
      <c r="AI317" s="56"/>
      <c r="AJ317" s="56"/>
      <c r="AK317" s="56" t="s">
        <v>252</v>
      </c>
    </row>
    <row r="318" spans="1:37" ht="31.95" customHeight="1" x14ac:dyDescent="0.3">
      <c r="A318" s="183"/>
      <c r="B318" s="184"/>
      <c r="C318" s="49"/>
      <c r="D318" s="49">
        <f>IF(H318=Categories!$E$4,VLOOKUP(G318,Categories!$A$4:$C$13,3,1),VLOOKUP(H318,Categories!$E$4:$G$24,3,1))</f>
        <v>60</v>
      </c>
      <c r="E318" s="49"/>
      <c r="F318" s="44">
        <v>23</v>
      </c>
      <c r="G318" s="50" t="s">
        <v>245</v>
      </c>
      <c r="H318" s="51" t="s">
        <v>0</v>
      </c>
      <c r="I318" s="52"/>
      <c r="J318" s="130">
        <v>2700</v>
      </c>
      <c r="K318" s="53" t="s">
        <v>0</v>
      </c>
      <c r="L318" s="54" t="str">
        <f>IFERROR(VLOOKUP(VLOOKUP(N318,N318,1,1),Categories!$K$4:$V$17,2+VLOOKUP(K318,K318,1,1)),"-"  )</f>
        <v>-</v>
      </c>
      <c r="M318" s="54" t="str">
        <f>IFERROR(VLOOKUP(VLOOKUP(N318,N318,1,1),Categories!$K$3:$V$17,7+VLOOKUP(K318,K318,1,1)),"-")</f>
        <v>-</v>
      </c>
      <c r="N318" s="55" t="s">
        <v>0</v>
      </c>
      <c r="O318" s="193" t="s">
        <v>0</v>
      </c>
      <c r="P318" s="202" t="s">
        <v>0</v>
      </c>
      <c r="Q318" s="185"/>
      <c r="R318" s="186"/>
      <c r="S318" s="186"/>
      <c r="U318" s="187"/>
      <c r="V318" s="187"/>
      <c r="W318" s="188"/>
      <c r="X318" s="189"/>
      <c r="Y318" s="189"/>
      <c r="Z318" s="189"/>
      <c r="AA318" s="189"/>
      <c r="AB318" s="189"/>
      <c r="AC318" s="189"/>
      <c r="AD318" s="189"/>
      <c r="AE318" s="189"/>
      <c r="AF318" s="188"/>
      <c r="AG318" s="190"/>
      <c r="AH318" s="141"/>
      <c r="AI318" s="56"/>
      <c r="AJ318" s="56"/>
      <c r="AK318" s="56" t="s">
        <v>252</v>
      </c>
    </row>
    <row r="319" spans="1:37" ht="31.95" customHeight="1" x14ac:dyDescent="0.3">
      <c r="A319" s="183"/>
      <c r="B319" s="184"/>
      <c r="C319" s="49"/>
      <c r="D319" s="49">
        <f>IF(H319=Categories!$E$4,VLOOKUP(G319,Categories!$A$4:$C$13,3,1),VLOOKUP(H319,Categories!$E$4:$G$24,3,1))</f>
        <v>45</v>
      </c>
      <c r="E319" s="49"/>
      <c r="F319" s="44">
        <v>23</v>
      </c>
      <c r="G319" s="50" t="s">
        <v>243</v>
      </c>
      <c r="H319" s="51" t="s">
        <v>2</v>
      </c>
      <c r="I319" s="52"/>
      <c r="J319" s="130">
        <v>2900</v>
      </c>
      <c r="K319" s="53" t="s">
        <v>0</v>
      </c>
      <c r="L319" s="54" t="str">
        <f>IFERROR(VLOOKUP(VLOOKUP(N319,N319,1,1),Categories!$K$4:$V$17,2+VLOOKUP(K319,K319,1,1)),"-"  )</f>
        <v>-</v>
      </c>
      <c r="M319" s="54" t="str">
        <f>IFERROR(VLOOKUP(VLOOKUP(N319,N319,1,1),Categories!$K$3:$V$17,7+VLOOKUP(K319,K319,1,1)),"-")</f>
        <v>-</v>
      </c>
      <c r="N319" s="55" t="s">
        <v>0</v>
      </c>
      <c r="O319" s="193" t="s">
        <v>0</v>
      </c>
      <c r="P319" s="202" t="s">
        <v>0</v>
      </c>
      <c r="Q319" s="185"/>
      <c r="R319" s="186"/>
      <c r="S319" s="186"/>
      <c r="U319" s="187"/>
      <c r="V319" s="187"/>
      <c r="W319" s="188"/>
      <c r="X319" s="189"/>
      <c r="Y319" s="189"/>
      <c r="Z319" s="189"/>
      <c r="AA319" s="189"/>
      <c r="AB319" s="189"/>
      <c r="AC319" s="189"/>
      <c r="AD319" s="189"/>
      <c r="AE319" s="189"/>
      <c r="AF319" s="188"/>
      <c r="AG319" s="190"/>
      <c r="AH319" s="141"/>
      <c r="AI319" s="56"/>
      <c r="AJ319" s="56"/>
      <c r="AK319" s="56" t="s">
        <v>252</v>
      </c>
    </row>
    <row r="320" spans="1:37" ht="31.95" customHeight="1" x14ac:dyDescent="0.3">
      <c r="A320" s="183"/>
      <c r="B320" s="184"/>
      <c r="C320" s="49"/>
      <c r="D320" s="49">
        <f>IF(H320=Categories!$E$4,VLOOKUP(G320,Categories!$A$4:$C$13,3,1),VLOOKUP(H320,Categories!$E$4:$G$24,3,1))</f>
        <v>60</v>
      </c>
      <c r="E320" s="49"/>
      <c r="F320" s="44">
        <v>23</v>
      </c>
      <c r="G320" s="50" t="s">
        <v>245</v>
      </c>
      <c r="H320" s="51" t="s">
        <v>0</v>
      </c>
      <c r="I320" s="52"/>
      <c r="J320" s="130">
        <v>2900</v>
      </c>
      <c r="K320" s="53" t="s">
        <v>0</v>
      </c>
      <c r="L320" s="54" t="str">
        <f>IFERROR(VLOOKUP(VLOOKUP(N320,N320,1,1),Categories!$K$4:$V$17,2+VLOOKUP(K320,K320,1,1)),"-"  )</f>
        <v>-</v>
      </c>
      <c r="M320" s="54" t="str">
        <f>IFERROR(VLOOKUP(VLOOKUP(N320,N320,1,1),Categories!$K$3:$V$17,7+VLOOKUP(K320,K320,1,1)),"-")</f>
        <v>-</v>
      </c>
      <c r="N320" s="55" t="s">
        <v>0</v>
      </c>
      <c r="O320" s="193" t="s">
        <v>0</v>
      </c>
      <c r="P320" s="202" t="s">
        <v>0</v>
      </c>
      <c r="Q320" s="185"/>
      <c r="R320" s="186"/>
      <c r="S320" s="186"/>
      <c r="U320" s="187"/>
      <c r="V320" s="187"/>
      <c r="W320" s="188"/>
      <c r="X320" s="189"/>
      <c r="Y320" s="189"/>
      <c r="Z320" s="189"/>
      <c r="AA320" s="189"/>
      <c r="AB320" s="189"/>
      <c r="AC320" s="189"/>
      <c r="AD320" s="189"/>
      <c r="AE320" s="189"/>
      <c r="AF320" s="188"/>
      <c r="AG320" s="190"/>
      <c r="AH320" s="141"/>
      <c r="AI320" s="56"/>
      <c r="AJ320" s="56"/>
      <c r="AK320" s="56" t="s">
        <v>252</v>
      </c>
    </row>
    <row r="321" spans="1:37" ht="31.95" customHeight="1" x14ac:dyDescent="0.3">
      <c r="A321" s="12"/>
      <c r="B321" s="27"/>
      <c r="C321" s="43"/>
      <c r="D321" s="49" t="str">
        <f>IF(H321=Categories!$E$4,VLOOKUP(G321,Categories!$A$4:$C$13,3,1),VLOOKUP(H321,Categories!$E$4:$G$24,3,1))</f>
        <v>-</v>
      </c>
      <c r="E321" s="49"/>
      <c r="F321" s="44" t="s">
        <v>0</v>
      </c>
      <c r="G321" s="21" t="s">
        <v>45</v>
      </c>
      <c r="H321" s="45" t="s">
        <v>0</v>
      </c>
      <c r="I321" s="46"/>
      <c r="J321" s="130" t="s">
        <v>0</v>
      </c>
      <c r="K321" s="53" t="s">
        <v>0</v>
      </c>
      <c r="L321" s="54" t="str">
        <f>IFERROR(VLOOKUP(VLOOKUP(N321,N321,1,1),Categories!$K$4:$V$17,2+VLOOKUP(K321,K321,1,1)),"-"  )</f>
        <v>-</v>
      </c>
      <c r="M321" s="54" t="str">
        <f>IFERROR(VLOOKUP(VLOOKUP(N321,N321,1,1),Categories!$K$3:$V$17,7+VLOOKUP(K321,K321,1,1)),"-")</f>
        <v>-</v>
      </c>
      <c r="N321" s="55" t="s">
        <v>0</v>
      </c>
      <c r="O321" s="194" t="s">
        <v>0</v>
      </c>
      <c r="P321" s="202" t="s">
        <v>0</v>
      </c>
      <c r="Q321" s="149"/>
      <c r="R321" s="142"/>
      <c r="S321" s="142"/>
      <c r="U321" s="47"/>
      <c r="V321" s="47"/>
      <c r="W321" s="143"/>
      <c r="X321" s="144"/>
      <c r="Y321" s="144"/>
      <c r="Z321" s="144"/>
      <c r="AA321" s="144"/>
      <c r="AB321" s="144"/>
      <c r="AC321" s="144"/>
      <c r="AD321" s="144"/>
      <c r="AE321" s="144"/>
      <c r="AF321" s="143"/>
      <c r="AG321" s="137"/>
      <c r="AH321" s="140" t="s">
        <v>264</v>
      </c>
      <c r="AI321" s="48" t="s">
        <v>265</v>
      </c>
      <c r="AJ321" s="48"/>
      <c r="AK321" s="48"/>
    </row>
  </sheetData>
  <protectedRanges>
    <protectedRange algorithmName="SHA-512" hashValue="4NhdbTyulRXZkBEq7Mn6+VKgOZdKtlfacISEdowO5xIUCa7OlX5LdkGNxnngfJg/0C5iD9A0fDWAkH//tV2WEg==" saltValue="4IZ1hkVaCZH46leZVUmsLQ==" spinCount="100000" sqref="A2:B3" name="Range1"/>
    <protectedRange algorithmName="SHA-512" hashValue="4NhdbTyulRXZkBEq7Mn6+VKgOZdKtlfacISEdowO5xIUCa7OlX5LdkGNxnngfJg/0C5iD9A0fDWAkH//tV2WEg==" saltValue="4IZ1hkVaCZH46leZVUmsLQ==" spinCount="100000" sqref="C2:H3" name="Range1_1"/>
  </protectedRanges>
  <mergeCells count="6">
    <mergeCell ref="I1:P1"/>
    <mergeCell ref="R1:S1"/>
    <mergeCell ref="AF1:AG1"/>
    <mergeCell ref="AH1:AK1"/>
    <mergeCell ref="U1:V1"/>
    <mergeCell ref="X1:AE1"/>
  </mergeCells>
  <conditionalFormatting sqref="F4">
    <cfRule type="expression" dxfId="590" priority="1095">
      <formula>MOD(F4,2)=0</formula>
    </cfRule>
    <cfRule type="expression" dxfId="589" priority="1098">
      <formula>MOD(F4,2)=1</formula>
    </cfRule>
    <cfRule type="containsBlanks" dxfId="588" priority="1100">
      <formula>LEN(TRIM(F4))=0</formula>
    </cfRule>
  </conditionalFormatting>
  <conditionalFormatting sqref="F5:F15 F321 F17:F92">
    <cfRule type="containsBlanks" dxfId="587" priority="1074">
      <formula>LEN(TRIM(F5))=0</formula>
    </cfRule>
    <cfRule type="expression" dxfId="586" priority="1076">
      <formula>MOD(F5,2)=0</formula>
    </cfRule>
    <cfRule type="expression" dxfId="585" priority="1077">
      <formula>MOD(F5,2)=1</formula>
    </cfRule>
  </conditionalFormatting>
  <conditionalFormatting sqref="F93">
    <cfRule type="containsBlanks" dxfId="584" priority="1054">
      <formula>LEN(TRIM(F93))=0</formula>
    </cfRule>
    <cfRule type="expression" dxfId="583" priority="1056">
      <formula>MOD(F93,2)=0</formula>
    </cfRule>
    <cfRule type="expression" dxfId="582" priority="1057">
      <formula>MOD(F93,2)=1</formula>
    </cfRule>
  </conditionalFormatting>
  <conditionalFormatting sqref="F152">
    <cfRule type="containsBlanks" dxfId="581" priority="1044">
      <formula>LEN(TRIM(F152))=0</formula>
    </cfRule>
    <cfRule type="expression" dxfId="580" priority="1046">
      <formula>MOD(F152,2)=0</formula>
    </cfRule>
    <cfRule type="expression" dxfId="579" priority="1047">
      <formula>MOD(F152,2)=1</formula>
    </cfRule>
  </conditionalFormatting>
  <conditionalFormatting sqref="F159">
    <cfRule type="containsBlanks" dxfId="578" priority="1034">
      <formula>LEN(TRIM(F159))=0</formula>
    </cfRule>
    <cfRule type="expression" dxfId="577" priority="1036">
      <formula>MOD(F159,2)=0</formula>
    </cfRule>
    <cfRule type="expression" dxfId="576" priority="1037">
      <formula>MOD(F159,2)=1</formula>
    </cfRule>
  </conditionalFormatting>
  <conditionalFormatting sqref="F160">
    <cfRule type="containsBlanks" dxfId="575" priority="1025">
      <formula>LEN(TRIM(F160))=0</formula>
    </cfRule>
    <cfRule type="expression" dxfId="574" priority="1027">
      <formula>MOD(F160,2)=0</formula>
    </cfRule>
    <cfRule type="expression" dxfId="573" priority="1028">
      <formula>MOD(F160,2)=1</formula>
    </cfRule>
  </conditionalFormatting>
  <conditionalFormatting sqref="F183:F184">
    <cfRule type="containsBlanks" dxfId="572" priority="1015">
      <formula>LEN(TRIM(F183))=0</formula>
    </cfRule>
    <cfRule type="expression" dxfId="571" priority="1017">
      <formula>MOD(F183,2)=0</formula>
    </cfRule>
    <cfRule type="expression" dxfId="570" priority="1018">
      <formula>MOD(F183,2)=1</formula>
    </cfRule>
  </conditionalFormatting>
  <conditionalFormatting sqref="F100">
    <cfRule type="containsBlanks" dxfId="569" priority="983">
      <formula>LEN(TRIM(F100))=0</formula>
    </cfRule>
    <cfRule type="expression" dxfId="568" priority="985">
      <formula>MOD(F100,2)=0</formula>
    </cfRule>
    <cfRule type="expression" dxfId="567" priority="986">
      <formula>MOD(F100,2)=1</formula>
    </cfRule>
  </conditionalFormatting>
  <conditionalFormatting sqref="F167">
    <cfRule type="containsBlanks" dxfId="566" priority="1005">
      <formula>LEN(TRIM(F167))=0</formula>
    </cfRule>
    <cfRule type="expression" dxfId="565" priority="1007">
      <formula>MOD(F167,2)=0</formula>
    </cfRule>
    <cfRule type="expression" dxfId="564" priority="1008">
      <formula>MOD(F167,2)=1</formula>
    </cfRule>
  </conditionalFormatting>
  <conditionalFormatting sqref="F168">
    <cfRule type="containsBlanks" dxfId="563" priority="1000">
      <formula>LEN(TRIM(F168))=0</formula>
    </cfRule>
    <cfRule type="expression" dxfId="562" priority="1002">
      <formula>MOD(F168,2)=0</formula>
    </cfRule>
    <cfRule type="expression" dxfId="561" priority="1003">
      <formula>MOD(F168,2)=1</formula>
    </cfRule>
  </conditionalFormatting>
  <conditionalFormatting sqref="F98">
    <cfRule type="containsBlanks" dxfId="560" priority="977">
      <formula>LEN(TRIM(F98))=0</formula>
    </cfRule>
    <cfRule type="expression" dxfId="559" priority="979">
      <formula>MOD(F98,2)=0</formula>
    </cfRule>
    <cfRule type="expression" dxfId="558" priority="980">
      <formula>MOD(F98,2)=1</formula>
    </cfRule>
  </conditionalFormatting>
  <conditionalFormatting sqref="F96">
    <cfRule type="containsBlanks" dxfId="557" priority="971">
      <formula>LEN(TRIM(F96))=0</formula>
    </cfRule>
    <cfRule type="expression" dxfId="556" priority="973">
      <formula>MOD(F96,2)=0</formula>
    </cfRule>
    <cfRule type="expression" dxfId="555" priority="974">
      <formula>MOD(F96,2)=1</formula>
    </cfRule>
  </conditionalFormatting>
  <conditionalFormatting sqref="F94">
    <cfRule type="containsBlanks" dxfId="554" priority="965">
      <formula>LEN(TRIM(F94))=0</formula>
    </cfRule>
    <cfRule type="expression" dxfId="553" priority="967">
      <formula>MOD(F94,2)=0</formula>
    </cfRule>
    <cfRule type="expression" dxfId="552" priority="968">
      <formula>MOD(F94,2)=1</formula>
    </cfRule>
  </conditionalFormatting>
  <conditionalFormatting sqref="F95">
    <cfRule type="containsBlanks" dxfId="551" priority="959">
      <formula>LEN(TRIM(F95))=0</formula>
    </cfRule>
    <cfRule type="expression" dxfId="550" priority="961">
      <formula>MOD(F95,2)=0</formula>
    </cfRule>
    <cfRule type="expression" dxfId="549" priority="962">
      <formula>MOD(F95,2)=1</formula>
    </cfRule>
  </conditionalFormatting>
  <conditionalFormatting sqref="F97">
    <cfRule type="containsBlanks" dxfId="548" priority="953">
      <formula>LEN(TRIM(F97))=0</formula>
    </cfRule>
    <cfRule type="expression" dxfId="547" priority="955">
      <formula>MOD(F97,2)=0</formula>
    </cfRule>
    <cfRule type="expression" dxfId="546" priority="956">
      <formula>MOD(F97,2)=1</formula>
    </cfRule>
  </conditionalFormatting>
  <conditionalFormatting sqref="F99">
    <cfRule type="containsBlanks" dxfId="545" priority="947">
      <formula>LEN(TRIM(F99))=0</formula>
    </cfRule>
    <cfRule type="expression" dxfId="544" priority="949">
      <formula>MOD(F99,2)=0</formula>
    </cfRule>
    <cfRule type="expression" dxfId="543" priority="950">
      <formula>MOD(F99,2)=1</formula>
    </cfRule>
  </conditionalFormatting>
  <conditionalFormatting sqref="F175">
    <cfRule type="containsBlanks" dxfId="542" priority="940">
      <formula>LEN(TRIM(F175))=0</formula>
    </cfRule>
    <cfRule type="expression" dxfId="541" priority="942">
      <formula>MOD(F175,2)=0</formula>
    </cfRule>
    <cfRule type="expression" dxfId="540" priority="943">
      <formula>MOD(F175,2)=1</formula>
    </cfRule>
  </conditionalFormatting>
  <conditionalFormatting sqref="F176">
    <cfRule type="containsBlanks" dxfId="539" priority="935">
      <formula>LEN(TRIM(F176))=0</formula>
    </cfRule>
    <cfRule type="expression" dxfId="538" priority="937">
      <formula>MOD(F176,2)=0</formula>
    </cfRule>
    <cfRule type="expression" dxfId="537" priority="938">
      <formula>MOD(F176,2)=1</formula>
    </cfRule>
  </conditionalFormatting>
  <conditionalFormatting sqref="F185">
    <cfRule type="containsBlanks" dxfId="536" priority="922">
      <formula>LEN(TRIM(F185))=0</formula>
    </cfRule>
    <cfRule type="expression" dxfId="535" priority="924">
      <formula>MOD(F185,2)=0</formula>
    </cfRule>
    <cfRule type="expression" dxfId="534" priority="925">
      <formula>MOD(F185,2)=1</formula>
    </cfRule>
  </conditionalFormatting>
  <conditionalFormatting sqref="F186">
    <cfRule type="containsBlanks" dxfId="533" priority="913">
      <formula>LEN(TRIM(F186))=0</formula>
    </cfRule>
    <cfRule type="expression" dxfId="532" priority="915">
      <formula>MOD(F186,2)=0</formula>
    </cfRule>
    <cfRule type="expression" dxfId="531" priority="916">
      <formula>MOD(F186,2)=1</formula>
    </cfRule>
  </conditionalFormatting>
  <conditionalFormatting sqref="F193">
    <cfRule type="containsBlanks" dxfId="530" priority="906">
      <formula>LEN(TRIM(F193))=0</formula>
    </cfRule>
    <cfRule type="expression" dxfId="529" priority="908">
      <formula>MOD(F193,2)=0</formula>
    </cfRule>
    <cfRule type="expression" dxfId="528" priority="909">
      <formula>MOD(F193,2)=1</formula>
    </cfRule>
  </conditionalFormatting>
  <conditionalFormatting sqref="F194">
    <cfRule type="containsBlanks" dxfId="527" priority="901">
      <formula>LEN(TRIM(F194))=0</formula>
    </cfRule>
    <cfRule type="expression" dxfId="526" priority="903">
      <formula>MOD(F194,2)=0</formula>
    </cfRule>
    <cfRule type="expression" dxfId="525" priority="904">
      <formula>MOD(F194,2)=1</formula>
    </cfRule>
  </conditionalFormatting>
  <conditionalFormatting sqref="F201">
    <cfRule type="containsBlanks" dxfId="524" priority="881">
      <formula>LEN(TRIM(F201))=0</formula>
    </cfRule>
    <cfRule type="expression" dxfId="523" priority="883">
      <formula>MOD(F201,2)=0</formula>
    </cfRule>
    <cfRule type="expression" dxfId="522" priority="884">
      <formula>MOD(F201,2)=1</formula>
    </cfRule>
  </conditionalFormatting>
  <conditionalFormatting sqref="F202">
    <cfRule type="containsBlanks" dxfId="521" priority="876">
      <formula>LEN(TRIM(F202))=0</formula>
    </cfRule>
    <cfRule type="expression" dxfId="520" priority="878">
      <formula>MOD(F202,2)=0</formula>
    </cfRule>
    <cfRule type="expression" dxfId="519" priority="879">
      <formula>MOD(F202,2)=1</formula>
    </cfRule>
  </conditionalFormatting>
  <conditionalFormatting sqref="F209">
    <cfRule type="containsBlanks" dxfId="518" priority="862">
      <formula>LEN(TRIM(F209))=0</formula>
    </cfRule>
    <cfRule type="expression" dxfId="517" priority="864">
      <formula>MOD(F209,2)=0</formula>
    </cfRule>
    <cfRule type="expression" dxfId="516" priority="865">
      <formula>MOD(F209,2)=1</formula>
    </cfRule>
  </conditionalFormatting>
  <conditionalFormatting sqref="F210">
    <cfRule type="containsBlanks" dxfId="515" priority="857">
      <formula>LEN(TRIM(F210))=0</formula>
    </cfRule>
    <cfRule type="expression" dxfId="514" priority="859">
      <formula>MOD(F210,2)=0</formula>
    </cfRule>
    <cfRule type="expression" dxfId="513" priority="860">
      <formula>MOD(F210,2)=1</formula>
    </cfRule>
  </conditionalFormatting>
  <conditionalFormatting sqref="F184">
    <cfRule type="containsBlanks" dxfId="512" priority="844">
      <formula>LEN(TRIM(F184))=0</formula>
    </cfRule>
    <cfRule type="expression" dxfId="511" priority="846">
      <formula>MOD(F184,2)=0</formula>
    </cfRule>
    <cfRule type="expression" dxfId="510" priority="847">
      <formula>MOD(F184,2)=1</formula>
    </cfRule>
  </conditionalFormatting>
  <conditionalFormatting sqref="F302">
    <cfRule type="containsBlanks" dxfId="509" priority="805">
      <formula>LEN(TRIM(F302))=0</formula>
    </cfRule>
    <cfRule type="expression" dxfId="508" priority="807">
      <formula>MOD(F302,2)=0</formula>
    </cfRule>
    <cfRule type="expression" dxfId="507" priority="808">
      <formula>MOD(F302,2)=1</formula>
    </cfRule>
  </conditionalFormatting>
  <conditionalFormatting sqref="F311">
    <cfRule type="containsBlanks" dxfId="506" priority="755">
      <formula>LEN(TRIM(F311))=0</formula>
    </cfRule>
    <cfRule type="expression" dxfId="505" priority="757">
      <formula>MOD(F311,2)=0</formula>
    </cfRule>
    <cfRule type="expression" dxfId="504" priority="758">
      <formula>MOD(F311,2)=1</formula>
    </cfRule>
  </conditionalFormatting>
  <conditionalFormatting sqref="F103:F112">
    <cfRule type="containsBlanks" dxfId="503" priority="360">
      <formula>LEN(TRIM(F103))=0</formula>
    </cfRule>
    <cfRule type="expression" dxfId="502" priority="362">
      <formula>MOD(F103,2)=0</formula>
    </cfRule>
    <cfRule type="expression" dxfId="501" priority="363">
      <formula>MOD(F103,2)=1</formula>
    </cfRule>
  </conditionalFormatting>
  <conditionalFormatting sqref="F102">
    <cfRule type="containsBlanks" dxfId="500" priority="518">
      <formula>LEN(TRIM(F102))=0</formula>
    </cfRule>
    <cfRule type="expression" dxfId="499" priority="520">
      <formula>MOD(F102,2)=0</formula>
    </cfRule>
    <cfRule type="expression" dxfId="498" priority="521">
      <formula>MOD(F102,2)=1</formula>
    </cfRule>
  </conditionalFormatting>
  <conditionalFormatting sqref="F114">
    <cfRule type="containsBlanks" dxfId="497" priority="506">
      <formula>LEN(TRIM(F114))=0</formula>
    </cfRule>
    <cfRule type="expression" dxfId="496" priority="508">
      <formula>MOD(F114,2)=0</formula>
    </cfRule>
    <cfRule type="expression" dxfId="495" priority="509">
      <formula>MOD(F114,2)=1</formula>
    </cfRule>
  </conditionalFormatting>
  <conditionalFormatting sqref="F101">
    <cfRule type="containsBlanks" dxfId="494" priority="527">
      <formula>LEN(TRIM(F101))=0</formula>
    </cfRule>
    <cfRule type="expression" dxfId="493" priority="529">
      <formula>MOD(F101,2)=0</formula>
    </cfRule>
    <cfRule type="expression" dxfId="492" priority="530">
      <formula>MOD(F101,2)=1</formula>
    </cfRule>
  </conditionalFormatting>
  <conditionalFormatting sqref="F113">
    <cfRule type="containsBlanks" dxfId="491" priority="511">
      <formula>LEN(TRIM(F113))=0</formula>
    </cfRule>
    <cfRule type="expression" dxfId="490" priority="513">
      <formula>MOD(F113,2)=0</formula>
    </cfRule>
    <cfRule type="expression" dxfId="489" priority="514">
      <formula>MOD(F113,2)=1</formula>
    </cfRule>
  </conditionalFormatting>
  <conditionalFormatting sqref="F125">
    <cfRule type="containsBlanks" dxfId="488" priority="492">
      <formula>LEN(TRIM(F125))=0</formula>
    </cfRule>
    <cfRule type="expression" dxfId="487" priority="494">
      <formula>MOD(F125,2)=0</formula>
    </cfRule>
    <cfRule type="expression" dxfId="486" priority="495">
      <formula>MOD(F125,2)=1</formula>
    </cfRule>
  </conditionalFormatting>
  <conditionalFormatting sqref="F126">
    <cfRule type="containsBlanks" dxfId="485" priority="487">
      <formula>LEN(TRIM(F126))=0</formula>
    </cfRule>
    <cfRule type="expression" dxfId="484" priority="489">
      <formula>MOD(F126,2)=0</formula>
    </cfRule>
    <cfRule type="expression" dxfId="483" priority="490">
      <formula>MOD(F126,2)=1</formula>
    </cfRule>
  </conditionalFormatting>
  <conditionalFormatting sqref="F137">
    <cfRule type="containsBlanks" dxfId="482" priority="473">
      <formula>LEN(TRIM(F137))=0</formula>
    </cfRule>
    <cfRule type="expression" dxfId="481" priority="475">
      <formula>MOD(F137,2)=0</formula>
    </cfRule>
    <cfRule type="expression" dxfId="480" priority="476">
      <formula>MOD(F137,2)=1</formula>
    </cfRule>
  </conditionalFormatting>
  <conditionalFormatting sqref="F138">
    <cfRule type="containsBlanks" dxfId="479" priority="468">
      <formula>LEN(TRIM(F138))=0</formula>
    </cfRule>
    <cfRule type="expression" dxfId="478" priority="470">
      <formula>MOD(F138,2)=0</formula>
    </cfRule>
    <cfRule type="expression" dxfId="477" priority="471">
      <formula>MOD(F138,2)=1</formula>
    </cfRule>
  </conditionalFormatting>
  <conditionalFormatting sqref="F127:F136">
    <cfRule type="containsBlanks" dxfId="476" priority="352">
      <formula>LEN(TRIM(F127))=0</formula>
    </cfRule>
    <cfRule type="expression" dxfId="475" priority="354">
      <formula>MOD(F127,2)=0</formula>
    </cfRule>
    <cfRule type="expression" dxfId="474" priority="355">
      <formula>MOD(F127,2)=1</formula>
    </cfRule>
  </conditionalFormatting>
  <conditionalFormatting sqref="F149:F150">
    <cfRule type="containsBlanks" dxfId="473" priority="381">
      <formula>LEN(TRIM(F149))=0</formula>
    </cfRule>
    <cfRule type="expression" dxfId="472" priority="383">
      <formula>MOD(F149,2)=0</formula>
    </cfRule>
    <cfRule type="expression" dxfId="471" priority="384">
      <formula>MOD(F149,2)=1</formula>
    </cfRule>
  </conditionalFormatting>
  <conditionalFormatting sqref="F151">
    <cfRule type="containsBlanks" dxfId="470" priority="376">
      <formula>LEN(TRIM(F151))=0</formula>
    </cfRule>
    <cfRule type="expression" dxfId="469" priority="378">
      <formula>MOD(F151,2)=0</formula>
    </cfRule>
    <cfRule type="expression" dxfId="468" priority="379">
      <formula>MOD(F151,2)=1</formula>
    </cfRule>
  </conditionalFormatting>
  <conditionalFormatting sqref="F150">
    <cfRule type="containsBlanks" dxfId="467" priority="370">
      <formula>LEN(TRIM(F150))=0</formula>
    </cfRule>
    <cfRule type="expression" dxfId="466" priority="372">
      <formula>MOD(F150,2)=0</formula>
    </cfRule>
    <cfRule type="expression" dxfId="465" priority="373">
      <formula>MOD(F150,2)=1</formula>
    </cfRule>
  </conditionalFormatting>
  <conditionalFormatting sqref="F115:F124">
    <cfRule type="containsBlanks" dxfId="464" priority="356">
      <formula>LEN(TRIM(F115))=0</formula>
    </cfRule>
    <cfRule type="expression" dxfId="463" priority="358">
      <formula>MOD(F115,2)=0</formula>
    </cfRule>
    <cfRule type="expression" dxfId="462" priority="359">
      <formula>MOD(F115,2)=1</formula>
    </cfRule>
  </conditionalFormatting>
  <conditionalFormatting sqref="F139:F148">
    <cfRule type="containsBlanks" dxfId="461" priority="348">
      <formula>LEN(TRIM(F139))=0</formula>
    </cfRule>
    <cfRule type="expression" dxfId="460" priority="350">
      <formula>MOD(F139,2)=0</formula>
    </cfRule>
    <cfRule type="expression" dxfId="459" priority="351">
      <formula>MOD(F139,2)=1</formula>
    </cfRule>
  </conditionalFormatting>
  <conditionalFormatting sqref="F153:F158">
    <cfRule type="containsBlanks" dxfId="458" priority="344">
      <formula>LEN(TRIM(F153))=0</formula>
    </cfRule>
    <cfRule type="expression" dxfId="457" priority="346">
      <formula>MOD(F153,2)=0</formula>
    </cfRule>
    <cfRule type="expression" dxfId="456" priority="347">
      <formula>MOD(F153,2)=1</formula>
    </cfRule>
  </conditionalFormatting>
  <conditionalFormatting sqref="F161:F166">
    <cfRule type="containsBlanks" dxfId="455" priority="339">
      <formula>LEN(TRIM(F161))=0</formula>
    </cfRule>
    <cfRule type="expression" dxfId="454" priority="341">
      <formula>MOD(F161,2)=0</formula>
    </cfRule>
    <cfRule type="expression" dxfId="453" priority="342">
      <formula>MOD(F161,2)=1</formula>
    </cfRule>
  </conditionalFormatting>
  <conditionalFormatting sqref="F169:F174">
    <cfRule type="containsBlanks" dxfId="452" priority="335">
      <formula>LEN(TRIM(F169))=0</formula>
    </cfRule>
    <cfRule type="expression" dxfId="451" priority="337">
      <formula>MOD(F169,2)=0</formula>
    </cfRule>
    <cfRule type="expression" dxfId="450" priority="338">
      <formula>MOD(F169,2)=1</formula>
    </cfRule>
  </conditionalFormatting>
  <conditionalFormatting sqref="F177:F182">
    <cfRule type="containsBlanks" dxfId="449" priority="331">
      <formula>LEN(TRIM(F177))=0</formula>
    </cfRule>
    <cfRule type="expression" dxfId="448" priority="333">
      <formula>MOD(F177,2)=0</formula>
    </cfRule>
    <cfRule type="expression" dxfId="447" priority="334">
      <formula>MOD(F177,2)=1</formula>
    </cfRule>
  </conditionalFormatting>
  <conditionalFormatting sqref="F187:F192">
    <cfRule type="containsBlanks" dxfId="446" priority="327">
      <formula>LEN(TRIM(F187))=0</formula>
    </cfRule>
    <cfRule type="expression" dxfId="445" priority="329">
      <formula>MOD(F187,2)=0</formula>
    </cfRule>
    <cfRule type="expression" dxfId="444" priority="330">
      <formula>MOD(F187,2)=1</formula>
    </cfRule>
  </conditionalFormatting>
  <conditionalFormatting sqref="F195:F200">
    <cfRule type="containsBlanks" dxfId="443" priority="323">
      <formula>LEN(TRIM(F195))=0</formula>
    </cfRule>
    <cfRule type="expression" dxfId="442" priority="325">
      <formula>MOD(F195,2)=0</formula>
    </cfRule>
    <cfRule type="expression" dxfId="441" priority="326">
      <formula>MOD(F195,2)=1</formula>
    </cfRule>
  </conditionalFormatting>
  <conditionalFormatting sqref="F203:F208">
    <cfRule type="containsBlanks" dxfId="440" priority="319">
      <formula>LEN(TRIM(F203))=0</formula>
    </cfRule>
    <cfRule type="expression" dxfId="439" priority="321">
      <formula>MOD(F203,2)=0</formula>
    </cfRule>
    <cfRule type="expression" dxfId="438" priority="322">
      <formula>MOD(F203,2)=1</formula>
    </cfRule>
  </conditionalFormatting>
  <conditionalFormatting sqref="F211:F216">
    <cfRule type="containsBlanks" dxfId="437" priority="315">
      <formula>LEN(TRIM(F211))=0</formula>
    </cfRule>
    <cfRule type="expression" dxfId="436" priority="317">
      <formula>MOD(F211,2)=0</formula>
    </cfRule>
    <cfRule type="expression" dxfId="435" priority="318">
      <formula>MOD(F211,2)=1</formula>
    </cfRule>
  </conditionalFormatting>
  <conditionalFormatting sqref="F303:F310">
    <cfRule type="containsBlanks" dxfId="434" priority="311">
      <formula>LEN(TRIM(F303))=0</formula>
    </cfRule>
    <cfRule type="expression" dxfId="433" priority="313">
      <formula>MOD(F303,2)=0</formula>
    </cfRule>
    <cfRule type="expression" dxfId="432" priority="314">
      <formula>MOD(F303,2)=1</formula>
    </cfRule>
  </conditionalFormatting>
  <conditionalFormatting sqref="F312:F320">
    <cfRule type="containsBlanks" dxfId="431" priority="307">
      <formula>LEN(TRIM(F312))=0</formula>
    </cfRule>
    <cfRule type="expression" dxfId="430" priority="309">
      <formula>MOD(F312,2)=0</formula>
    </cfRule>
    <cfRule type="expression" dxfId="429" priority="310">
      <formula>MOD(F312,2)=1</formula>
    </cfRule>
  </conditionalFormatting>
  <conditionalFormatting sqref="F217:F218">
    <cfRule type="containsBlanks" dxfId="428" priority="298">
      <formula>LEN(TRIM(F217))=0</formula>
    </cfRule>
    <cfRule type="expression" dxfId="427" priority="300">
      <formula>MOD(F217,2)=0</formula>
    </cfRule>
    <cfRule type="expression" dxfId="426" priority="301">
      <formula>MOD(F217,2)=1</formula>
    </cfRule>
  </conditionalFormatting>
  <conditionalFormatting sqref="F219">
    <cfRule type="containsBlanks" dxfId="425" priority="293">
      <formula>LEN(TRIM(F219))=0</formula>
    </cfRule>
    <cfRule type="expression" dxfId="424" priority="295">
      <formula>MOD(F219,2)=0</formula>
    </cfRule>
    <cfRule type="expression" dxfId="423" priority="296">
      <formula>MOD(F219,2)=1</formula>
    </cfRule>
  </conditionalFormatting>
  <conditionalFormatting sqref="F220">
    <cfRule type="containsBlanks" dxfId="422" priority="288">
      <formula>LEN(TRIM(F220))=0</formula>
    </cfRule>
    <cfRule type="expression" dxfId="421" priority="290">
      <formula>MOD(F220,2)=0</formula>
    </cfRule>
    <cfRule type="expression" dxfId="420" priority="291">
      <formula>MOD(F220,2)=1</formula>
    </cfRule>
  </conditionalFormatting>
  <conditionalFormatting sqref="F227">
    <cfRule type="containsBlanks" dxfId="419" priority="281">
      <formula>LEN(TRIM(F227))=0</formula>
    </cfRule>
    <cfRule type="expression" dxfId="418" priority="283">
      <formula>MOD(F227,2)=0</formula>
    </cfRule>
    <cfRule type="expression" dxfId="417" priority="284">
      <formula>MOD(F227,2)=1</formula>
    </cfRule>
  </conditionalFormatting>
  <conditionalFormatting sqref="F228">
    <cfRule type="containsBlanks" dxfId="416" priority="276">
      <formula>LEN(TRIM(F228))=0</formula>
    </cfRule>
    <cfRule type="expression" dxfId="415" priority="278">
      <formula>MOD(F228,2)=0</formula>
    </cfRule>
    <cfRule type="expression" dxfId="414" priority="279">
      <formula>MOD(F228,2)=1</formula>
    </cfRule>
  </conditionalFormatting>
  <conditionalFormatting sqref="F235">
    <cfRule type="containsBlanks" dxfId="413" priority="266">
      <formula>LEN(TRIM(F235))=0</formula>
    </cfRule>
    <cfRule type="expression" dxfId="412" priority="268">
      <formula>MOD(F235,2)=0</formula>
    </cfRule>
    <cfRule type="expression" dxfId="411" priority="269">
      <formula>MOD(F235,2)=1</formula>
    </cfRule>
  </conditionalFormatting>
  <conditionalFormatting sqref="F236">
    <cfRule type="containsBlanks" dxfId="410" priority="261">
      <formula>LEN(TRIM(F236))=0</formula>
    </cfRule>
    <cfRule type="expression" dxfId="409" priority="263">
      <formula>MOD(F236,2)=0</formula>
    </cfRule>
    <cfRule type="expression" dxfId="408" priority="264">
      <formula>MOD(F236,2)=1</formula>
    </cfRule>
  </conditionalFormatting>
  <conditionalFormatting sqref="F243">
    <cfRule type="containsBlanks" dxfId="407" priority="251">
      <formula>LEN(TRIM(F243))=0</formula>
    </cfRule>
    <cfRule type="expression" dxfId="406" priority="253">
      <formula>MOD(F243,2)=0</formula>
    </cfRule>
    <cfRule type="expression" dxfId="405" priority="254">
      <formula>MOD(F243,2)=1</formula>
    </cfRule>
  </conditionalFormatting>
  <conditionalFormatting sqref="F244">
    <cfRule type="containsBlanks" dxfId="404" priority="246">
      <formula>LEN(TRIM(F244))=0</formula>
    </cfRule>
    <cfRule type="expression" dxfId="403" priority="248">
      <formula>MOD(F244,2)=0</formula>
    </cfRule>
    <cfRule type="expression" dxfId="402" priority="249">
      <formula>MOD(F244,2)=1</formula>
    </cfRule>
  </conditionalFormatting>
  <conditionalFormatting sqref="F218">
    <cfRule type="containsBlanks" dxfId="401" priority="237">
      <formula>LEN(TRIM(F218))=0</formula>
    </cfRule>
    <cfRule type="expression" dxfId="400" priority="239">
      <formula>MOD(F218,2)=0</formula>
    </cfRule>
    <cfRule type="expression" dxfId="399" priority="240">
      <formula>MOD(F218,2)=1</formula>
    </cfRule>
  </conditionalFormatting>
  <conditionalFormatting sqref="F221:F226">
    <cfRule type="containsBlanks" dxfId="398" priority="224">
      <formula>LEN(TRIM(F221))=0</formula>
    </cfRule>
    <cfRule type="expression" dxfId="397" priority="226">
      <formula>MOD(F221,2)=0</formula>
    </cfRule>
    <cfRule type="expression" dxfId="396" priority="227">
      <formula>MOD(F221,2)=1</formula>
    </cfRule>
  </conditionalFormatting>
  <conditionalFormatting sqref="F229:F234">
    <cfRule type="containsBlanks" dxfId="395" priority="220">
      <formula>LEN(TRIM(F229))=0</formula>
    </cfRule>
    <cfRule type="expression" dxfId="394" priority="222">
      <formula>MOD(F229,2)=0</formula>
    </cfRule>
    <cfRule type="expression" dxfId="393" priority="223">
      <formula>MOD(F229,2)=1</formula>
    </cfRule>
  </conditionalFormatting>
  <conditionalFormatting sqref="F237:F242">
    <cfRule type="containsBlanks" dxfId="392" priority="216">
      <formula>LEN(TRIM(F237))=0</formula>
    </cfRule>
    <cfRule type="expression" dxfId="391" priority="218">
      <formula>MOD(F237,2)=0</formula>
    </cfRule>
    <cfRule type="expression" dxfId="390" priority="219">
      <formula>MOD(F237,2)=1</formula>
    </cfRule>
  </conditionalFormatting>
  <conditionalFormatting sqref="F245:F250">
    <cfRule type="containsBlanks" dxfId="389" priority="212">
      <formula>LEN(TRIM(F245))=0</formula>
    </cfRule>
    <cfRule type="expression" dxfId="388" priority="214">
      <formula>MOD(F245,2)=0</formula>
    </cfRule>
    <cfRule type="expression" dxfId="387" priority="215">
      <formula>MOD(F245,2)=1</formula>
    </cfRule>
  </conditionalFormatting>
  <conditionalFormatting sqref="F251">
    <cfRule type="containsBlanks" dxfId="386" priority="206">
      <formula>LEN(TRIM(F251))=0</formula>
    </cfRule>
    <cfRule type="expression" dxfId="385" priority="208">
      <formula>MOD(F251,2)=0</formula>
    </cfRule>
    <cfRule type="expression" dxfId="384" priority="209">
      <formula>MOD(F251,2)=1</formula>
    </cfRule>
  </conditionalFormatting>
  <conditionalFormatting sqref="F251">
    <cfRule type="containsBlanks" dxfId="383" priority="201">
      <formula>LEN(TRIM(F251))=0</formula>
    </cfRule>
    <cfRule type="expression" dxfId="382" priority="203">
      <formula>MOD(F251,2)=0</formula>
    </cfRule>
    <cfRule type="expression" dxfId="381" priority="204">
      <formula>MOD(F251,2)=1</formula>
    </cfRule>
  </conditionalFormatting>
  <conditionalFormatting sqref="F254:F263">
    <cfRule type="containsBlanks" dxfId="380" priority="26">
      <formula>LEN(TRIM(F254))=0</formula>
    </cfRule>
    <cfRule type="expression" dxfId="379" priority="28">
      <formula>MOD(F254,2)=0</formula>
    </cfRule>
    <cfRule type="expression" dxfId="378" priority="29">
      <formula>MOD(F254,2)=1</formula>
    </cfRule>
  </conditionalFormatting>
  <conditionalFormatting sqref="F253">
    <cfRule type="containsBlanks" dxfId="377" priority="105">
      <formula>LEN(TRIM(F253))=0</formula>
    </cfRule>
    <cfRule type="expression" dxfId="376" priority="107">
      <formula>MOD(F253,2)=0</formula>
    </cfRule>
    <cfRule type="expression" dxfId="375" priority="108">
      <formula>MOD(F253,2)=1</formula>
    </cfRule>
  </conditionalFormatting>
  <conditionalFormatting sqref="F265">
    <cfRule type="containsBlanks" dxfId="374" priority="95">
      <formula>LEN(TRIM(F265))=0</formula>
    </cfRule>
    <cfRule type="expression" dxfId="373" priority="97">
      <formula>MOD(F265,2)=0</formula>
    </cfRule>
    <cfRule type="expression" dxfId="372" priority="98">
      <formula>MOD(F265,2)=1</formula>
    </cfRule>
  </conditionalFormatting>
  <conditionalFormatting sqref="F252">
    <cfRule type="containsBlanks" dxfId="371" priority="109">
      <formula>LEN(TRIM(F252))=0</formula>
    </cfRule>
    <cfRule type="expression" dxfId="370" priority="111">
      <formula>MOD(F252,2)=0</formula>
    </cfRule>
    <cfRule type="expression" dxfId="369" priority="112">
      <formula>MOD(F252,2)=1</formula>
    </cfRule>
  </conditionalFormatting>
  <conditionalFormatting sqref="F264">
    <cfRule type="containsBlanks" dxfId="368" priority="99">
      <formula>LEN(TRIM(F264))=0</formula>
    </cfRule>
    <cfRule type="expression" dxfId="367" priority="101">
      <formula>MOD(F264,2)=0</formula>
    </cfRule>
    <cfRule type="expression" dxfId="366" priority="102">
      <formula>MOD(F264,2)=1</formula>
    </cfRule>
  </conditionalFormatting>
  <conditionalFormatting sqref="F276">
    <cfRule type="containsBlanks" dxfId="365" priority="87">
      <formula>LEN(TRIM(F276))=0</formula>
    </cfRule>
    <cfRule type="expression" dxfId="364" priority="89">
      <formula>MOD(F276,2)=0</formula>
    </cfRule>
    <cfRule type="expression" dxfId="363" priority="90">
      <formula>MOD(F276,2)=1</formula>
    </cfRule>
  </conditionalFormatting>
  <conditionalFormatting sqref="F277">
    <cfRule type="containsBlanks" dxfId="362" priority="83">
      <formula>LEN(TRIM(F277))=0</formula>
    </cfRule>
    <cfRule type="expression" dxfId="361" priority="85">
      <formula>MOD(F277,2)=0</formula>
    </cfRule>
    <cfRule type="expression" dxfId="360" priority="86">
      <formula>MOD(F277,2)=1</formula>
    </cfRule>
  </conditionalFormatting>
  <conditionalFormatting sqref="F288">
    <cfRule type="containsBlanks" dxfId="359" priority="75">
      <formula>LEN(TRIM(F288))=0</formula>
    </cfRule>
    <cfRule type="expression" dxfId="358" priority="77">
      <formula>MOD(F288,2)=0</formula>
    </cfRule>
    <cfRule type="expression" dxfId="357" priority="78">
      <formula>MOD(F288,2)=1</formula>
    </cfRule>
  </conditionalFormatting>
  <conditionalFormatting sqref="F289">
    <cfRule type="containsBlanks" dxfId="356" priority="71">
      <formula>LEN(TRIM(F289))=0</formula>
    </cfRule>
    <cfRule type="expression" dxfId="355" priority="73">
      <formula>MOD(F289,2)=0</formula>
    </cfRule>
    <cfRule type="expression" dxfId="354" priority="74">
      <formula>MOD(F289,2)=1</formula>
    </cfRule>
  </conditionalFormatting>
  <conditionalFormatting sqref="F278:F287">
    <cfRule type="containsBlanks" dxfId="353" priority="18">
      <formula>LEN(TRIM(F278))=0</formula>
    </cfRule>
    <cfRule type="expression" dxfId="352" priority="20">
      <formula>MOD(F278,2)=0</formula>
    </cfRule>
    <cfRule type="expression" dxfId="351" priority="21">
      <formula>MOD(F278,2)=1</formula>
    </cfRule>
  </conditionalFormatting>
  <conditionalFormatting sqref="F300:F301">
    <cfRule type="containsBlanks" dxfId="350" priority="38">
      <formula>LEN(TRIM(F300))=0</formula>
    </cfRule>
    <cfRule type="expression" dxfId="349" priority="40">
      <formula>MOD(F300,2)=0</formula>
    </cfRule>
    <cfRule type="expression" dxfId="348" priority="41">
      <formula>MOD(F300,2)=1</formula>
    </cfRule>
  </conditionalFormatting>
  <conditionalFormatting sqref="F301">
    <cfRule type="containsBlanks" dxfId="347" priority="34">
      <formula>LEN(TRIM(F301))=0</formula>
    </cfRule>
    <cfRule type="expression" dxfId="346" priority="36">
      <formula>MOD(F301,2)=0</formula>
    </cfRule>
    <cfRule type="expression" dxfId="345" priority="37">
      <formula>MOD(F301,2)=1</formula>
    </cfRule>
  </conditionalFormatting>
  <conditionalFormatting sqref="F266:F275">
    <cfRule type="containsBlanks" dxfId="344" priority="22">
      <formula>LEN(TRIM(F266))=0</formula>
    </cfRule>
    <cfRule type="expression" dxfId="343" priority="24">
      <formula>MOD(F266,2)=0</formula>
    </cfRule>
    <cfRule type="expression" dxfId="342" priority="25">
      <formula>MOD(F266,2)=1</formula>
    </cfRule>
  </conditionalFormatting>
  <conditionalFormatting sqref="F290:F299">
    <cfRule type="containsBlanks" dxfId="341" priority="14">
      <formula>LEN(TRIM(F290))=0</formula>
    </cfRule>
    <cfRule type="expression" dxfId="340" priority="16">
      <formula>MOD(F290,2)=0</formula>
    </cfRule>
    <cfRule type="expression" dxfId="339" priority="17">
      <formula>MOD(F290,2)=1</formula>
    </cfRule>
  </conditionalFormatting>
  <conditionalFormatting sqref="F16">
    <cfRule type="containsBlanks" dxfId="9" priority="7">
      <formula>LEN(TRIM(F16))=0</formula>
    </cfRule>
    <cfRule type="expression" dxfId="8" priority="9">
      <formula>MOD(F16,2)=0</formula>
    </cfRule>
    <cfRule type="expression" dxfId="7" priority="10">
      <formula>MOD(F16,2)=1</formula>
    </cfRule>
  </conditionalFormatting>
  <dataValidations count="1">
    <dataValidation showInputMessage="1" showErrorMessage="1" sqref="A4:A321" xr:uid="{00000000-0002-0000-0300-000000000000}"/>
  </dataValidations>
  <printOptions horizontalCentered="1" verticalCentered="1"/>
  <pageMargins left="0" right="0" top="0.35433070866141736" bottom="0.35433070866141736" header="0" footer="0"/>
  <pageSetup paperSize="9" scale="53" fitToHeight="0" orientation="landscape" r:id="rId1"/>
  <legacyDrawing r:id="rId2"/>
  <extLst>
    <ext xmlns:x14="http://schemas.microsoft.com/office/spreadsheetml/2009/9/main" uri="{78C0D931-6437-407d-A8EE-F0AAD7539E65}">
      <x14:conditionalFormattings>
        <x14:conditionalFormatting xmlns:xm="http://schemas.microsoft.com/office/excel/2006/main">
          <x14:cfRule type="containsText" priority="1078" operator="containsText" id="{CAB4DD24-5E18-4C25-976E-F1B42BE95576}">
            <xm:f>NOT(ISERROR(SEARCH("-",F4)))</xm:f>
            <xm:f>"-"</xm:f>
            <x14:dxf>
              <fill>
                <patternFill>
                  <bgColor theme="0" tint="-4.9989318521683403E-2"/>
                </patternFill>
              </fill>
            </x14:dxf>
          </x14:cfRule>
          <xm:sqref>F4</xm:sqref>
        </x14:conditionalFormatting>
        <x14:conditionalFormatting xmlns:xm="http://schemas.microsoft.com/office/excel/2006/main">
          <x14:cfRule type="containsText" priority="1075" operator="containsText" id="{5EFD3F10-06DD-4C45-AFA0-1EBA1F1AB1DA}">
            <xm:f>NOT(ISERROR(SEARCH("-",F5)))</xm:f>
            <xm:f>"-"</xm:f>
            <x14:dxf>
              <fill>
                <patternFill>
                  <bgColor theme="0" tint="-4.9989318521683403E-2"/>
                </patternFill>
              </fill>
            </x14:dxf>
          </x14:cfRule>
          <xm:sqref>F5:F15 F321 F17:F92</xm:sqref>
        </x14:conditionalFormatting>
        <x14:conditionalFormatting xmlns:xm="http://schemas.microsoft.com/office/excel/2006/main">
          <x14:cfRule type="containsText" priority="1055" operator="containsText" id="{69037452-86F1-4274-A0B1-7255FAABE460}">
            <xm:f>NOT(ISERROR(SEARCH("-",F93)))</xm:f>
            <xm:f>"-"</xm:f>
            <x14:dxf>
              <fill>
                <patternFill>
                  <bgColor theme="0" tint="-4.9989318521683403E-2"/>
                </patternFill>
              </fill>
            </x14:dxf>
          </x14:cfRule>
          <xm:sqref>F93</xm:sqref>
        </x14:conditionalFormatting>
        <x14:conditionalFormatting xmlns:xm="http://schemas.microsoft.com/office/excel/2006/main">
          <x14:cfRule type="containsText" priority="1045" operator="containsText" id="{D30BB66E-0353-40AA-BA3A-04C6AFDB6828}">
            <xm:f>NOT(ISERROR(SEARCH("-",F152)))</xm:f>
            <xm:f>"-"</xm:f>
            <x14:dxf>
              <fill>
                <patternFill>
                  <bgColor theme="0" tint="-4.9989318521683403E-2"/>
                </patternFill>
              </fill>
            </x14:dxf>
          </x14:cfRule>
          <xm:sqref>F152</xm:sqref>
        </x14:conditionalFormatting>
        <x14:conditionalFormatting xmlns:xm="http://schemas.microsoft.com/office/excel/2006/main">
          <x14:cfRule type="expression" priority="1040" id="{D4C5C327-9AAC-4D8D-8591-0D0468C0C4CE}">
            <xm:f>H152=Categories!$E$7</xm:f>
            <x14:dxf>
              <font>
                <b/>
                <i val="0"/>
              </font>
            </x14:dxf>
          </x14:cfRule>
          <xm:sqref>K321 K183 K152:K153</xm:sqref>
        </x14:conditionalFormatting>
        <x14:conditionalFormatting xmlns:xm="http://schemas.microsoft.com/office/excel/2006/main">
          <x14:cfRule type="expression" priority="1039" id="{276EB86A-49D3-43B2-8BAE-5608FAEE26FD}">
            <xm:f>H4=Categories!$E$7</xm:f>
            <x14:dxf>
              <font>
                <b/>
                <i val="0"/>
              </font>
            </x14:dxf>
          </x14:cfRule>
          <xm:sqref>K4:K15 K17:K93</xm:sqref>
        </x14:conditionalFormatting>
        <x14:conditionalFormatting xmlns:xm="http://schemas.microsoft.com/office/excel/2006/main">
          <x14:cfRule type="expression" priority="1038" id="{E176C055-4F32-4661-A4EF-F66CEE0A0964}">
            <xm:f>H154=Categories!$E$7</xm:f>
            <x14:dxf>
              <font>
                <b/>
                <i val="0"/>
              </font>
            </x14:dxf>
          </x14:cfRule>
          <xm:sqref>K154:K159</xm:sqref>
        </x14:conditionalFormatting>
        <x14:conditionalFormatting xmlns:xm="http://schemas.microsoft.com/office/excel/2006/main">
          <x14:cfRule type="containsText" priority="1035" operator="containsText" id="{D02A06B7-DB2A-441A-B030-470D58CB9C95}">
            <xm:f>NOT(ISERROR(SEARCH("-",F159)))</xm:f>
            <xm:f>"-"</xm:f>
            <x14:dxf>
              <fill>
                <patternFill>
                  <bgColor theme="0" tint="-4.9989318521683403E-2"/>
                </patternFill>
              </fill>
            </x14:dxf>
          </x14:cfRule>
          <xm:sqref>F159</xm:sqref>
        </x14:conditionalFormatting>
        <x14:conditionalFormatting xmlns:xm="http://schemas.microsoft.com/office/excel/2006/main">
          <x14:cfRule type="containsText" priority="1026" operator="containsText" id="{6681EA3C-ABFF-4E2C-8E14-DD8564A3FC39}">
            <xm:f>NOT(ISERROR(SEARCH("-",F160)))</xm:f>
            <xm:f>"-"</xm:f>
            <x14:dxf>
              <fill>
                <patternFill>
                  <bgColor theme="0" tint="-4.9989318521683403E-2"/>
                </patternFill>
              </fill>
            </x14:dxf>
          </x14:cfRule>
          <xm:sqref>F160</xm:sqref>
        </x14:conditionalFormatting>
        <x14:conditionalFormatting xmlns:xm="http://schemas.microsoft.com/office/excel/2006/main">
          <x14:cfRule type="expression" priority="1023" id="{CDCE1F52-38D3-498E-9334-8EACB987C8D4}">
            <xm:f>H161=Categories!$E$7</xm:f>
            <x14:dxf>
              <font>
                <b/>
                <i val="0"/>
              </font>
            </x14:dxf>
          </x14:cfRule>
          <xm:sqref>K161</xm:sqref>
        </x14:conditionalFormatting>
        <x14:conditionalFormatting xmlns:xm="http://schemas.microsoft.com/office/excel/2006/main">
          <x14:cfRule type="expression" priority="1022" id="{A9DE52F6-7C7B-41D1-B405-87A85E4FE152}">
            <xm:f>H160=Categories!$E$7</xm:f>
            <x14:dxf>
              <font>
                <b/>
                <i val="0"/>
              </font>
            </x14:dxf>
          </x14:cfRule>
          <xm:sqref>K160</xm:sqref>
        </x14:conditionalFormatting>
        <x14:conditionalFormatting xmlns:xm="http://schemas.microsoft.com/office/excel/2006/main">
          <x14:cfRule type="expression" priority="1021" id="{2C775027-A839-49B0-B71F-1AD013D175B9}">
            <xm:f>H162=Categories!$E$7</xm:f>
            <x14:dxf>
              <font>
                <b/>
                <i val="0"/>
              </font>
            </x14:dxf>
          </x14:cfRule>
          <xm:sqref>K162:K166</xm:sqref>
        </x14:conditionalFormatting>
        <x14:conditionalFormatting xmlns:xm="http://schemas.microsoft.com/office/excel/2006/main">
          <x14:cfRule type="containsText" priority="1016" operator="containsText" id="{567F9EC1-752B-41C9-82CF-027878493D2E}">
            <xm:f>NOT(ISERROR(SEARCH("-",F183)))</xm:f>
            <xm:f>"-"</xm:f>
            <x14:dxf>
              <fill>
                <patternFill>
                  <bgColor theme="0" tint="-4.9989318521683403E-2"/>
                </patternFill>
              </fill>
            </x14:dxf>
          </x14:cfRule>
          <xm:sqref>F183:F184</xm:sqref>
        </x14:conditionalFormatting>
        <x14:conditionalFormatting xmlns:xm="http://schemas.microsoft.com/office/excel/2006/main">
          <x14:cfRule type="containsText" priority="984" operator="containsText" id="{7691CEA1-3E02-4EF7-BE14-160C583727F8}">
            <xm:f>NOT(ISERROR(SEARCH("-",F100)))</xm:f>
            <xm:f>"-"</xm:f>
            <x14:dxf>
              <fill>
                <patternFill>
                  <bgColor theme="0" tint="-4.9989318521683403E-2"/>
                </patternFill>
              </fill>
            </x14:dxf>
          </x14:cfRule>
          <xm:sqref>F100</xm:sqref>
        </x14:conditionalFormatting>
        <x14:conditionalFormatting xmlns:xm="http://schemas.microsoft.com/office/excel/2006/main">
          <x14:cfRule type="expression" priority="1009" id="{B37B2E97-6B7E-4F9C-8A52-E70316A50631}">
            <xm:f>H167=Categories!$E$7</xm:f>
            <x14:dxf>
              <font>
                <b/>
                <i val="0"/>
              </font>
            </x14:dxf>
          </x14:cfRule>
          <xm:sqref>K167</xm:sqref>
        </x14:conditionalFormatting>
        <x14:conditionalFormatting xmlns:xm="http://schemas.microsoft.com/office/excel/2006/main">
          <x14:cfRule type="containsText" priority="1006" operator="containsText" id="{3B539539-397B-48A8-9E71-734BB0220D41}">
            <xm:f>NOT(ISERROR(SEARCH("-",F167)))</xm:f>
            <xm:f>"-"</xm:f>
            <x14:dxf>
              <fill>
                <patternFill>
                  <bgColor theme="0" tint="-4.9989318521683403E-2"/>
                </patternFill>
              </fill>
            </x14:dxf>
          </x14:cfRule>
          <xm:sqref>F167</xm:sqref>
        </x14:conditionalFormatting>
        <x14:conditionalFormatting xmlns:xm="http://schemas.microsoft.com/office/excel/2006/main">
          <x14:cfRule type="containsText" priority="1001" operator="containsText" id="{D959859E-7789-4663-9915-17DDEF7D6A62}">
            <xm:f>NOT(ISERROR(SEARCH("-",F168)))</xm:f>
            <xm:f>"-"</xm:f>
            <x14:dxf>
              <fill>
                <patternFill>
                  <bgColor theme="0" tint="-4.9989318521683403E-2"/>
                </patternFill>
              </fill>
            </x14:dxf>
          </x14:cfRule>
          <xm:sqref>F168</xm:sqref>
        </x14:conditionalFormatting>
        <x14:conditionalFormatting xmlns:xm="http://schemas.microsoft.com/office/excel/2006/main">
          <x14:cfRule type="expression" priority="998" id="{C115C6A3-3615-4FF5-A92A-BBC1D65E4E97}">
            <xm:f>H169=Categories!$E$7</xm:f>
            <x14:dxf>
              <font>
                <b/>
                <i val="0"/>
              </font>
            </x14:dxf>
          </x14:cfRule>
          <xm:sqref>K169</xm:sqref>
        </x14:conditionalFormatting>
        <x14:conditionalFormatting xmlns:xm="http://schemas.microsoft.com/office/excel/2006/main">
          <x14:cfRule type="expression" priority="997" id="{65720FBD-9F56-46F3-AB90-C779052A0001}">
            <xm:f>H168=Categories!$E$7</xm:f>
            <x14:dxf>
              <font>
                <b/>
                <i val="0"/>
              </font>
            </x14:dxf>
          </x14:cfRule>
          <xm:sqref>K168</xm:sqref>
        </x14:conditionalFormatting>
        <x14:conditionalFormatting xmlns:xm="http://schemas.microsoft.com/office/excel/2006/main">
          <x14:cfRule type="expression" priority="996" id="{51306C2D-505A-46AD-BFC2-7E692756B84B}">
            <xm:f>H170=Categories!$E$7</xm:f>
            <x14:dxf>
              <font>
                <b/>
                <i val="0"/>
              </font>
            </x14:dxf>
          </x14:cfRule>
          <xm:sqref>K170:K174</xm:sqref>
        </x14:conditionalFormatting>
        <x14:conditionalFormatting xmlns:xm="http://schemas.microsoft.com/office/excel/2006/main">
          <x14:cfRule type="expression" priority="982" id="{F5752E6A-E3F6-4AC5-8020-0345988D8B44}">
            <xm:f>H100=Categories!$E$7</xm:f>
            <x14:dxf>
              <font>
                <b/>
                <i val="0"/>
              </font>
            </x14:dxf>
          </x14:cfRule>
          <xm:sqref>K100</xm:sqref>
        </x14:conditionalFormatting>
        <x14:conditionalFormatting xmlns:xm="http://schemas.microsoft.com/office/excel/2006/main">
          <x14:cfRule type="containsText" priority="978" operator="containsText" id="{C27D0B93-7E4A-409F-B639-8F779BC8E132}">
            <xm:f>NOT(ISERROR(SEARCH("-",F98)))</xm:f>
            <xm:f>"-"</xm:f>
            <x14:dxf>
              <fill>
                <patternFill>
                  <bgColor theme="0" tint="-4.9989318521683403E-2"/>
                </patternFill>
              </fill>
            </x14:dxf>
          </x14:cfRule>
          <xm:sqref>F98</xm:sqref>
        </x14:conditionalFormatting>
        <x14:conditionalFormatting xmlns:xm="http://schemas.microsoft.com/office/excel/2006/main">
          <x14:cfRule type="expression" priority="976" id="{B690748B-0D91-40AD-B1EA-EF9FA1C801CA}">
            <xm:f>H98=Categories!$E$7</xm:f>
            <x14:dxf>
              <font>
                <b/>
                <i val="0"/>
              </font>
            </x14:dxf>
          </x14:cfRule>
          <xm:sqref>K98</xm:sqref>
        </x14:conditionalFormatting>
        <x14:conditionalFormatting xmlns:xm="http://schemas.microsoft.com/office/excel/2006/main">
          <x14:cfRule type="containsText" priority="972" operator="containsText" id="{6665B523-4842-413C-959B-A0A5574B0DC0}">
            <xm:f>NOT(ISERROR(SEARCH("-",F96)))</xm:f>
            <xm:f>"-"</xm:f>
            <x14:dxf>
              <fill>
                <patternFill>
                  <bgColor theme="0" tint="-4.9989318521683403E-2"/>
                </patternFill>
              </fill>
            </x14:dxf>
          </x14:cfRule>
          <xm:sqref>F96</xm:sqref>
        </x14:conditionalFormatting>
        <x14:conditionalFormatting xmlns:xm="http://schemas.microsoft.com/office/excel/2006/main">
          <x14:cfRule type="expression" priority="970" id="{AEF939AE-6C84-4C1C-8676-A68415BBD2E6}">
            <xm:f>H96=Categories!$E$7</xm:f>
            <x14:dxf>
              <font>
                <b/>
                <i val="0"/>
              </font>
            </x14:dxf>
          </x14:cfRule>
          <xm:sqref>K96</xm:sqref>
        </x14:conditionalFormatting>
        <x14:conditionalFormatting xmlns:xm="http://schemas.microsoft.com/office/excel/2006/main">
          <x14:cfRule type="containsText" priority="966" operator="containsText" id="{1625350E-CD59-4E82-BAF1-486B769BDDC3}">
            <xm:f>NOT(ISERROR(SEARCH("-",F94)))</xm:f>
            <xm:f>"-"</xm:f>
            <x14:dxf>
              <fill>
                <patternFill>
                  <bgColor theme="0" tint="-4.9989318521683403E-2"/>
                </patternFill>
              </fill>
            </x14:dxf>
          </x14:cfRule>
          <xm:sqref>F94</xm:sqref>
        </x14:conditionalFormatting>
        <x14:conditionalFormatting xmlns:xm="http://schemas.microsoft.com/office/excel/2006/main">
          <x14:cfRule type="expression" priority="964" id="{30BF7911-0DCC-4D59-8B5B-0551C4B70BB2}">
            <xm:f>H94=Categories!$E$7</xm:f>
            <x14:dxf>
              <font>
                <b/>
                <i val="0"/>
              </font>
            </x14:dxf>
          </x14:cfRule>
          <xm:sqref>K94</xm:sqref>
        </x14:conditionalFormatting>
        <x14:conditionalFormatting xmlns:xm="http://schemas.microsoft.com/office/excel/2006/main">
          <x14:cfRule type="containsText" priority="960" operator="containsText" id="{327D03BE-6A85-40C1-8ADB-01C4C7F1CBEF}">
            <xm:f>NOT(ISERROR(SEARCH("-",F95)))</xm:f>
            <xm:f>"-"</xm:f>
            <x14:dxf>
              <fill>
                <patternFill>
                  <bgColor theme="0" tint="-4.9989318521683403E-2"/>
                </patternFill>
              </fill>
            </x14:dxf>
          </x14:cfRule>
          <xm:sqref>F95</xm:sqref>
        </x14:conditionalFormatting>
        <x14:conditionalFormatting xmlns:xm="http://schemas.microsoft.com/office/excel/2006/main">
          <x14:cfRule type="expression" priority="958" id="{9711090F-FE45-4F2B-BA70-493F283F7FD3}">
            <xm:f>H95=Categories!$E$7</xm:f>
            <x14:dxf>
              <font>
                <b/>
                <i val="0"/>
              </font>
            </x14:dxf>
          </x14:cfRule>
          <xm:sqref>K95</xm:sqref>
        </x14:conditionalFormatting>
        <x14:conditionalFormatting xmlns:xm="http://schemas.microsoft.com/office/excel/2006/main">
          <x14:cfRule type="containsText" priority="954" operator="containsText" id="{886F01C6-AFD5-4A3C-8ED3-472EA80418B6}">
            <xm:f>NOT(ISERROR(SEARCH("-",F97)))</xm:f>
            <xm:f>"-"</xm:f>
            <x14:dxf>
              <fill>
                <patternFill>
                  <bgColor theme="0" tint="-4.9989318521683403E-2"/>
                </patternFill>
              </fill>
            </x14:dxf>
          </x14:cfRule>
          <xm:sqref>F97</xm:sqref>
        </x14:conditionalFormatting>
        <x14:conditionalFormatting xmlns:xm="http://schemas.microsoft.com/office/excel/2006/main">
          <x14:cfRule type="expression" priority="952" id="{6E67B10F-5E80-4A13-BEEF-1CC20F4C8D08}">
            <xm:f>H97=Categories!$E$7</xm:f>
            <x14:dxf>
              <font>
                <b/>
                <i val="0"/>
              </font>
            </x14:dxf>
          </x14:cfRule>
          <xm:sqref>K97</xm:sqref>
        </x14:conditionalFormatting>
        <x14:conditionalFormatting xmlns:xm="http://schemas.microsoft.com/office/excel/2006/main">
          <x14:cfRule type="containsText" priority="948" operator="containsText" id="{A841A6D5-D116-4B11-A816-34671E1C965E}">
            <xm:f>NOT(ISERROR(SEARCH("-",F99)))</xm:f>
            <xm:f>"-"</xm:f>
            <x14:dxf>
              <fill>
                <patternFill>
                  <bgColor theme="0" tint="-4.9989318521683403E-2"/>
                </patternFill>
              </fill>
            </x14:dxf>
          </x14:cfRule>
          <xm:sqref>F99</xm:sqref>
        </x14:conditionalFormatting>
        <x14:conditionalFormatting xmlns:xm="http://schemas.microsoft.com/office/excel/2006/main">
          <x14:cfRule type="expression" priority="946" id="{3D0A0574-04ED-48F3-AB98-44BD15F969AC}">
            <xm:f>H99=Categories!$E$7</xm:f>
            <x14:dxf>
              <font>
                <b/>
                <i val="0"/>
              </font>
            </x14:dxf>
          </x14:cfRule>
          <xm:sqref>K99</xm:sqref>
        </x14:conditionalFormatting>
        <x14:conditionalFormatting xmlns:xm="http://schemas.microsoft.com/office/excel/2006/main">
          <x14:cfRule type="expression" priority="944" id="{3A3F690E-954D-46D8-8578-D83263748EBC}">
            <xm:f>H175=Categories!$E$7</xm:f>
            <x14:dxf>
              <font>
                <b/>
                <i val="0"/>
              </font>
            </x14:dxf>
          </x14:cfRule>
          <xm:sqref>K175</xm:sqref>
        </x14:conditionalFormatting>
        <x14:conditionalFormatting xmlns:xm="http://schemas.microsoft.com/office/excel/2006/main">
          <x14:cfRule type="containsText" priority="941" operator="containsText" id="{1348026C-623B-4AF8-B7B7-1DF8BBD8429B}">
            <xm:f>NOT(ISERROR(SEARCH("-",F175)))</xm:f>
            <xm:f>"-"</xm:f>
            <x14:dxf>
              <fill>
                <patternFill>
                  <bgColor theme="0" tint="-4.9989318521683403E-2"/>
                </patternFill>
              </fill>
            </x14:dxf>
          </x14:cfRule>
          <xm:sqref>F175</xm:sqref>
        </x14:conditionalFormatting>
        <x14:conditionalFormatting xmlns:xm="http://schemas.microsoft.com/office/excel/2006/main">
          <x14:cfRule type="containsText" priority="936" operator="containsText" id="{A523D16A-2D90-4EA0-9E41-4E34F99198EA}">
            <xm:f>NOT(ISERROR(SEARCH("-",F176)))</xm:f>
            <xm:f>"-"</xm:f>
            <x14:dxf>
              <fill>
                <patternFill>
                  <bgColor theme="0" tint="-4.9989318521683403E-2"/>
                </patternFill>
              </fill>
            </x14:dxf>
          </x14:cfRule>
          <xm:sqref>F176</xm:sqref>
        </x14:conditionalFormatting>
        <x14:conditionalFormatting xmlns:xm="http://schemas.microsoft.com/office/excel/2006/main">
          <x14:cfRule type="expression" priority="933" id="{69B89F9F-EEC5-4B56-9A54-EB5E4982AEEC}">
            <xm:f>H177=Categories!$E$7</xm:f>
            <x14:dxf>
              <font>
                <b/>
                <i val="0"/>
              </font>
            </x14:dxf>
          </x14:cfRule>
          <xm:sqref>K177</xm:sqref>
        </x14:conditionalFormatting>
        <x14:conditionalFormatting xmlns:xm="http://schemas.microsoft.com/office/excel/2006/main">
          <x14:cfRule type="expression" priority="932" id="{0B732B9C-FE07-4801-8F53-B24FCAE98315}">
            <xm:f>H176=Categories!$E$7</xm:f>
            <x14:dxf>
              <font>
                <b/>
                <i val="0"/>
              </font>
            </x14:dxf>
          </x14:cfRule>
          <xm:sqref>K176</xm:sqref>
        </x14:conditionalFormatting>
        <x14:conditionalFormatting xmlns:xm="http://schemas.microsoft.com/office/excel/2006/main">
          <x14:cfRule type="expression" priority="931" id="{99A68CB1-62D0-49A1-A8C9-BF1D189B4FFE}">
            <xm:f>H178=Categories!$E$7</xm:f>
            <x14:dxf>
              <font>
                <b/>
                <i val="0"/>
              </font>
            </x14:dxf>
          </x14:cfRule>
          <xm:sqref>K178:K182</xm:sqref>
        </x14:conditionalFormatting>
        <x14:conditionalFormatting xmlns:xm="http://schemas.microsoft.com/office/excel/2006/main">
          <x14:cfRule type="containsText" priority="923" operator="containsText" id="{CD37DEBC-768F-49FC-A07D-DB6F256125DD}">
            <xm:f>NOT(ISERROR(SEARCH("-",F185)))</xm:f>
            <xm:f>"-"</xm:f>
            <x14:dxf>
              <fill>
                <patternFill>
                  <bgColor theme="0" tint="-4.9989318521683403E-2"/>
                </patternFill>
              </fill>
            </x14:dxf>
          </x14:cfRule>
          <xm:sqref>F185</xm:sqref>
        </x14:conditionalFormatting>
        <x14:conditionalFormatting xmlns:xm="http://schemas.microsoft.com/office/excel/2006/main">
          <x14:cfRule type="containsText" priority="914" operator="containsText" id="{30783112-A73E-4CA1-AC64-71612FEB32FE}">
            <xm:f>NOT(ISERROR(SEARCH("-",F186)))</xm:f>
            <xm:f>"-"</xm:f>
            <x14:dxf>
              <fill>
                <patternFill>
                  <bgColor theme="0" tint="-4.9989318521683403E-2"/>
                </patternFill>
              </fill>
            </x14:dxf>
          </x14:cfRule>
          <xm:sqref>F186</xm:sqref>
        </x14:conditionalFormatting>
        <x14:conditionalFormatting xmlns:xm="http://schemas.microsoft.com/office/excel/2006/main">
          <x14:cfRule type="expression" priority="911" id="{77B3B43B-BD75-4343-8435-52CF5B820C6C}">
            <xm:f>H185=Categories!$E$7</xm:f>
            <x14:dxf>
              <font>
                <b/>
                <i val="0"/>
              </font>
            </x14:dxf>
          </x14:cfRule>
          <xm:sqref>K185:K187</xm:sqref>
        </x14:conditionalFormatting>
        <x14:conditionalFormatting xmlns:xm="http://schemas.microsoft.com/office/excel/2006/main">
          <x14:cfRule type="expression" priority="910" id="{208CA26F-1814-4477-8302-D7B833EE07AB}">
            <xm:f>H188=Categories!$E$7</xm:f>
            <x14:dxf>
              <font>
                <b/>
                <i val="0"/>
              </font>
            </x14:dxf>
          </x14:cfRule>
          <xm:sqref>K188:K193</xm:sqref>
        </x14:conditionalFormatting>
        <x14:conditionalFormatting xmlns:xm="http://schemas.microsoft.com/office/excel/2006/main">
          <x14:cfRule type="containsText" priority="907" operator="containsText" id="{3DA4BF0E-CE0B-42F7-8BF8-E41CC873A646}">
            <xm:f>NOT(ISERROR(SEARCH("-",F193)))</xm:f>
            <xm:f>"-"</xm:f>
            <x14:dxf>
              <fill>
                <patternFill>
                  <bgColor theme="0" tint="-4.9989318521683403E-2"/>
                </patternFill>
              </fill>
            </x14:dxf>
          </x14:cfRule>
          <xm:sqref>F193</xm:sqref>
        </x14:conditionalFormatting>
        <x14:conditionalFormatting xmlns:xm="http://schemas.microsoft.com/office/excel/2006/main">
          <x14:cfRule type="containsText" priority="902" operator="containsText" id="{9A207BC2-968B-4495-B9DE-FA4B91D2C732}">
            <xm:f>NOT(ISERROR(SEARCH("-",F194)))</xm:f>
            <xm:f>"-"</xm:f>
            <x14:dxf>
              <fill>
                <patternFill>
                  <bgColor theme="0" tint="-4.9989318521683403E-2"/>
                </patternFill>
              </fill>
            </x14:dxf>
          </x14:cfRule>
          <xm:sqref>F194</xm:sqref>
        </x14:conditionalFormatting>
        <x14:conditionalFormatting xmlns:xm="http://schemas.microsoft.com/office/excel/2006/main">
          <x14:cfRule type="expression" priority="899" id="{135C1E64-A4B1-4A76-85FC-6B05DB473833}">
            <xm:f>H195=Categories!$E$7</xm:f>
            <x14:dxf>
              <font>
                <b/>
                <i val="0"/>
              </font>
            </x14:dxf>
          </x14:cfRule>
          <xm:sqref>K195</xm:sqref>
        </x14:conditionalFormatting>
        <x14:conditionalFormatting xmlns:xm="http://schemas.microsoft.com/office/excel/2006/main">
          <x14:cfRule type="expression" priority="898" id="{52CE9F60-9282-4175-9EEF-AAF75EA0B1E0}">
            <xm:f>H194=Categories!$E$7</xm:f>
            <x14:dxf>
              <font>
                <b/>
                <i val="0"/>
              </font>
            </x14:dxf>
          </x14:cfRule>
          <xm:sqref>K194</xm:sqref>
        </x14:conditionalFormatting>
        <x14:conditionalFormatting xmlns:xm="http://schemas.microsoft.com/office/excel/2006/main">
          <x14:cfRule type="expression" priority="897" id="{004DBA39-FE7F-46EE-9EA1-677388F08406}">
            <xm:f>H196=Categories!$E$7</xm:f>
            <x14:dxf>
              <font>
                <b/>
                <i val="0"/>
              </font>
            </x14:dxf>
          </x14:cfRule>
          <xm:sqref>K196:K200</xm:sqref>
        </x14:conditionalFormatting>
        <x14:conditionalFormatting xmlns:xm="http://schemas.microsoft.com/office/excel/2006/main">
          <x14:cfRule type="expression" priority="885" id="{3B264F62-85E1-420E-87CF-6872F7601075}">
            <xm:f>H201=Categories!$E$7</xm:f>
            <x14:dxf>
              <font>
                <b/>
                <i val="0"/>
              </font>
            </x14:dxf>
          </x14:cfRule>
          <xm:sqref>K201</xm:sqref>
        </x14:conditionalFormatting>
        <x14:conditionalFormatting xmlns:xm="http://schemas.microsoft.com/office/excel/2006/main">
          <x14:cfRule type="containsText" priority="882" operator="containsText" id="{D9BFC4C3-C05E-4B38-853B-21744F254799}">
            <xm:f>NOT(ISERROR(SEARCH("-",F201)))</xm:f>
            <xm:f>"-"</xm:f>
            <x14:dxf>
              <fill>
                <patternFill>
                  <bgColor theme="0" tint="-4.9989318521683403E-2"/>
                </patternFill>
              </fill>
            </x14:dxf>
          </x14:cfRule>
          <xm:sqref>F201</xm:sqref>
        </x14:conditionalFormatting>
        <x14:conditionalFormatting xmlns:xm="http://schemas.microsoft.com/office/excel/2006/main">
          <x14:cfRule type="containsText" priority="877" operator="containsText" id="{20C2CA9B-8BBE-4E37-A6D2-923DB58D5434}">
            <xm:f>NOT(ISERROR(SEARCH("-",F202)))</xm:f>
            <xm:f>"-"</xm:f>
            <x14:dxf>
              <fill>
                <patternFill>
                  <bgColor theme="0" tint="-4.9989318521683403E-2"/>
                </patternFill>
              </fill>
            </x14:dxf>
          </x14:cfRule>
          <xm:sqref>F202</xm:sqref>
        </x14:conditionalFormatting>
        <x14:conditionalFormatting xmlns:xm="http://schemas.microsoft.com/office/excel/2006/main">
          <x14:cfRule type="expression" priority="874" id="{61B907B6-8383-4378-B925-EF6D98661D3E}">
            <xm:f>H203=Categories!$E$7</xm:f>
            <x14:dxf>
              <font>
                <b/>
                <i val="0"/>
              </font>
            </x14:dxf>
          </x14:cfRule>
          <xm:sqref>K203</xm:sqref>
        </x14:conditionalFormatting>
        <x14:conditionalFormatting xmlns:xm="http://schemas.microsoft.com/office/excel/2006/main">
          <x14:cfRule type="expression" priority="873" id="{208FCA81-B627-42E5-8802-AB91E017280E}">
            <xm:f>H202=Categories!$E$7</xm:f>
            <x14:dxf>
              <font>
                <b/>
                <i val="0"/>
              </font>
            </x14:dxf>
          </x14:cfRule>
          <xm:sqref>K202</xm:sqref>
        </x14:conditionalFormatting>
        <x14:conditionalFormatting xmlns:xm="http://schemas.microsoft.com/office/excel/2006/main">
          <x14:cfRule type="expression" priority="872" id="{5050FC78-D21E-4981-85BF-C2FDD0581BB1}">
            <xm:f>H204=Categories!$E$7</xm:f>
            <x14:dxf>
              <font>
                <b/>
                <i val="0"/>
              </font>
            </x14:dxf>
          </x14:cfRule>
          <xm:sqref>K204:K208</xm:sqref>
        </x14:conditionalFormatting>
        <x14:conditionalFormatting xmlns:xm="http://schemas.microsoft.com/office/excel/2006/main">
          <x14:cfRule type="expression" priority="866" id="{A7F4D635-DB5C-4427-AE22-BA56BEDDD7F6}">
            <xm:f>H209=Categories!$E$7</xm:f>
            <x14:dxf>
              <font>
                <b/>
                <i val="0"/>
              </font>
            </x14:dxf>
          </x14:cfRule>
          <xm:sqref>K209</xm:sqref>
        </x14:conditionalFormatting>
        <x14:conditionalFormatting xmlns:xm="http://schemas.microsoft.com/office/excel/2006/main">
          <x14:cfRule type="containsText" priority="863" operator="containsText" id="{D21B4F77-E43E-4852-9CC3-6801B3EB271E}">
            <xm:f>NOT(ISERROR(SEARCH("-",F209)))</xm:f>
            <xm:f>"-"</xm:f>
            <x14:dxf>
              <fill>
                <patternFill>
                  <bgColor theme="0" tint="-4.9989318521683403E-2"/>
                </patternFill>
              </fill>
            </x14:dxf>
          </x14:cfRule>
          <xm:sqref>F209</xm:sqref>
        </x14:conditionalFormatting>
        <x14:conditionalFormatting xmlns:xm="http://schemas.microsoft.com/office/excel/2006/main">
          <x14:cfRule type="containsText" priority="858" operator="containsText" id="{A012BF5F-525E-4F18-9358-873D9987EB42}">
            <xm:f>NOT(ISERROR(SEARCH("-",F210)))</xm:f>
            <xm:f>"-"</xm:f>
            <x14:dxf>
              <fill>
                <patternFill>
                  <bgColor theme="0" tint="-4.9989318521683403E-2"/>
                </patternFill>
              </fill>
            </x14:dxf>
          </x14:cfRule>
          <xm:sqref>F210</xm:sqref>
        </x14:conditionalFormatting>
        <x14:conditionalFormatting xmlns:xm="http://schemas.microsoft.com/office/excel/2006/main">
          <x14:cfRule type="expression" priority="855" id="{450897D3-F3D4-44CD-82D7-036F5636F134}">
            <xm:f>H211=Categories!$E$7</xm:f>
            <x14:dxf>
              <font>
                <b/>
                <i val="0"/>
              </font>
            </x14:dxf>
          </x14:cfRule>
          <xm:sqref>K211</xm:sqref>
        </x14:conditionalFormatting>
        <x14:conditionalFormatting xmlns:xm="http://schemas.microsoft.com/office/excel/2006/main">
          <x14:cfRule type="expression" priority="854" id="{AB883E64-3A5E-4219-B6BA-2DFC748CAA9C}">
            <xm:f>H210=Categories!$E$7</xm:f>
            <x14:dxf>
              <font>
                <b/>
                <i val="0"/>
              </font>
            </x14:dxf>
          </x14:cfRule>
          <xm:sqref>K210</xm:sqref>
        </x14:conditionalFormatting>
        <x14:conditionalFormatting xmlns:xm="http://schemas.microsoft.com/office/excel/2006/main">
          <x14:cfRule type="expression" priority="853" id="{4CCDE968-4A54-4B81-93E9-8CDB00FADC8E}">
            <xm:f>H212=Categories!$E$7</xm:f>
            <x14:dxf>
              <font>
                <b/>
                <i val="0"/>
              </font>
            </x14:dxf>
          </x14:cfRule>
          <xm:sqref>K212:K216</xm:sqref>
        </x14:conditionalFormatting>
        <x14:conditionalFormatting xmlns:xm="http://schemas.microsoft.com/office/excel/2006/main">
          <x14:cfRule type="containsText" priority="845" operator="containsText" id="{A9092B95-706F-430F-A844-470E72C4AE7C}">
            <xm:f>NOT(ISERROR(SEARCH("-",F184)))</xm:f>
            <xm:f>"-"</xm:f>
            <x14:dxf>
              <fill>
                <patternFill>
                  <bgColor theme="0" tint="-4.9989318521683403E-2"/>
                </patternFill>
              </fill>
            </x14:dxf>
          </x14:cfRule>
          <xm:sqref>F184</xm:sqref>
        </x14:conditionalFormatting>
        <x14:conditionalFormatting xmlns:xm="http://schemas.microsoft.com/office/excel/2006/main">
          <x14:cfRule type="expression" priority="843" id="{00F2A98A-58AB-402B-9652-71B34CCB636B}">
            <xm:f>H184=Categories!$E$7</xm:f>
            <x14:dxf>
              <font>
                <b/>
                <i val="0"/>
              </font>
            </x14:dxf>
          </x14:cfRule>
          <xm:sqref>K184</xm:sqref>
        </x14:conditionalFormatting>
        <x14:conditionalFormatting xmlns:xm="http://schemas.microsoft.com/office/excel/2006/main">
          <x14:cfRule type="expression" priority="841" id="{A9850F29-A827-43E9-A3A2-2A2FD7D6958F}">
            <xm:f>H185=Categories!$E$11</xm:f>
            <x14:dxf>
              <font>
                <b/>
                <i val="0"/>
              </font>
            </x14:dxf>
          </x14:cfRule>
          <xm:sqref>N185 N302:N308</xm:sqref>
        </x14:conditionalFormatting>
        <x14:conditionalFormatting xmlns:xm="http://schemas.microsoft.com/office/excel/2006/main">
          <x14:cfRule type="expression" priority="840" id="{1A9B58E8-B2F0-4FA6-A903-EFC467FD2685}">
            <xm:f>H4=Categories!$E$11</xm:f>
            <x14:dxf>
              <font>
                <b/>
                <i val="0"/>
              </font>
            </x14:dxf>
          </x14:cfRule>
          <xm:sqref>N4:N15 N152:N184 N17:N100</xm:sqref>
        </x14:conditionalFormatting>
        <x14:conditionalFormatting xmlns:xm="http://schemas.microsoft.com/office/excel/2006/main">
          <x14:cfRule type="expression" priority="838" id="{8879DCA1-5057-4EF3-A47F-E81C40A6D98E}">
            <xm:f>H321=Categories!$E$11</xm:f>
            <x14:dxf>
              <font>
                <b/>
                <i val="0"/>
              </font>
            </x14:dxf>
          </x14:cfRule>
          <xm:sqref>N321</xm:sqref>
        </x14:conditionalFormatting>
        <x14:conditionalFormatting xmlns:xm="http://schemas.microsoft.com/office/excel/2006/main">
          <x14:cfRule type="notContainsText" priority="837" operator="notContains" id="{F37CDFD8-E384-4FD1-BCA6-9A53B82912CA}">
            <xm:f>ISERROR(SEARCH("-",L185))</xm:f>
            <xm:f>"-"</xm:f>
            <x14:dxf>
              <fill>
                <patternFill>
                  <bgColor theme="0" tint="-4.9989318521683403E-2"/>
                </patternFill>
              </fill>
            </x14:dxf>
          </x14:cfRule>
          <xm:sqref>L302:M308 L185:M186</xm:sqref>
        </x14:conditionalFormatting>
        <x14:conditionalFormatting xmlns:xm="http://schemas.microsoft.com/office/excel/2006/main">
          <x14:cfRule type="notContainsText" priority="836" operator="notContains" id="{D1A139D2-900B-443B-9184-1518E9917013}">
            <xm:f>ISERROR(SEARCH("-",L187))</xm:f>
            <xm:f>"-"</xm:f>
            <x14:dxf>
              <fill>
                <patternFill>
                  <bgColor theme="0" tint="-4.9989318521683403E-2"/>
                </patternFill>
              </fill>
            </x14:dxf>
          </x14:cfRule>
          <xm:sqref>L187:M188</xm:sqref>
        </x14:conditionalFormatting>
        <x14:conditionalFormatting xmlns:xm="http://schemas.microsoft.com/office/excel/2006/main">
          <x14:cfRule type="notContainsText" priority="835" operator="notContains" id="{3B01B099-5019-4F1A-80F8-FEDB5DD8D1B7}">
            <xm:f>ISERROR(SEARCH("-",L4))</xm:f>
            <xm:f>"-"</xm:f>
            <x14:dxf>
              <fill>
                <patternFill>
                  <bgColor theme="0" tint="-4.9989318521683403E-2"/>
                </patternFill>
              </fill>
            </x14:dxf>
          </x14:cfRule>
          <xm:sqref>L4:M15 L152:M184 L17:M100</xm:sqref>
        </x14:conditionalFormatting>
        <x14:conditionalFormatting xmlns:xm="http://schemas.microsoft.com/office/excel/2006/main">
          <x14:cfRule type="notContainsText" priority="834" operator="notContains" id="{060B3F3D-1845-46FD-9937-39A5F145DA37}">
            <xm:f>ISERROR(SEARCH("-",L189))</xm:f>
            <xm:f>"-"</xm:f>
            <x14:dxf>
              <fill>
                <patternFill>
                  <bgColor theme="0" tint="-4.9989318521683403E-2"/>
                </patternFill>
              </fill>
            </x14:dxf>
          </x14:cfRule>
          <xm:sqref>L321:M321 L191:L192 L189:M190</xm:sqref>
        </x14:conditionalFormatting>
        <x14:conditionalFormatting xmlns:xm="http://schemas.microsoft.com/office/excel/2006/main">
          <x14:cfRule type="expression" priority="822" id="{1BE7A09D-5AB4-49B4-8713-3D1F4C876D89}">
            <xm:f>H308=Categories!$E$7</xm:f>
            <x14:dxf>
              <font>
                <b/>
                <i val="0"/>
              </font>
            </x14:dxf>
          </x14:cfRule>
          <xm:sqref>K308</xm:sqref>
        </x14:conditionalFormatting>
        <x14:conditionalFormatting xmlns:xm="http://schemas.microsoft.com/office/excel/2006/main">
          <x14:cfRule type="expression" priority="816" id="{EEB89346-02DE-427D-A685-642CF6CB052F}">
            <xm:f>H306=Categories!$E$7</xm:f>
            <x14:dxf>
              <font>
                <b/>
                <i val="0"/>
              </font>
            </x14:dxf>
          </x14:cfRule>
          <xm:sqref>K306</xm:sqref>
        </x14:conditionalFormatting>
        <x14:conditionalFormatting xmlns:xm="http://schemas.microsoft.com/office/excel/2006/main">
          <x14:cfRule type="expression" priority="810" id="{71DC4C86-634D-4C87-B044-D7A9E4EA2BD2}">
            <xm:f>H304=Categories!$E$7</xm:f>
            <x14:dxf>
              <font>
                <b/>
                <i val="0"/>
              </font>
            </x14:dxf>
          </x14:cfRule>
          <xm:sqref>K304</xm:sqref>
        </x14:conditionalFormatting>
        <x14:conditionalFormatting xmlns:xm="http://schemas.microsoft.com/office/excel/2006/main">
          <x14:cfRule type="containsText" priority="806" operator="containsText" id="{ED564451-0176-4248-A956-7F2E919DC838}">
            <xm:f>NOT(ISERROR(SEARCH("-",F302)))</xm:f>
            <xm:f>"-"</xm:f>
            <x14:dxf>
              <fill>
                <patternFill>
                  <bgColor theme="0" tint="-4.9989318521683403E-2"/>
                </patternFill>
              </fill>
            </x14:dxf>
          </x14:cfRule>
          <xm:sqref>F302</xm:sqref>
        </x14:conditionalFormatting>
        <x14:conditionalFormatting xmlns:xm="http://schemas.microsoft.com/office/excel/2006/main">
          <x14:cfRule type="expression" priority="804" id="{DBAD27B3-02DA-4191-A0F1-EB6C059C7981}">
            <xm:f>H302=Categories!$E$7</xm:f>
            <x14:dxf>
              <font>
                <b/>
                <i val="0"/>
              </font>
            </x14:dxf>
          </x14:cfRule>
          <xm:sqref>K302</xm:sqref>
        </x14:conditionalFormatting>
        <x14:conditionalFormatting xmlns:xm="http://schemas.microsoft.com/office/excel/2006/main">
          <x14:cfRule type="expression" priority="798" id="{183D966D-075A-46BB-8404-8124EEAFEA03}">
            <xm:f>H303=Categories!$E$7</xm:f>
            <x14:dxf>
              <font>
                <b/>
                <i val="0"/>
              </font>
            </x14:dxf>
          </x14:cfRule>
          <xm:sqref>K303</xm:sqref>
        </x14:conditionalFormatting>
        <x14:conditionalFormatting xmlns:xm="http://schemas.microsoft.com/office/excel/2006/main">
          <x14:cfRule type="expression" priority="792" id="{6FBB0EF9-392C-44DF-AC25-5F65E8FD0D59}">
            <xm:f>H305=Categories!$E$7</xm:f>
            <x14:dxf>
              <font>
                <b/>
                <i val="0"/>
              </font>
            </x14:dxf>
          </x14:cfRule>
          <xm:sqref>K305</xm:sqref>
        </x14:conditionalFormatting>
        <x14:conditionalFormatting xmlns:xm="http://schemas.microsoft.com/office/excel/2006/main">
          <x14:cfRule type="expression" priority="786" id="{5E0BD41B-FDCA-4D14-935E-069B5B9250E8}">
            <xm:f>H307=Categories!$E$7</xm:f>
            <x14:dxf>
              <font>
                <b/>
                <i val="0"/>
              </font>
            </x14:dxf>
          </x14:cfRule>
          <xm:sqref>K307</xm:sqref>
        </x14:conditionalFormatting>
        <x14:conditionalFormatting xmlns:xm="http://schemas.microsoft.com/office/excel/2006/main">
          <x14:cfRule type="expression" priority="778" id="{76588326-1ABB-4FDF-A1BC-CC9CF8B2CFF5}">
            <xm:f>H320=Categories!$E$7</xm:f>
            <x14:dxf>
              <font>
                <b/>
                <i val="0"/>
              </font>
            </x14:dxf>
          </x14:cfRule>
          <xm:sqref>K320</xm:sqref>
        </x14:conditionalFormatting>
        <x14:conditionalFormatting xmlns:xm="http://schemas.microsoft.com/office/excel/2006/main">
          <x14:cfRule type="expression" priority="772" id="{319B59F0-35B3-446B-95B6-7A9720BFB8C6}">
            <xm:f>H314=Categories!$E$7</xm:f>
            <x14:dxf>
              <font>
                <b/>
                <i val="0"/>
              </font>
            </x14:dxf>
          </x14:cfRule>
          <xm:sqref>K314</xm:sqref>
        </x14:conditionalFormatting>
        <x14:conditionalFormatting xmlns:xm="http://schemas.microsoft.com/office/excel/2006/main">
          <x14:cfRule type="expression" priority="766" id="{97093B4F-BEF7-40ED-B94D-E0ABD5F157BA}">
            <xm:f>H312=Categories!$E$7</xm:f>
            <x14:dxf>
              <font>
                <b/>
                <i val="0"/>
              </font>
            </x14:dxf>
          </x14:cfRule>
          <xm:sqref>K312</xm:sqref>
        </x14:conditionalFormatting>
        <x14:conditionalFormatting xmlns:xm="http://schemas.microsoft.com/office/excel/2006/main">
          <x14:cfRule type="expression" priority="760" id="{00F28AC0-D266-41E2-859F-0489D8178C9D}">
            <xm:f>H310=Categories!$E$7</xm:f>
            <x14:dxf>
              <font>
                <b/>
                <i val="0"/>
              </font>
            </x14:dxf>
          </x14:cfRule>
          <xm:sqref>K310</xm:sqref>
        </x14:conditionalFormatting>
        <x14:conditionalFormatting xmlns:xm="http://schemas.microsoft.com/office/excel/2006/main">
          <x14:cfRule type="containsText" priority="756" operator="containsText" id="{2D9542E3-A956-4E5A-AA65-02B0AF286708}">
            <xm:f>NOT(ISERROR(SEARCH("-",F311)))</xm:f>
            <xm:f>"-"</xm:f>
            <x14:dxf>
              <fill>
                <patternFill>
                  <bgColor theme="0" tint="-4.9989318521683403E-2"/>
                </patternFill>
              </fill>
            </x14:dxf>
          </x14:cfRule>
          <xm:sqref>F311</xm:sqref>
        </x14:conditionalFormatting>
        <x14:conditionalFormatting xmlns:xm="http://schemas.microsoft.com/office/excel/2006/main">
          <x14:cfRule type="expression" priority="754" id="{B42D148E-142F-493F-9522-C0DE0F2BEB20}">
            <xm:f>H311=Categories!$E$7</xm:f>
            <x14:dxf>
              <font>
                <b/>
                <i val="0"/>
              </font>
            </x14:dxf>
          </x14:cfRule>
          <xm:sqref>K311</xm:sqref>
        </x14:conditionalFormatting>
        <x14:conditionalFormatting xmlns:xm="http://schemas.microsoft.com/office/excel/2006/main">
          <x14:cfRule type="expression" priority="748" id="{5EA0B276-7919-4A80-9771-FFB0CFC6A399}">
            <xm:f>H313=Categories!$E$7</xm:f>
            <x14:dxf>
              <font>
                <b/>
                <i val="0"/>
              </font>
            </x14:dxf>
          </x14:cfRule>
          <xm:sqref>K313</xm:sqref>
        </x14:conditionalFormatting>
        <x14:conditionalFormatting xmlns:xm="http://schemas.microsoft.com/office/excel/2006/main">
          <x14:cfRule type="expression" priority="742" id="{F223B964-83EE-49D4-ABB4-06C9953D1C57}">
            <xm:f>H319=Categories!$E$7</xm:f>
            <x14:dxf>
              <font>
                <b/>
                <i val="0"/>
              </font>
            </x14:dxf>
          </x14:cfRule>
          <xm:sqref>K319</xm:sqref>
        </x14:conditionalFormatting>
        <x14:conditionalFormatting xmlns:xm="http://schemas.microsoft.com/office/excel/2006/main">
          <x14:cfRule type="expression" priority="741" id="{4A8D5D05-D47F-48E7-B621-C388040B4AE3}">
            <xm:f>H310=Categories!$E$11</xm:f>
            <x14:dxf>
              <font>
                <b/>
                <i val="0"/>
              </font>
            </x14:dxf>
          </x14:cfRule>
          <xm:sqref>N310:N314 N319:N320</xm:sqref>
        </x14:conditionalFormatting>
        <x14:conditionalFormatting xmlns:xm="http://schemas.microsoft.com/office/excel/2006/main">
          <x14:cfRule type="notContainsText" priority="740" operator="notContains" id="{BF97FCFD-A6DD-45E3-9259-AAAA432EB26C}">
            <xm:f>ISERROR(SEARCH("-",L310))</xm:f>
            <xm:f>"-"</xm:f>
            <x14:dxf>
              <fill>
                <patternFill>
                  <bgColor theme="0" tint="-4.9989318521683403E-2"/>
                </patternFill>
              </fill>
            </x14:dxf>
          </x14:cfRule>
          <xm:sqref>L310:M314 L319:M320</xm:sqref>
        </x14:conditionalFormatting>
        <x14:conditionalFormatting xmlns:xm="http://schemas.microsoft.com/office/excel/2006/main">
          <x14:cfRule type="expression" priority="734" id="{EB41A7EA-4E5C-4DBA-AF72-772625FEA883}">
            <xm:f>H309=Categories!$E$7</xm:f>
            <x14:dxf>
              <font>
                <b/>
                <i val="0"/>
              </font>
            </x14:dxf>
          </x14:cfRule>
          <xm:sqref>K309</xm:sqref>
        </x14:conditionalFormatting>
        <x14:conditionalFormatting xmlns:xm="http://schemas.microsoft.com/office/excel/2006/main">
          <x14:cfRule type="expression" priority="733" id="{10FA903F-4700-498A-951F-1331EFACB768}">
            <xm:f>H309=Categories!$E$11</xm:f>
            <x14:dxf>
              <font>
                <b/>
                <i val="0"/>
              </font>
            </x14:dxf>
          </x14:cfRule>
          <xm:sqref>N309</xm:sqref>
        </x14:conditionalFormatting>
        <x14:conditionalFormatting xmlns:xm="http://schemas.microsoft.com/office/excel/2006/main">
          <x14:cfRule type="notContainsText" priority="732" operator="notContains" id="{89AD9DAE-3F50-4ADA-9BDD-11E6B407D330}">
            <xm:f>ISERROR(SEARCH("-",L309))</xm:f>
            <xm:f>"-"</xm:f>
            <x14:dxf>
              <fill>
                <patternFill>
                  <bgColor theme="0" tint="-4.9989318521683403E-2"/>
                </patternFill>
              </fill>
            </x14:dxf>
          </x14:cfRule>
          <xm:sqref>L309:M309</xm:sqref>
        </x14:conditionalFormatting>
        <x14:conditionalFormatting xmlns:xm="http://schemas.microsoft.com/office/excel/2006/main">
          <x14:cfRule type="expression" priority="726" id="{FEDDC8D6-ACCA-4873-9AB4-0631A5F179F6}">
            <xm:f>H316=Categories!$E$7</xm:f>
            <x14:dxf>
              <font>
                <b/>
                <i val="0"/>
              </font>
            </x14:dxf>
          </x14:cfRule>
          <xm:sqref>K316</xm:sqref>
        </x14:conditionalFormatting>
        <x14:conditionalFormatting xmlns:xm="http://schemas.microsoft.com/office/excel/2006/main">
          <x14:cfRule type="expression" priority="720" id="{0B1083E2-39E4-4F99-BF1C-9AF373462231}">
            <xm:f>H315=Categories!$E$7</xm:f>
            <x14:dxf>
              <font>
                <b/>
                <i val="0"/>
              </font>
            </x14:dxf>
          </x14:cfRule>
          <xm:sqref>K315</xm:sqref>
        </x14:conditionalFormatting>
        <x14:conditionalFormatting xmlns:xm="http://schemas.microsoft.com/office/excel/2006/main">
          <x14:cfRule type="expression" priority="719" id="{8EC06C0F-C549-48AD-985A-C6F698319E50}">
            <xm:f>H315=Categories!$E$11</xm:f>
            <x14:dxf>
              <font>
                <b/>
                <i val="0"/>
              </font>
            </x14:dxf>
          </x14:cfRule>
          <xm:sqref>N315:N316</xm:sqref>
        </x14:conditionalFormatting>
        <x14:conditionalFormatting xmlns:xm="http://schemas.microsoft.com/office/excel/2006/main">
          <x14:cfRule type="notContainsText" priority="718" operator="notContains" id="{A70823AC-5141-4373-B563-79F363016D0C}">
            <xm:f>ISERROR(SEARCH("-",L315))</xm:f>
            <xm:f>"-"</xm:f>
            <x14:dxf>
              <fill>
                <patternFill>
                  <bgColor theme="0" tint="-4.9989318521683403E-2"/>
                </patternFill>
              </fill>
            </x14:dxf>
          </x14:cfRule>
          <xm:sqref>L315:M316</xm:sqref>
        </x14:conditionalFormatting>
        <x14:conditionalFormatting xmlns:xm="http://schemas.microsoft.com/office/excel/2006/main">
          <x14:cfRule type="expression" priority="712" id="{46CCB02F-A21F-4FB6-9904-5CB982010C99}">
            <xm:f>H318=Categories!$E$7</xm:f>
            <x14:dxf>
              <font>
                <b/>
                <i val="0"/>
              </font>
            </x14:dxf>
          </x14:cfRule>
          <xm:sqref>K318</xm:sqref>
        </x14:conditionalFormatting>
        <x14:conditionalFormatting xmlns:xm="http://schemas.microsoft.com/office/excel/2006/main">
          <x14:cfRule type="containsText" priority="361" operator="containsText" id="{5C3C8124-BFD2-49EC-9AA7-C5FF849BAF61}">
            <xm:f>NOT(ISERROR(SEARCH("-",F103)))</xm:f>
            <xm:f>"-"</xm:f>
            <x14:dxf>
              <fill>
                <patternFill>
                  <bgColor theme="0" tint="-4.9989318521683403E-2"/>
                </patternFill>
              </fill>
            </x14:dxf>
          </x14:cfRule>
          <xm:sqref>F103:F112</xm:sqref>
        </x14:conditionalFormatting>
        <x14:conditionalFormatting xmlns:xm="http://schemas.microsoft.com/office/excel/2006/main">
          <x14:cfRule type="expression" priority="706" id="{C2BF8E7B-CF37-4B86-806B-705D8F72D05F}">
            <xm:f>H317=Categories!$E$7</xm:f>
            <x14:dxf>
              <font>
                <b/>
                <i val="0"/>
              </font>
            </x14:dxf>
          </x14:cfRule>
          <xm:sqref>K317</xm:sqref>
        </x14:conditionalFormatting>
        <x14:conditionalFormatting xmlns:xm="http://schemas.microsoft.com/office/excel/2006/main">
          <x14:cfRule type="expression" priority="705" id="{55C6D8B0-C376-4854-AA18-4619DDF3E224}">
            <xm:f>H317=Categories!$E$11</xm:f>
            <x14:dxf>
              <font>
                <b/>
                <i val="0"/>
              </font>
            </x14:dxf>
          </x14:cfRule>
          <xm:sqref>N317:N318</xm:sqref>
        </x14:conditionalFormatting>
        <x14:conditionalFormatting xmlns:xm="http://schemas.microsoft.com/office/excel/2006/main">
          <x14:cfRule type="notContainsText" priority="704" operator="notContains" id="{A8028447-89FC-49F3-BFB8-155241013A44}">
            <xm:f>ISERROR(SEARCH("-",L317))</xm:f>
            <xm:f>"-"</xm:f>
            <x14:dxf>
              <fill>
                <patternFill>
                  <bgColor theme="0" tint="-4.9989318521683403E-2"/>
                </patternFill>
              </fill>
            </x14:dxf>
          </x14:cfRule>
          <xm:sqref>L317:M318</xm:sqref>
        </x14:conditionalFormatting>
        <x14:conditionalFormatting xmlns:xm="http://schemas.microsoft.com/office/excel/2006/main">
          <x14:cfRule type="containsText" priority="519" operator="containsText" id="{41CC55C1-A14B-474C-9FD2-736F2793A1B1}">
            <xm:f>NOT(ISERROR(SEARCH("-",F102)))</xm:f>
            <xm:f>"-"</xm:f>
            <x14:dxf>
              <fill>
                <patternFill>
                  <bgColor theme="0" tint="-4.9989318521683403E-2"/>
                </patternFill>
              </fill>
            </x14:dxf>
          </x14:cfRule>
          <xm:sqref>F102</xm:sqref>
        </x14:conditionalFormatting>
        <x14:conditionalFormatting xmlns:xm="http://schemas.microsoft.com/office/excel/2006/main">
          <x14:cfRule type="containsText" priority="507" operator="containsText" id="{B524CBE5-AC37-4006-B493-84A77E57D6CA}">
            <xm:f>NOT(ISERROR(SEARCH("-",F114)))</xm:f>
            <xm:f>"-"</xm:f>
            <x14:dxf>
              <fill>
                <patternFill>
                  <bgColor theme="0" tint="-4.9989318521683403E-2"/>
                </patternFill>
              </fill>
            </x14:dxf>
          </x14:cfRule>
          <xm:sqref>F114</xm:sqref>
        </x14:conditionalFormatting>
        <x14:conditionalFormatting xmlns:xm="http://schemas.microsoft.com/office/excel/2006/main">
          <x14:cfRule type="containsText" priority="528" operator="containsText" id="{85CB44C4-1095-4006-93E8-4C1A67619D47}">
            <xm:f>NOT(ISERROR(SEARCH("-",F101)))</xm:f>
            <xm:f>"-"</xm:f>
            <x14:dxf>
              <fill>
                <patternFill>
                  <bgColor theme="0" tint="-4.9989318521683403E-2"/>
                </patternFill>
              </fill>
            </x14:dxf>
          </x14:cfRule>
          <xm:sqref>F101</xm:sqref>
        </x14:conditionalFormatting>
        <x14:conditionalFormatting xmlns:xm="http://schemas.microsoft.com/office/excel/2006/main">
          <x14:cfRule type="expression" priority="516" id="{8104DCEE-C298-4C2D-8FE4-F76BAD5965F9}">
            <xm:f>H101=Categories!$E$7</xm:f>
            <x14:dxf>
              <font>
                <b/>
                <i val="0"/>
              </font>
            </x14:dxf>
          </x14:cfRule>
          <xm:sqref>K101:K103</xm:sqref>
        </x14:conditionalFormatting>
        <x14:conditionalFormatting xmlns:xm="http://schemas.microsoft.com/office/excel/2006/main">
          <x14:cfRule type="expression" priority="515" id="{93A91E2A-3D52-470D-8C3B-DABC35F12A22}">
            <xm:f>H104=Categories!$E$7</xm:f>
            <x14:dxf>
              <font>
                <b/>
                <i val="0"/>
              </font>
            </x14:dxf>
          </x14:cfRule>
          <xm:sqref>K104:K106 K111:K113</xm:sqref>
        </x14:conditionalFormatting>
        <x14:conditionalFormatting xmlns:xm="http://schemas.microsoft.com/office/excel/2006/main">
          <x14:cfRule type="containsText" priority="512" operator="containsText" id="{0DF1B8C6-C8F9-4E59-AEBF-D4C8195A7252}">
            <xm:f>NOT(ISERROR(SEARCH("-",F113)))</xm:f>
            <xm:f>"-"</xm:f>
            <x14:dxf>
              <fill>
                <patternFill>
                  <bgColor theme="0" tint="-4.9989318521683403E-2"/>
                </patternFill>
              </fill>
            </x14:dxf>
          </x14:cfRule>
          <xm:sqref>F113</xm:sqref>
        </x14:conditionalFormatting>
        <x14:conditionalFormatting xmlns:xm="http://schemas.microsoft.com/office/excel/2006/main">
          <x14:cfRule type="expression" priority="504" id="{ACB0D109-D221-404E-8368-749284067EDE}">
            <xm:f>H115=Categories!$E$7</xm:f>
            <x14:dxf>
              <font>
                <b/>
                <i val="0"/>
              </font>
            </x14:dxf>
          </x14:cfRule>
          <xm:sqref>K115</xm:sqref>
        </x14:conditionalFormatting>
        <x14:conditionalFormatting xmlns:xm="http://schemas.microsoft.com/office/excel/2006/main">
          <x14:cfRule type="expression" priority="503" id="{16FA0459-E246-454F-B5C7-E25C04FE3D31}">
            <xm:f>H114=Categories!$E$7</xm:f>
            <x14:dxf>
              <font>
                <b/>
                <i val="0"/>
              </font>
            </x14:dxf>
          </x14:cfRule>
          <xm:sqref>K114</xm:sqref>
        </x14:conditionalFormatting>
        <x14:conditionalFormatting xmlns:xm="http://schemas.microsoft.com/office/excel/2006/main">
          <x14:cfRule type="expression" priority="502" id="{6B4C0858-0561-4C82-8A29-A9476247CF61}">
            <xm:f>H116=Categories!$E$7</xm:f>
            <x14:dxf>
              <font>
                <b/>
                <i val="0"/>
              </font>
            </x14:dxf>
          </x14:cfRule>
          <xm:sqref>K116 K121:K124</xm:sqref>
        </x14:conditionalFormatting>
        <x14:conditionalFormatting xmlns:xm="http://schemas.microsoft.com/office/excel/2006/main">
          <x14:cfRule type="expression" priority="496" id="{545030E7-DBE7-4FE0-BEB8-FD9C05CE0A4D}">
            <xm:f>H125=Categories!$E$7</xm:f>
            <x14:dxf>
              <font>
                <b/>
                <i val="0"/>
              </font>
            </x14:dxf>
          </x14:cfRule>
          <xm:sqref>K125</xm:sqref>
        </x14:conditionalFormatting>
        <x14:conditionalFormatting xmlns:xm="http://schemas.microsoft.com/office/excel/2006/main">
          <x14:cfRule type="containsText" priority="493" operator="containsText" id="{9FF117BF-FE8C-4ABA-8668-E23ED92C83C7}">
            <xm:f>NOT(ISERROR(SEARCH("-",F125)))</xm:f>
            <xm:f>"-"</xm:f>
            <x14:dxf>
              <fill>
                <patternFill>
                  <bgColor theme="0" tint="-4.9989318521683403E-2"/>
                </patternFill>
              </fill>
            </x14:dxf>
          </x14:cfRule>
          <xm:sqref>F125</xm:sqref>
        </x14:conditionalFormatting>
        <x14:conditionalFormatting xmlns:xm="http://schemas.microsoft.com/office/excel/2006/main">
          <x14:cfRule type="containsText" priority="488" operator="containsText" id="{7DD88289-3DAE-42C1-8A47-7C9ABB2487A0}">
            <xm:f>NOT(ISERROR(SEARCH("-",F126)))</xm:f>
            <xm:f>"-"</xm:f>
            <x14:dxf>
              <fill>
                <patternFill>
                  <bgColor theme="0" tint="-4.9989318521683403E-2"/>
                </patternFill>
              </fill>
            </x14:dxf>
          </x14:cfRule>
          <xm:sqref>F126</xm:sqref>
        </x14:conditionalFormatting>
        <x14:conditionalFormatting xmlns:xm="http://schemas.microsoft.com/office/excel/2006/main">
          <x14:cfRule type="expression" priority="485" id="{5DF27CF3-0714-4228-9B3A-61E70EA644B7}">
            <xm:f>H127=Categories!$E$7</xm:f>
            <x14:dxf>
              <font>
                <b/>
                <i val="0"/>
              </font>
            </x14:dxf>
          </x14:cfRule>
          <xm:sqref>K127</xm:sqref>
        </x14:conditionalFormatting>
        <x14:conditionalFormatting xmlns:xm="http://schemas.microsoft.com/office/excel/2006/main">
          <x14:cfRule type="expression" priority="484" id="{3C9084F8-1D6E-4045-8B00-36EFF8DD829F}">
            <xm:f>H126=Categories!$E$7</xm:f>
            <x14:dxf>
              <font>
                <b/>
                <i val="0"/>
              </font>
            </x14:dxf>
          </x14:cfRule>
          <xm:sqref>K126</xm:sqref>
        </x14:conditionalFormatting>
        <x14:conditionalFormatting xmlns:xm="http://schemas.microsoft.com/office/excel/2006/main">
          <x14:cfRule type="expression" priority="483" id="{F185A5BE-FF05-47AD-8048-95703DB80F30}">
            <xm:f>H128=Categories!$E$7</xm:f>
            <x14:dxf>
              <font>
                <b/>
                <i val="0"/>
              </font>
            </x14:dxf>
          </x14:cfRule>
          <xm:sqref>K128 K133:K136</xm:sqref>
        </x14:conditionalFormatting>
        <x14:conditionalFormatting xmlns:xm="http://schemas.microsoft.com/office/excel/2006/main">
          <x14:cfRule type="expression" priority="477" id="{4780A2C3-645F-423F-BC58-C91BD7206D48}">
            <xm:f>H137=Categories!$E$7</xm:f>
            <x14:dxf>
              <font>
                <b/>
                <i val="0"/>
              </font>
            </x14:dxf>
          </x14:cfRule>
          <xm:sqref>K137</xm:sqref>
        </x14:conditionalFormatting>
        <x14:conditionalFormatting xmlns:xm="http://schemas.microsoft.com/office/excel/2006/main">
          <x14:cfRule type="containsText" priority="474" operator="containsText" id="{AAF715DF-3AF1-418A-B00B-16A1CCE76718}">
            <xm:f>NOT(ISERROR(SEARCH("-",F137)))</xm:f>
            <xm:f>"-"</xm:f>
            <x14:dxf>
              <fill>
                <patternFill>
                  <bgColor theme="0" tint="-4.9989318521683403E-2"/>
                </patternFill>
              </fill>
            </x14:dxf>
          </x14:cfRule>
          <xm:sqref>F137</xm:sqref>
        </x14:conditionalFormatting>
        <x14:conditionalFormatting xmlns:xm="http://schemas.microsoft.com/office/excel/2006/main">
          <x14:cfRule type="containsText" priority="469" operator="containsText" id="{9FCC5108-D589-4129-96DF-DE232DC6AC2F}">
            <xm:f>NOT(ISERROR(SEARCH("-",F138)))</xm:f>
            <xm:f>"-"</xm:f>
            <x14:dxf>
              <fill>
                <patternFill>
                  <bgColor theme="0" tint="-4.9989318521683403E-2"/>
                </patternFill>
              </fill>
            </x14:dxf>
          </x14:cfRule>
          <xm:sqref>F138</xm:sqref>
        </x14:conditionalFormatting>
        <x14:conditionalFormatting xmlns:xm="http://schemas.microsoft.com/office/excel/2006/main">
          <x14:cfRule type="expression" priority="466" id="{BEB16842-62C1-424E-AF9D-CBFC0EE5E6AF}">
            <xm:f>H139=Categories!$E$7</xm:f>
            <x14:dxf>
              <font>
                <b/>
                <i val="0"/>
              </font>
            </x14:dxf>
          </x14:cfRule>
          <xm:sqref>K139</xm:sqref>
        </x14:conditionalFormatting>
        <x14:conditionalFormatting xmlns:xm="http://schemas.microsoft.com/office/excel/2006/main">
          <x14:cfRule type="expression" priority="465" id="{F169E485-62DD-4053-9DBC-4FAE934D1764}">
            <xm:f>H138=Categories!$E$7</xm:f>
            <x14:dxf>
              <font>
                <b/>
                <i val="0"/>
              </font>
            </x14:dxf>
          </x14:cfRule>
          <xm:sqref>K138</xm:sqref>
        </x14:conditionalFormatting>
        <x14:conditionalFormatting xmlns:xm="http://schemas.microsoft.com/office/excel/2006/main">
          <x14:cfRule type="expression" priority="464" id="{59E49A70-D271-4A2D-877A-1BF380540484}">
            <xm:f>H140=Categories!$E$7</xm:f>
            <x14:dxf>
              <font>
                <b/>
                <i val="0"/>
              </font>
            </x14:dxf>
          </x14:cfRule>
          <xm:sqref>K140 K145:K148</xm:sqref>
        </x14:conditionalFormatting>
        <x14:conditionalFormatting xmlns:xm="http://schemas.microsoft.com/office/excel/2006/main">
          <x14:cfRule type="expression" priority="459" id="{C441477A-0E4F-4D6A-A9DA-A656DBFEDABD}">
            <xm:f>H101=Categories!$E$11</xm:f>
            <x14:dxf>
              <font>
                <b/>
                <i val="0"/>
              </font>
            </x14:dxf>
          </x14:cfRule>
          <xm:sqref>N101</xm:sqref>
        </x14:conditionalFormatting>
        <x14:conditionalFormatting xmlns:xm="http://schemas.microsoft.com/office/excel/2006/main">
          <x14:cfRule type="notContainsText" priority="458" operator="notContains" id="{E46A8983-2549-4BB5-8CBD-4254DE0B5EAF}">
            <xm:f>ISERROR(SEARCH("-",L101))</xm:f>
            <xm:f>"-"</xm:f>
            <x14:dxf>
              <fill>
                <patternFill>
                  <bgColor theme="0" tint="-4.9989318521683403E-2"/>
                </patternFill>
              </fill>
            </x14:dxf>
          </x14:cfRule>
          <xm:sqref>L101:M102</xm:sqref>
        </x14:conditionalFormatting>
        <x14:conditionalFormatting xmlns:xm="http://schemas.microsoft.com/office/excel/2006/main">
          <x14:cfRule type="notContainsText" priority="457" operator="notContains" id="{7004B56F-438A-4997-9598-22E5487464FD}">
            <xm:f>ISERROR(SEARCH("-",L103))</xm:f>
            <xm:f>"-"</xm:f>
            <x14:dxf>
              <fill>
                <patternFill>
                  <bgColor theme="0" tint="-4.9989318521683403E-2"/>
                </patternFill>
              </fill>
            </x14:dxf>
          </x14:cfRule>
          <xm:sqref>L103:M104</xm:sqref>
        </x14:conditionalFormatting>
        <x14:conditionalFormatting xmlns:xm="http://schemas.microsoft.com/office/excel/2006/main">
          <x14:cfRule type="notContainsText" priority="456" operator="notContains" id="{42535A7E-CB77-4CD9-AEC5-0866B28B8F12}">
            <xm:f>ISERROR(SEARCH("-",L105))</xm:f>
            <xm:f>"-"</xm:f>
            <x14:dxf>
              <fill>
                <patternFill>
                  <bgColor theme="0" tint="-4.9989318521683403E-2"/>
                </patternFill>
              </fill>
            </x14:dxf>
          </x14:cfRule>
          <xm:sqref>L105:M106 L111:M116 L121:M128 L133:M140 L145:M148</xm:sqref>
        </x14:conditionalFormatting>
        <x14:conditionalFormatting xmlns:xm="http://schemas.microsoft.com/office/excel/2006/main">
          <x14:cfRule type="expression" priority="455" id="{0712D98F-3D1C-46B9-82DA-D23E90D95A8D}">
            <xm:f>H102=Categories!$E$11</xm:f>
            <x14:dxf>
              <font>
                <b/>
                <i val="0"/>
              </font>
            </x14:dxf>
          </x14:cfRule>
          <xm:sqref>N102</xm:sqref>
        </x14:conditionalFormatting>
        <x14:conditionalFormatting xmlns:xm="http://schemas.microsoft.com/office/excel/2006/main">
          <x14:cfRule type="expression" priority="454" id="{6CFAA65C-D57F-4BB0-AC38-3FED9A18D15A}">
            <xm:f>H103=Categories!$E$11</xm:f>
            <x14:dxf>
              <font>
                <b/>
                <i val="0"/>
              </font>
            </x14:dxf>
          </x14:cfRule>
          <xm:sqref>N103:N106 N111:N112</xm:sqref>
        </x14:conditionalFormatting>
        <x14:conditionalFormatting xmlns:xm="http://schemas.microsoft.com/office/excel/2006/main">
          <x14:cfRule type="expression" priority="444" id="{582542C7-BB1C-4F5A-8DE3-DE1991619B1E}">
            <xm:f>H109=Categories!$E$7</xm:f>
            <x14:dxf>
              <font>
                <b/>
                <i val="0"/>
              </font>
            </x14:dxf>
          </x14:cfRule>
          <xm:sqref>K109:K110</xm:sqref>
        </x14:conditionalFormatting>
        <x14:conditionalFormatting xmlns:xm="http://schemas.microsoft.com/office/excel/2006/main">
          <x14:cfRule type="notContainsText" priority="443" operator="notContains" id="{8E9D2FEB-821E-45B7-8A43-600F716BD940}">
            <xm:f>ISERROR(SEARCH("-",L109))</xm:f>
            <xm:f>"-"</xm:f>
            <x14:dxf>
              <fill>
                <patternFill>
                  <bgColor theme="0" tint="-4.9989318521683403E-2"/>
                </patternFill>
              </fill>
            </x14:dxf>
          </x14:cfRule>
          <xm:sqref>L109:M110</xm:sqref>
        </x14:conditionalFormatting>
        <x14:conditionalFormatting xmlns:xm="http://schemas.microsoft.com/office/excel/2006/main">
          <x14:cfRule type="expression" priority="442" id="{412DE43A-9B49-4298-94B7-974948C819F9}">
            <xm:f>H109=Categories!$E$11</xm:f>
            <x14:dxf>
              <font>
                <b/>
                <i val="0"/>
              </font>
            </x14:dxf>
          </x14:cfRule>
          <xm:sqref>N109:N110</xm:sqref>
        </x14:conditionalFormatting>
        <x14:conditionalFormatting xmlns:xm="http://schemas.microsoft.com/office/excel/2006/main">
          <x14:cfRule type="containsText" priority="353" operator="containsText" id="{D86C1C03-8DC4-4D34-A678-2D221713741D}">
            <xm:f>NOT(ISERROR(SEARCH("-",F127)))</xm:f>
            <xm:f>"-"</xm:f>
            <x14:dxf>
              <fill>
                <patternFill>
                  <bgColor theme="0" tint="-4.9989318521683403E-2"/>
                </patternFill>
              </fill>
            </x14:dxf>
          </x14:cfRule>
          <xm:sqref>F127:F136</xm:sqref>
        </x14:conditionalFormatting>
        <x14:conditionalFormatting xmlns:xm="http://schemas.microsoft.com/office/excel/2006/main">
          <x14:cfRule type="expression" priority="432" id="{6EB78DDF-84C3-4A6C-9909-E84063BD1378}">
            <xm:f>H107=Categories!$E$7</xm:f>
            <x14:dxf>
              <font>
                <b/>
                <i val="0"/>
              </font>
            </x14:dxf>
          </x14:cfRule>
          <xm:sqref>K107:K108</xm:sqref>
        </x14:conditionalFormatting>
        <x14:conditionalFormatting xmlns:xm="http://schemas.microsoft.com/office/excel/2006/main">
          <x14:cfRule type="notContainsText" priority="431" operator="notContains" id="{572288C8-6572-4F1D-86EF-1B929F8768F7}">
            <xm:f>ISERROR(SEARCH("-",L107))</xm:f>
            <xm:f>"-"</xm:f>
            <x14:dxf>
              <fill>
                <patternFill>
                  <bgColor theme="0" tint="-4.9989318521683403E-2"/>
                </patternFill>
              </fill>
            </x14:dxf>
          </x14:cfRule>
          <xm:sqref>L107:M108</xm:sqref>
        </x14:conditionalFormatting>
        <x14:conditionalFormatting xmlns:xm="http://schemas.microsoft.com/office/excel/2006/main">
          <x14:cfRule type="expression" priority="430" id="{8828C07F-C7D2-496D-9342-4BD338501FD5}">
            <xm:f>H107=Categories!$E$11</xm:f>
            <x14:dxf>
              <font>
                <b/>
                <i val="0"/>
              </font>
            </x14:dxf>
          </x14:cfRule>
          <xm:sqref>N107:N108</xm:sqref>
        </x14:conditionalFormatting>
        <x14:conditionalFormatting xmlns:xm="http://schemas.microsoft.com/office/excel/2006/main">
          <x14:cfRule type="expression" priority="428" id="{9D025576-2D33-4528-848C-E6105F96230E}">
            <xm:f>H119=Categories!$E$7</xm:f>
            <x14:dxf>
              <font>
                <b/>
                <i val="0"/>
              </font>
            </x14:dxf>
          </x14:cfRule>
          <xm:sqref>K119:K120</xm:sqref>
        </x14:conditionalFormatting>
        <x14:conditionalFormatting xmlns:xm="http://schemas.microsoft.com/office/excel/2006/main">
          <x14:cfRule type="notContainsText" priority="423" operator="notContains" id="{0BF4F1F5-2BC7-4B8E-8170-AFBAD77DE481}">
            <xm:f>ISERROR(SEARCH("-",L119))</xm:f>
            <xm:f>"-"</xm:f>
            <x14:dxf>
              <fill>
                <patternFill>
                  <bgColor theme="0" tint="-4.9989318521683403E-2"/>
                </patternFill>
              </fill>
            </x14:dxf>
          </x14:cfRule>
          <xm:sqref>L119:M120</xm:sqref>
        </x14:conditionalFormatting>
        <x14:conditionalFormatting xmlns:xm="http://schemas.microsoft.com/office/excel/2006/main">
          <x14:cfRule type="expression" priority="421" id="{E89BF443-8FFE-4B39-847A-726F90A12B10}">
            <xm:f>H117=Categories!$E$7</xm:f>
            <x14:dxf>
              <font>
                <b/>
                <i val="0"/>
              </font>
            </x14:dxf>
          </x14:cfRule>
          <xm:sqref>K117:K118</xm:sqref>
        </x14:conditionalFormatting>
        <x14:conditionalFormatting xmlns:xm="http://schemas.microsoft.com/office/excel/2006/main">
          <x14:cfRule type="notContainsText" priority="416" operator="notContains" id="{CC087B30-D33C-4840-84C7-C88A073ED184}">
            <xm:f>ISERROR(SEARCH("-",L117))</xm:f>
            <xm:f>"-"</xm:f>
            <x14:dxf>
              <fill>
                <patternFill>
                  <bgColor theme="0" tint="-4.9989318521683403E-2"/>
                </patternFill>
              </fill>
            </x14:dxf>
          </x14:cfRule>
          <xm:sqref>L117:M118</xm:sqref>
        </x14:conditionalFormatting>
        <x14:conditionalFormatting xmlns:xm="http://schemas.microsoft.com/office/excel/2006/main">
          <x14:cfRule type="expression" priority="414" id="{56C78D18-D107-40FC-8E2D-C556EE18A03C}">
            <xm:f>H131=Categories!$E$7</xm:f>
            <x14:dxf>
              <font>
                <b/>
                <i val="0"/>
              </font>
            </x14:dxf>
          </x14:cfRule>
          <xm:sqref>K131:K132</xm:sqref>
        </x14:conditionalFormatting>
        <x14:conditionalFormatting xmlns:xm="http://schemas.microsoft.com/office/excel/2006/main">
          <x14:cfRule type="notContainsText" priority="409" operator="notContains" id="{D5CDAE2A-84F4-4F31-B028-2F9930385736}">
            <xm:f>ISERROR(SEARCH("-",L131))</xm:f>
            <xm:f>"-"</xm:f>
            <x14:dxf>
              <fill>
                <patternFill>
                  <bgColor theme="0" tint="-4.9989318521683403E-2"/>
                </patternFill>
              </fill>
            </x14:dxf>
          </x14:cfRule>
          <xm:sqref>L131:M132</xm:sqref>
        </x14:conditionalFormatting>
        <x14:conditionalFormatting xmlns:xm="http://schemas.microsoft.com/office/excel/2006/main">
          <x14:cfRule type="expression" priority="407" id="{D20AE3F7-00E8-4436-8910-020962BEFCB6}">
            <xm:f>H129=Categories!$E$7</xm:f>
            <x14:dxf>
              <font>
                <b/>
                <i val="0"/>
              </font>
            </x14:dxf>
          </x14:cfRule>
          <xm:sqref>K129:K130</xm:sqref>
        </x14:conditionalFormatting>
        <x14:conditionalFormatting xmlns:xm="http://schemas.microsoft.com/office/excel/2006/main">
          <x14:cfRule type="notContainsText" priority="402" operator="notContains" id="{1C34EA8D-6161-4083-B351-CBC986677515}">
            <xm:f>ISERROR(SEARCH("-",L129))</xm:f>
            <xm:f>"-"</xm:f>
            <x14:dxf>
              <fill>
                <patternFill>
                  <bgColor theme="0" tint="-4.9989318521683403E-2"/>
                </patternFill>
              </fill>
            </x14:dxf>
          </x14:cfRule>
          <xm:sqref>L129:M130</xm:sqref>
        </x14:conditionalFormatting>
        <x14:conditionalFormatting xmlns:xm="http://schemas.microsoft.com/office/excel/2006/main">
          <x14:cfRule type="expression" priority="400" id="{365111B4-787B-4A32-B8C7-4C7B70A40264}">
            <xm:f>H143=Categories!$E$7</xm:f>
            <x14:dxf>
              <font>
                <b/>
                <i val="0"/>
              </font>
            </x14:dxf>
          </x14:cfRule>
          <xm:sqref>K143:K144</xm:sqref>
        </x14:conditionalFormatting>
        <x14:conditionalFormatting xmlns:xm="http://schemas.microsoft.com/office/excel/2006/main">
          <x14:cfRule type="notContainsText" priority="395" operator="notContains" id="{22F4B3A8-2A12-4C26-849F-A61FBE521C40}">
            <xm:f>ISERROR(SEARCH("-",L143))</xm:f>
            <xm:f>"-"</xm:f>
            <x14:dxf>
              <fill>
                <patternFill>
                  <bgColor theme="0" tint="-4.9989318521683403E-2"/>
                </patternFill>
              </fill>
            </x14:dxf>
          </x14:cfRule>
          <xm:sqref>L143:M144</xm:sqref>
        </x14:conditionalFormatting>
        <x14:conditionalFormatting xmlns:xm="http://schemas.microsoft.com/office/excel/2006/main">
          <x14:cfRule type="expression" priority="393" id="{77D461E3-4C6F-47C3-BC3A-FA9153C260CE}">
            <xm:f>H141=Categories!$E$7</xm:f>
            <x14:dxf>
              <font>
                <b/>
                <i val="0"/>
              </font>
            </x14:dxf>
          </x14:cfRule>
          <xm:sqref>K141:K142</xm:sqref>
        </x14:conditionalFormatting>
        <x14:conditionalFormatting xmlns:xm="http://schemas.microsoft.com/office/excel/2006/main">
          <x14:cfRule type="notContainsText" priority="388" operator="notContains" id="{E94E0EBC-F06F-4FBA-85B6-22CB53A5A118}">
            <xm:f>ISERROR(SEARCH("-",L141))</xm:f>
            <xm:f>"-"</xm:f>
            <x14:dxf>
              <fill>
                <patternFill>
                  <bgColor theme="0" tint="-4.9989318521683403E-2"/>
                </patternFill>
              </fill>
            </x14:dxf>
          </x14:cfRule>
          <xm:sqref>L141:M142</xm:sqref>
        </x14:conditionalFormatting>
        <x14:conditionalFormatting xmlns:xm="http://schemas.microsoft.com/office/excel/2006/main">
          <x14:cfRule type="expression" priority="387" id="{328AACD2-8C63-41C2-AA7E-71D27238838E}">
            <xm:f>H113=Categories!$E$11</xm:f>
            <x14:dxf>
              <font>
                <b/>
                <i val="0"/>
              </font>
            </x14:dxf>
          </x14:cfRule>
          <xm:sqref>N113:N148</xm:sqref>
        </x14:conditionalFormatting>
        <x14:conditionalFormatting xmlns:xm="http://schemas.microsoft.com/office/excel/2006/main">
          <x14:cfRule type="expression" priority="386" id="{5B08D29E-716C-42C3-AA21-20732E66CC72}">
            <xm:f>H149=Categories!$E$7</xm:f>
            <x14:dxf>
              <font>
                <b/>
                <i val="0"/>
              </font>
            </x14:dxf>
          </x14:cfRule>
          <xm:sqref>K149</xm:sqref>
        </x14:conditionalFormatting>
        <x14:conditionalFormatting xmlns:xm="http://schemas.microsoft.com/office/excel/2006/main">
          <x14:cfRule type="containsText" priority="382" operator="containsText" id="{754740A2-5E3D-4EDE-88DA-318C95B56C01}">
            <xm:f>NOT(ISERROR(SEARCH("-",F149)))</xm:f>
            <xm:f>"-"</xm:f>
            <x14:dxf>
              <fill>
                <patternFill>
                  <bgColor theme="0" tint="-4.9989318521683403E-2"/>
                </patternFill>
              </fill>
            </x14:dxf>
          </x14:cfRule>
          <xm:sqref>F149:F150</xm:sqref>
        </x14:conditionalFormatting>
        <x14:conditionalFormatting xmlns:xm="http://schemas.microsoft.com/office/excel/2006/main">
          <x14:cfRule type="containsText" priority="377" operator="containsText" id="{D7235D5B-654F-45C1-9166-314A1D2542C9}">
            <xm:f>NOT(ISERROR(SEARCH("-",F151)))</xm:f>
            <xm:f>"-"</xm:f>
            <x14:dxf>
              <fill>
                <patternFill>
                  <bgColor theme="0" tint="-4.9989318521683403E-2"/>
                </patternFill>
              </fill>
            </x14:dxf>
          </x14:cfRule>
          <xm:sqref>F151</xm:sqref>
        </x14:conditionalFormatting>
        <x14:conditionalFormatting xmlns:xm="http://schemas.microsoft.com/office/excel/2006/main">
          <x14:cfRule type="expression" priority="375" id="{6FA5BCA4-3D96-44F5-8349-B2A466BC3971}">
            <xm:f>H151=Categories!$E$7</xm:f>
            <x14:dxf>
              <font>
                <b/>
                <i val="0"/>
              </font>
            </x14:dxf>
          </x14:cfRule>
          <xm:sqref>K151</xm:sqref>
        </x14:conditionalFormatting>
        <x14:conditionalFormatting xmlns:xm="http://schemas.microsoft.com/office/excel/2006/main">
          <x14:cfRule type="containsText" priority="371" operator="containsText" id="{35AEA26C-DB3D-4A63-91FC-FA9084C8D6E3}">
            <xm:f>NOT(ISERROR(SEARCH("-",F150)))</xm:f>
            <xm:f>"-"</xm:f>
            <x14:dxf>
              <fill>
                <patternFill>
                  <bgColor theme="0" tint="-4.9989318521683403E-2"/>
                </patternFill>
              </fill>
            </x14:dxf>
          </x14:cfRule>
          <xm:sqref>F150</xm:sqref>
        </x14:conditionalFormatting>
        <x14:conditionalFormatting xmlns:xm="http://schemas.microsoft.com/office/excel/2006/main">
          <x14:cfRule type="expression" priority="369" id="{E4CDE3F7-EFD4-4826-A4F1-ED556DA3F494}">
            <xm:f>H150=Categories!$E$7</xm:f>
            <x14:dxf>
              <font>
                <b/>
                <i val="0"/>
              </font>
            </x14:dxf>
          </x14:cfRule>
          <xm:sqref>K150</xm:sqref>
        </x14:conditionalFormatting>
        <x14:conditionalFormatting xmlns:xm="http://schemas.microsoft.com/office/excel/2006/main">
          <x14:cfRule type="expression" priority="367" id="{9518A415-745E-4D46-ADB3-9359FE5DC5BD}">
            <xm:f>H150=Categories!$E$11</xm:f>
            <x14:dxf>
              <font>
                <b/>
                <i val="0"/>
              </font>
            </x14:dxf>
          </x14:cfRule>
          <xm:sqref>N150</xm:sqref>
        </x14:conditionalFormatting>
        <x14:conditionalFormatting xmlns:xm="http://schemas.microsoft.com/office/excel/2006/main">
          <x14:cfRule type="notContainsText" priority="366" operator="notContains" id="{40D130B6-AB5F-4DEE-9267-8ACCFF076B7D}">
            <xm:f>ISERROR(SEARCH("-",L151))</xm:f>
            <xm:f>"-"</xm:f>
            <x14:dxf>
              <fill>
                <patternFill>
                  <bgColor theme="0" tint="-4.9989318521683403E-2"/>
                </patternFill>
              </fill>
            </x14:dxf>
          </x14:cfRule>
          <xm:sqref>L151:M151</xm:sqref>
        </x14:conditionalFormatting>
        <x14:conditionalFormatting xmlns:xm="http://schemas.microsoft.com/office/excel/2006/main">
          <x14:cfRule type="notContainsText" priority="365" operator="notContains" id="{586E79F0-3805-48EC-8AA6-BDB56284715E}">
            <xm:f>ISERROR(SEARCH("-",L149))</xm:f>
            <xm:f>"-"</xm:f>
            <x14:dxf>
              <fill>
                <patternFill>
                  <bgColor theme="0" tint="-4.9989318521683403E-2"/>
                </patternFill>
              </fill>
            </x14:dxf>
          </x14:cfRule>
          <xm:sqref>L149:M150</xm:sqref>
        </x14:conditionalFormatting>
        <x14:conditionalFormatting xmlns:xm="http://schemas.microsoft.com/office/excel/2006/main">
          <x14:cfRule type="expression" priority="364" id="{5E4E1270-A692-4378-BE41-DB474B7A71B9}">
            <xm:f>H149=Categories!$E$11</xm:f>
            <x14:dxf>
              <font>
                <b/>
                <i val="0"/>
              </font>
            </x14:dxf>
          </x14:cfRule>
          <xm:sqref>N149</xm:sqref>
        </x14:conditionalFormatting>
        <x14:conditionalFormatting xmlns:xm="http://schemas.microsoft.com/office/excel/2006/main">
          <x14:cfRule type="containsText" priority="357" operator="containsText" id="{39C50DC7-0486-4D90-AAB9-3A09B12972DB}">
            <xm:f>NOT(ISERROR(SEARCH("-",F115)))</xm:f>
            <xm:f>"-"</xm:f>
            <x14:dxf>
              <fill>
                <patternFill>
                  <bgColor theme="0" tint="-4.9989318521683403E-2"/>
                </patternFill>
              </fill>
            </x14:dxf>
          </x14:cfRule>
          <xm:sqref>F115:F124</xm:sqref>
        </x14:conditionalFormatting>
        <x14:conditionalFormatting xmlns:xm="http://schemas.microsoft.com/office/excel/2006/main">
          <x14:cfRule type="containsText" priority="349" operator="containsText" id="{2D527A92-7746-4A00-BC6A-C118ADE2F0D9}">
            <xm:f>NOT(ISERROR(SEARCH("-",F139)))</xm:f>
            <xm:f>"-"</xm:f>
            <x14:dxf>
              <fill>
                <patternFill>
                  <bgColor theme="0" tint="-4.9989318521683403E-2"/>
                </patternFill>
              </fill>
            </x14:dxf>
          </x14:cfRule>
          <xm:sqref>F139:F148</xm:sqref>
        </x14:conditionalFormatting>
        <x14:conditionalFormatting xmlns:xm="http://schemas.microsoft.com/office/excel/2006/main">
          <x14:cfRule type="containsText" priority="345" operator="containsText" id="{ADAA6408-6AE2-4543-89E6-3704849F9E76}">
            <xm:f>NOT(ISERROR(SEARCH("-",F153)))</xm:f>
            <xm:f>"-"</xm:f>
            <x14:dxf>
              <fill>
                <patternFill>
                  <bgColor theme="0" tint="-4.9989318521683403E-2"/>
                </patternFill>
              </fill>
            </x14:dxf>
          </x14:cfRule>
          <xm:sqref>F153:F158</xm:sqref>
        </x14:conditionalFormatting>
        <x14:conditionalFormatting xmlns:xm="http://schemas.microsoft.com/office/excel/2006/main">
          <x14:cfRule type="expression" priority="343" id="{0ED68E19-0A70-40B7-AA3F-807E917EF425}">
            <xm:f>H151=Categories!$E$11</xm:f>
            <x14:dxf>
              <font>
                <b/>
                <i val="0"/>
              </font>
            </x14:dxf>
          </x14:cfRule>
          <xm:sqref>N151</xm:sqref>
        </x14:conditionalFormatting>
        <x14:conditionalFormatting xmlns:xm="http://schemas.microsoft.com/office/excel/2006/main">
          <x14:cfRule type="containsText" priority="340" operator="containsText" id="{570CEB5C-5BE8-417F-B48D-A5D1CE4ECDEB}">
            <xm:f>NOT(ISERROR(SEARCH("-",F161)))</xm:f>
            <xm:f>"-"</xm:f>
            <x14:dxf>
              <fill>
                <patternFill>
                  <bgColor theme="0" tint="-4.9989318521683403E-2"/>
                </patternFill>
              </fill>
            </x14:dxf>
          </x14:cfRule>
          <xm:sqref>F161:F166</xm:sqref>
        </x14:conditionalFormatting>
        <x14:conditionalFormatting xmlns:xm="http://schemas.microsoft.com/office/excel/2006/main">
          <x14:cfRule type="containsText" priority="336" operator="containsText" id="{2982C816-AB4A-4BD6-A5C0-7320B0653E70}">
            <xm:f>NOT(ISERROR(SEARCH("-",F169)))</xm:f>
            <xm:f>"-"</xm:f>
            <x14:dxf>
              <fill>
                <patternFill>
                  <bgColor theme="0" tint="-4.9989318521683403E-2"/>
                </patternFill>
              </fill>
            </x14:dxf>
          </x14:cfRule>
          <xm:sqref>F169:F174</xm:sqref>
        </x14:conditionalFormatting>
        <x14:conditionalFormatting xmlns:xm="http://schemas.microsoft.com/office/excel/2006/main">
          <x14:cfRule type="containsText" priority="332" operator="containsText" id="{7A496A67-EAD2-4C9D-88C1-84F28AC9379E}">
            <xm:f>NOT(ISERROR(SEARCH("-",F177)))</xm:f>
            <xm:f>"-"</xm:f>
            <x14:dxf>
              <fill>
                <patternFill>
                  <bgColor theme="0" tint="-4.9989318521683403E-2"/>
                </patternFill>
              </fill>
            </x14:dxf>
          </x14:cfRule>
          <xm:sqref>F177:F182</xm:sqref>
        </x14:conditionalFormatting>
        <x14:conditionalFormatting xmlns:xm="http://schemas.microsoft.com/office/excel/2006/main">
          <x14:cfRule type="containsText" priority="328" operator="containsText" id="{99D3CC32-FC86-4EFC-B08F-24DE359F5060}">
            <xm:f>NOT(ISERROR(SEARCH("-",F187)))</xm:f>
            <xm:f>"-"</xm:f>
            <x14:dxf>
              <fill>
                <patternFill>
                  <bgColor theme="0" tint="-4.9989318521683403E-2"/>
                </patternFill>
              </fill>
            </x14:dxf>
          </x14:cfRule>
          <xm:sqref>F187:F192</xm:sqref>
        </x14:conditionalFormatting>
        <x14:conditionalFormatting xmlns:xm="http://schemas.microsoft.com/office/excel/2006/main">
          <x14:cfRule type="containsText" priority="324" operator="containsText" id="{43E440B3-53E8-4C12-8404-3BD3F0725588}">
            <xm:f>NOT(ISERROR(SEARCH("-",F195)))</xm:f>
            <xm:f>"-"</xm:f>
            <x14:dxf>
              <fill>
                <patternFill>
                  <bgColor theme="0" tint="-4.9989318521683403E-2"/>
                </patternFill>
              </fill>
            </x14:dxf>
          </x14:cfRule>
          <xm:sqref>F195:F200</xm:sqref>
        </x14:conditionalFormatting>
        <x14:conditionalFormatting xmlns:xm="http://schemas.microsoft.com/office/excel/2006/main">
          <x14:cfRule type="containsText" priority="320" operator="containsText" id="{1B6C54E4-5C4E-4DC7-BC21-4E9C4F23195C}">
            <xm:f>NOT(ISERROR(SEARCH("-",F203)))</xm:f>
            <xm:f>"-"</xm:f>
            <x14:dxf>
              <fill>
                <patternFill>
                  <bgColor theme="0" tint="-4.9989318521683403E-2"/>
                </patternFill>
              </fill>
            </x14:dxf>
          </x14:cfRule>
          <xm:sqref>F203:F208</xm:sqref>
        </x14:conditionalFormatting>
        <x14:conditionalFormatting xmlns:xm="http://schemas.microsoft.com/office/excel/2006/main">
          <x14:cfRule type="containsText" priority="316" operator="containsText" id="{E3738A2D-75FF-420C-ACEF-9403CED557FC}">
            <xm:f>NOT(ISERROR(SEARCH("-",F211)))</xm:f>
            <xm:f>"-"</xm:f>
            <x14:dxf>
              <fill>
                <patternFill>
                  <bgColor theme="0" tint="-4.9989318521683403E-2"/>
                </patternFill>
              </fill>
            </x14:dxf>
          </x14:cfRule>
          <xm:sqref>F211:F216</xm:sqref>
        </x14:conditionalFormatting>
        <x14:conditionalFormatting xmlns:xm="http://schemas.microsoft.com/office/excel/2006/main">
          <x14:cfRule type="containsText" priority="312" operator="containsText" id="{E484BE68-FFBC-4440-9A62-F4F826C63976}">
            <xm:f>NOT(ISERROR(SEARCH("-",F303)))</xm:f>
            <xm:f>"-"</xm:f>
            <x14:dxf>
              <fill>
                <patternFill>
                  <bgColor theme="0" tint="-4.9989318521683403E-2"/>
                </patternFill>
              </fill>
            </x14:dxf>
          </x14:cfRule>
          <xm:sqref>F303:F310</xm:sqref>
        </x14:conditionalFormatting>
        <x14:conditionalFormatting xmlns:xm="http://schemas.microsoft.com/office/excel/2006/main">
          <x14:cfRule type="containsText" priority="308" operator="containsText" id="{11F7BAF4-2EC8-4E6D-922E-54812EE445AF}">
            <xm:f>NOT(ISERROR(SEARCH("-",F312)))</xm:f>
            <xm:f>"-"</xm:f>
            <x14:dxf>
              <fill>
                <patternFill>
                  <bgColor theme="0" tint="-4.9989318521683403E-2"/>
                </patternFill>
              </fill>
            </x14:dxf>
          </x14:cfRule>
          <xm:sqref>F312:F320</xm:sqref>
        </x14:conditionalFormatting>
        <x14:conditionalFormatting xmlns:xm="http://schemas.microsoft.com/office/excel/2006/main">
          <x14:cfRule type="expression" priority="306" id="{80A7B110-7A96-43E9-972F-CB241F23EE6F}">
            <xm:f>H27=Categories!$E$16</xm:f>
            <x14:dxf>
              <font>
                <b/>
                <i val="0"/>
              </font>
            </x14:dxf>
          </x14:cfRule>
          <xm:sqref>J27:J216</xm:sqref>
        </x14:conditionalFormatting>
        <x14:conditionalFormatting xmlns:xm="http://schemas.microsoft.com/office/excel/2006/main">
          <x14:cfRule type="expression" priority="305" id="{2D1343AA-DAE9-4280-8975-6079AF34D062}">
            <xm:f>H4=Categories!$E$16</xm:f>
            <x14:dxf>
              <font>
                <b/>
                <i val="0"/>
              </font>
            </x14:dxf>
          </x14:cfRule>
          <xm:sqref>J4:J15 J17:J26</xm:sqref>
        </x14:conditionalFormatting>
        <x14:conditionalFormatting xmlns:xm="http://schemas.microsoft.com/office/excel/2006/main">
          <x14:cfRule type="expression" priority="304" id="{A6A80A10-78F1-4942-8504-E388EB634291}">
            <xm:f>H302=Categories!$E$16</xm:f>
            <x14:dxf>
              <font>
                <b/>
                <i val="0"/>
              </font>
            </x14:dxf>
          </x14:cfRule>
          <xm:sqref>J302:J321</xm:sqref>
        </x14:conditionalFormatting>
        <x14:conditionalFormatting xmlns:xm="http://schemas.microsoft.com/office/excel/2006/main">
          <x14:cfRule type="expression" priority="303" id="{6A1C322E-771D-41A7-8524-B2F8375A2EB5}">
            <xm:f>H217=Categories!$E$7</xm:f>
            <x14:dxf>
              <font>
                <b/>
                <i val="0"/>
              </font>
            </x14:dxf>
          </x14:cfRule>
          <xm:sqref>K217</xm:sqref>
        </x14:conditionalFormatting>
        <x14:conditionalFormatting xmlns:xm="http://schemas.microsoft.com/office/excel/2006/main">
          <x14:cfRule type="containsText" priority="299" operator="containsText" id="{0DDCD53F-9847-4B6A-9660-9B377D32AF74}">
            <xm:f>NOT(ISERROR(SEARCH("-",F217)))</xm:f>
            <xm:f>"-"</xm:f>
            <x14:dxf>
              <fill>
                <patternFill>
                  <bgColor theme="0" tint="-4.9989318521683403E-2"/>
                </patternFill>
              </fill>
            </x14:dxf>
          </x14:cfRule>
          <xm:sqref>F217:F218</xm:sqref>
        </x14:conditionalFormatting>
        <x14:conditionalFormatting xmlns:xm="http://schemas.microsoft.com/office/excel/2006/main">
          <x14:cfRule type="containsText" priority="294" operator="containsText" id="{7C1B725A-637D-460A-A7D8-1334B7564DAA}">
            <xm:f>NOT(ISERROR(SEARCH("-",F219)))</xm:f>
            <xm:f>"-"</xm:f>
            <x14:dxf>
              <fill>
                <patternFill>
                  <bgColor theme="0" tint="-4.9989318521683403E-2"/>
                </patternFill>
              </fill>
            </x14:dxf>
          </x14:cfRule>
          <xm:sqref>F219</xm:sqref>
        </x14:conditionalFormatting>
        <x14:conditionalFormatting xmlns:xm="http://schemas.microsoft.com/office/excel/2006/main">
          <x14:cfRule type="containsText" priority="289" operator="containsText" id="{346E69AF-ED1B-40DC-950F-1A4A43BEE46F}">
            <xm:f>NOT(ISERROR(SEARCH("-",F220)))</xm:f>
            <xm:f>"-"</xm:f>
            <x14:dxf>
              <fill>
                <patternFill>
                  <bgColor theme="0" tint="-4.9989318521683403E-2"/>
                </patternFill>
              </fill>
            </x14:dxf>
          </x14:cfRule>
          <xm:sqref>F220</xm:sqref>
        </x14:conditionalFormatting>
        <x14:conditionalFormatting xmlns:xm="http://schemas.microsoft.com/office/excel/2006/main">
          <x14:cfRule type="expression" priority="286" id="{DE849E15-617B-4A03-9656-8C6524EF4EB7}">
            <xm:f>H219=Categories!$E$7</xm:f>
            <x14:dxf>
              <font>
                <b/>
                <i val="0"/>
              </font>
            </x14:dxf>
          </x14:cfRule>
          <xm:sqref>K219:K221</xm:sqref>
        </x14:conditionalFormatting>
        <x14:conditionalFormatting xmlns:xm="http://schemas.microsoft.com/office/excel/2006/main">
          <x14:cfRule type="expression" priority="285" id="{EAEAA302-692B-4423-8803-4A2434CDB0A7}">
            <xm:f>H222=Categories!$E$7</xm:f>
            <x14:dxf>
              <font>
                <b/>
                <i val="0"/>
              </font>
            </x14:dxf>
          </x14:cfRule>
          <xm:sqref>K222:K227</xm:sqref>
        </x14:conditionalFormatting>
        <x14:conditionalFormatting xmlns:xm="http://schemas.microsoft.com/office/excel/2006/main">
          <x14:cfRule type="containsText" priority="282" operator="containsText" id="{2448619F-8A6B-440B-B1C8-C8D54CA625B3}">
            <xm:f>NOT(ISERROR(SEARCH("-",F227)))</xm:f>
            <xm:f>"-"</xm:f>
            <x14:dxf>
              <fill>
                <patternFill>
                  <bgColor theme="0" tint="-4.9989318521683403E-2"/>
                </patternFill>
              </fill>
            </x14:dxf>
          </x14:cfRule>
          <xm:sqref>F227</xm:sqref>
        </x14:conditionalFormatting>
        <x14:conditionalFormatting xmlns:xm="http://schemas.microsoft.com/office/excel/2006/main">
          <x14:cfRule type="containsText" priority="277" operator="containsText" id="{5184B3CE-3831-4A2C-8775-0DFD09014E75}">
            <xm:f>NOT(ISERROR(SEARCH("-",F228)))</xm:f>
            <xm:f>"-"</xm:f>
            <x14:dxf>
              <fill>
                <patternFill>
                  <bgColor theme="0" tint="-4.9989318521683403E-2"/>
                </patternFill>
              </fill>
            </x14:dxf>
          </x14:cfRule>
          <xm:sqref>F228</xm:sqref>
        </x14:conditionalFormatting>
        <x14:conditionalFormatting xmlns:xm="http://schemas.microsoft.com/office/excel/2006/main">
          <x14:cfRule type="expression" priority="274" id="{00984448-00F7-4B27-BEF9-7E2998F979F6}">
            <xm:f>H229=Categories!$E$7</xm:f>
            <x14:dxf>
              <font>
                <b/>
                <i val="0"/>
              </font>
            </x14:dxf>
          </x14:cfRule>
          <xm:sqref>K229</xm:sqref>
        </x14:conditionalFormatting>
        <x14:conditionalFormatting xmlns:xm="http://schemas.microsoft.com/office/excel/2006/main">
          <x14:cfRule type="expression" priority="273" id="{BCF83D1F-4C39-4B04-BDAF-464FF32C566E}">
            <xm:f>H228=Categories!$E$7</xm:f>
            <x14:dxf>
              <font>
                <b/>
                <i val="0"/>
              </font>
            </x14:dxf>
          </x14:cfRule>
          <xm:sqref>K228</xm:sqref>
        </x14:conditionalFormatting>
        <x14:conditionalFormatting xmlns:xm="http://schemas.microsoft.com/office/excel/2006/main">
          <x14:cfRule type="expression" priority="272" id="{EDCB2D95-5162-4371-ABB7-FF80047ADEBD}">
            <xm:f>H230=Categories!$E$7</xm:f>
            <x14:dxf>
              <font>
                <b/>
                <i val="0"/>
              </font>
            </x14:dxf>
          </x14:cfRule>
          <xm:sqref>K230:K234</xm:sqref>
        </x14:conditionalFormatting>
        <x14:conditionalFormatting xmlns:xm="http://schemas.microsoft.com/office/excel/2006/main">
          <x14:cfRule type="expression" priority="270" id="{480CAAEA-5939-40B6-A429-F93BB515C276}">
            <xm:f>H235=Categories!$E$7</xm:f>
            <x14:dxf>
              <font>
                <b/>
                <i val="0"/>
              </font>
            </x14:dxf>
          </x14:cfRule>
          <xm:sqref>K235</xm:sqref>
        </x14:conditionalFormatting>
        <x14:conditionalFormatting xmlns:xm="http://schemas.microsoft.com/office/excel/2006/main">
          <x14:cfRule type="containsText" priority="267" operator="containsText" id="{10D7BF1D-432B-4514-8551-A168B7B79ECE}">
            <xm:f>NOT(ISERROR(SEARCH("-",F235)))</xm:f>
            <xm:f>"-"</xm:f>
            <x14:dxf>
              <fill>
                <patternFill>
                  <bgColor theme="0" tint="-4.9989318521683403E-2"/>
                </patternFill>
              </fill>
            </x14:dxf>
          </x14:cfRule>
          <xm:sqref>F235</xm:sqref>
        </x14:conditionalFormatting>
        <x14:conditionalFormatting xmlns:xm="http://schemas.microsoft.com/office/excel/2006/main">
          <x14:cfRule type="containsText" priority="262" operator="containsText" id="{D2231298-0F02-4B5B-BE4C-5C5E1B98F24D}">
            <xm:f>NOT(ISERROR(SEARCH("-",F236)))</xm:f>
            <xm:f>"-"</xm:f>
            <x14:dxf>
              <fill>
                <patternFill>
                  <bgColor theme="0" tint="-4.9989318521683403E-2"/>
                </patternFill>
              </fill>
            </x14:dxf>
          </x14:cfRule>
          <xm:sqref>F236</xm:sqref>
        </x14:conditionalFormatting>
        <x14:conditionalFormatting xmlns:xm="http://schemas.microsoft.com/office/excel/2006/main">
          <x14:cfRule type="expression" priority="259" id="{B3AFD289-11DF-4A3B-ABB3-946D94B70DA4}">
            <xm:f>H237=Categories!$E$7</xm:f>
            <x14:dxf>
              <font>
                <b/>
                <i val="0"/>
              </font>
            </x14:dxf>
          </x14:cfRule>
          <xm:sqref>K237</xm:sqref>
        </x14:conditionalFormatting>
        <x14:conditionalFormatting xmlns:xm="http://schemas.microsoft.com/office/excel/2006/main">
          <x14:cfRule type="expression" priority="258" id="{30E87C2D-F512-423C-9B8F-E803917D127B}">
            <xm:f>H236=Categories!$E$7</xm:f>
            <x14:dxf>
              <font>
                <b/>
                <i val="0"/>
              </font>
            </x14:dxf>
          </x14:cfRule>
          <xm:sqref>K236</xm:sqref>
        </x14:conditionalFormatting>
        <x14:conditionalFormatting xmlns:xm="http://schemas.microsoft.com/office/excel/2006/main">
          <x14:cfRule type="expression" priority="257" id="{A6332FAA-A5E1-4EF7-BC12-D6EE9BBB01F8}">
            <xm:f>H238=Categories!$E$7</xm:f>
            <x14:dxf>
              <font>
                <b/>
                <i val="0"/>
              </font>
            </x14:dxf>
          </x14:cfRule>
          <xm:sqref>K238:K242</xm:sqref>
        </x14:conditionalFormatting>
        <x14:conditionalFormatting xmlns:xm="http://schemas.microsoft.com/office/excel/2006/main">
          <x14:cfRule type="expression" priority="255" id="{DAFD5593-F06D-4CDB-8591-F0488ECD71E3}">
            <xm:f>H243=Categories!$E$7</xm:f>
            <x14:dxf>
              <font>
                <b/>
                <i val="0"/>
              </font>
            </x14:dxf>
          </x14:cfRule>
          <xm:sqref>K243</xm:sqref>
        </x14:conditionalFormatting>
        <x14:conditionalFormatting xmlns:xm="http://schemas.microsoft.com/office/excel/2006/main">
          <x14:cfRule type="containsText" priority="252" operator="containsText" id="{F5E7CA08-BEC2-4EBF-8985-EC227A7369E8}">
            <xm:f>NOT(ISERROR(SEARCH("-",F243)))</xm:f>
            <xm:f>"-"</xm:f>
            <x14:dxf>
              <fill>
                <patternFill>
                  <bgColor theme="0" tint="-4.9989318521683403E-2"/>
                </patternFill>
              </fill>
            </x14:dxf>
          </x14:cfRule>
          <xm:sqref>F243</xm:sqref>
        </x14:conditionalFormatting>
        <x14:conditionalFormatting xmlns:xm="http://schemas.microsoft.com/office/excel/2006/main">
          <x14:cfRule type="containsText" priority="247" operator="containsText" id="{9C5EF125-FA7F-414B-9106-ECAF57FBA884}">
            <xm:f>NOT(ISERROR(SEARCH("-",F244)))</xm:f>
            <xm:f>"-"</xm:f>
            <x14:dxf>
              <fill>
                <patternFill>
                  <bgColor theme="0" tint="-4.9989318521683403E-2"/>
                </patternFill>
              </fill>
            </x14:dxf>
          </x14:cfRule>
          <xm:sqref>F244</xm:sqref>
        </x14:conditionalFormatting>
        <x14:conditionalFormatting xmlns:xm="http://schemas.microsoft.com/office/excel/2006/main">
          <x14:cfRule type="expression" priority="244" id="{BFD5838A-815F-41C8-88A9-0C236EA6EE82}">
            <xm:f>H245=Categories!$E$7</xm:f>
            <x14:dxf>
              <font>
                <b/>
                <i val="0"/>
              </font>
            </x14:dxf>
          </x14:cfRule>
          <xm:sqref>K245</xm:sqref>
        </x14:conditionalFormatting>
        <x14:conditionalFormatting xmlns:xm="http://schemas.microsoft.com/office/excel/2006/main">
          <x14:cfRule type="expression" priority="243" id="{72F61557-D37D-42B4-8A22-D4371F009A9F}">
            <xm:f>H244=Categories!$E$7</xm:f>
            <x14:dxf>
              <font>
                <b/>
                <i val="0"/>
              </font>
            </x14:dxf>
          </x14:cfRule>
          <xm:sqref>K244</xm:sqref>
        </x14:conditionalFormatting>
        <x14:conditionalFormatting xmlns:xm="http://schemas.microsoft.com/office/excel/2006/main">
          <x14:cfRule type="expression" priority="242" id="{19FF2137-27DE-4BE2-9DA9-0CFBD532C9E6}">
            <xm:f>H246=Categories!$E$7</xm:f>
            <x14:dxf>
              <font>
                <b/>
                <i val="0"/>
              </font>
            </x14:dxf>
          </x14:cfRule>
          <xm:sqref>K246:K250</xm:sqref>
        </x14:conditionalFormatting>
        <x14:conditionalFormatting xmlns:xm="http://schemas.microsoft.com/office/excel/2006/main">
          <x14:cfRule type="containsText" priority="238" operator="containsText" id="{17F1C53E-2CA1-42AB-ACE0-752E08814B97}">
            <xm:f>NOT(ISERROR(SEARCH("-",F218)))</xm:f>
            <xm:f>"-"</xm:f>
            <x14:dxf>
              <fill>
                <patternFill>
                  <bgColor theme="0" tint="-4.9989318521683403E-2"/>
                </patternFill>
              </fill>
            </x14:dxf>
          </x14:cfRule>
          <xm:sqref>F218</xm:sqref>
        </x14:conditionalFormatting>
        <x14:conditionalFormatting xmlns:xm="http://schemas.microsoft.com/office/excel/2006/main">
          <x14:cfRule type="expression" priority="236" id="{6A7B6445-0C8A-4A32-B510-2D241B8F9308}">
            <xm:f>H218=Categories!$E$7</xm:f>
            <x14:dxf>
              <font>
                <b/>
                <i val="0"/>
              </font>
            </x14:dxf>
          </x14:cfRule>
          <xm:sqref>K218</xm:sqref>
        </x14:conditionalFormatting>
        <x14:conditionalFormatting xmlns:xm="http://schemas.microsoft.com/office/excel/2006/main">
          <x14:cfRule type="expression" priority="235" id="{5ED4A99A-EC6E-4C21-842F-C998C4E7A4C8}">
            <xm:f>H219=Categories!$E$11</xm:f>
            <x14:dxf>
              <font>
                <b/>
                <i val="0"/>
              </font>
            </x14:dxf>
          </x14:cfRule>
          <xm:sqref>N219</xm:sqref>
        </x14:conditionalFormatting>
        <x14:conditionalFormatting xmlns:xm="http://schemas.microsoft.com/office/excel/2006/main">
          <x14:cfRule type="expression" priority="234" id="{7E392B06-A858-4158-BD25-DD134EF3D0A4}">
            <xm:f>H218=Categories!$E$11</xm:f>
            <x14:dxf>
              <font>
                <b/>
                <i val="0"/>
              </font>
            </x14:dxf>
          </x14:cfRule>
          <xm:sqref>N218</xm:sqref>
        </x14:conditionalFormatting>
        <x14:conditionalFormatting xmlns:xm="http://schemas.microsoft.com/office/excel/2006/main">
          <x14:cfRule type="notContainsText" priority="231" operator="notContains" id="{5619E94A-FC8C-4E04-BA66-E1405906075C}">
            <xm:f>ISERROR(SEARCH("-",L219))</xm:f>
            <xm:f>"-"</xm:f>
            <x14:dxf>
              <fill>
                <patternFill>
                  <bgColor theme="0" tint="-4.9989318521683403E-2"/>
                </patternFill>
              </fill>
            </x14:dxf>
          </x14:cfRule>
          <xm:sqref>L219:L220</xm:sqref>
        </x14:conditionalFormatting>
        <x14:conditionalFormatting xmlns:xm="http://schemas.microsoft.com/office/excel/2006/main">
          <x14:cfRule type="notContainsText" priority="230" operator="notContains" id="{9B17DB82-1861-4698-854F-A3D1595F9B70}">
            <xm:f>ISERROR(SEARCH("-",L221))</xm:f>
            <xm:f>"-"</xm:f>
            <x14:dxf>
              <fill>
                <patternFill>
                  <bgColor theme="0" tint="-4.9989318521683403E-2"/>
                </patternFill>
              </fill>
            </x14:dxf>
          </x14:cfRule>
          <xm:sqref>L221:M222</xm:sqref>
        </x14:conditionalFormatting>
        <x14:conditionalFormatting xmlns:xm="http://schemas.microsoft.com/office/excel/2006/main">
          <x14:cfRule type="notContainsText" priority="229" operator="notContains" id="{7CF7BD27-5160-4847-A5A8-B88FFB9F4F02}">
            <xm:f>ISERROR(SEARCH("-",L218))</xm:f>
            <xm:f>"-"</xm:f>
            <x14:dxf>
              <fill>
                <patternFill>
                  <bgColor theme="0" tint="-4.9989318521683403E-2"/>
                </patternFill>
              </fill>
            </x14:dxf>
          </x14:cfRule>
          <xm:sqref>L218:M218</xm:sqref>
        </x14:conditionalFormatting>
        <x14:conditionalFormatting xmlns:xm="http://schemas.microsoft.com/office/excel/2006/main">
          <x14:cfRule type="notContainsText" priority="228" operator="notContains" id="{8ACDC0D4-2E1B-48FC-B27D-D91378E97E45}">
            <xm:f>ISERROR(SEARCH("-",L223))</xm:f>
            <xm:f>"-"</xm:f>
            <x14:dxf>
              <fill>
                <patternFill>
                  <bgColor theme="0" tint="-4.9989318521683403E-2"/>
                </patternFill>
              </fill>
            </x14:dxf>
          </x14:cfRule>
          <xm:sqref>L223:M226</xm:sqref>
        </x14:conditionalFormatting>
        <x14:conditionalFormatting xmlns:xm="http://schemas.microsoft.com/office/excel/2006/main">
          <x14:cfRule type="containsText" priority="225" operator="containsText" id="{A70479C0-CF55-4709-A2DF-28D6AC0D8DE9}">
            <xm:f>NOT(ISERROR(SEARCH("-",F221)))</xm:f>
            <xm:f>"-"</xm:f>
            <x14:dxf>
              <fill>
                <patternFill>
                  <bgColor theme="0" tint="-4.9989318521683403E-2"/>
                </patternFill>
              </fill>
            </x14:dxf>
          </x14:cfRule>
          <xm:sqref>F221:F226</xm:sqref>
        </x14:conditionalFormatting>
        <x14:conditionalFormatting xmlns:xm="http://schemas.microsoft.com/office/excel/2006/main">
          <x14:cfRule type="containsText" priority="221" operator="containsText" id="{71BBD32D-E00E-4AC3-A012-1A571A09DBAE}">
            <xm:f>NOT(ISERROR(SEARCH("-",F229)))</xm:f>
            <xm:f>"-"</xm:f>
            <x14:dxf>
              <fill>
                <patternFill>
                  <bgColor theme="0" tint="-4.9989318521683403E-2"/>
                </patternFill>
              </fill>
            </x14:dxf>
          </x14:cfRule>
          <xm:sqref>F229:F234</xm:sqref>
        </x14:conditionalFormatting>
        <x14:conditionalFormatting xmlns:xm="http://schemas.microsoft.com/office/excel/2006/main">
          <x14:cfRule type="containsText" priority="217" operator="containsText" id="{CEBEE699-4EE3-44B7-BBD8-706800BC434D}">
            <xm:f>NOT(ISERROR(SEARCH("-",F237)))</xm:f>
            <xm:f>"-"</xm:f>
            <x14:dxf>
              <fill>
                <patternFill>
                  <bgColor theme="0" tint="-4.9989318521683403E-2"/>
                </patternFill>
              </fill>
            </x14:dxf>
          </x14:cfRule>
          <xm:sqref>F237:F242</xm:sqref>
        </x14:conditionalFormatting>
        <x14:conditionalFormatting xmlns:xm="http://schemas.microsoft.com/office/excel/2006/main">
          <x14:cfRule type="containsText" priority="213" operator="containsText" id="{42C1F97B-9A09-4632-A702-7AFECCEA247E}">
            <xm:f>NOT(ISERROR(SEARCH("-",F245)))</xm:f>
            <xm:f>"-"</xm:f>
            <x14:dxf>
              <fill>
                <patternFill>
                  <bgColor theme="0" tint="-4.9989318521683403E-2"/>
                </patternFill>
              </fill>
            </x14:dxf>
          </x14:cfRule>
          <xm:sqref>F245:F250</xm:sqref>
        </x14:conditionalFormatting>
        <x14:conditionalFormatting xmlns:xm="http://schemas.microsoft.com/office/excel/2006/main">
          <x14:cfRule type="expression" priority="211" id="{EF22469D-13BC-420C-BB05-C8D77F735ABA}">
            <xm:f>H217=Categories!$E$16</xm:f>
            <x14:dxf>
              <font>
                <b/>
                <i val="0"/>
              </font>
            </x14:dxf>
          </x14:cfRule>
          <xm:sqref>J217:J250</xm:sqref>
        </x14:conditionalFormatting>
        <x14:conditionalFormatting xmlns:xm="http://schemas.microsoft.com/office/excel/2006/main">
          <x14:cfRule type="containsText" priority="207" operator="containsText" id="{DA3A35E0-69EE-4F9B-9D11-B97381AC8904}">
            <xm:f>NOT(ISERROR(SEARCH("-",F251)))</xm:f>
            <xm:f>"-"</xm:f>
            <x14:dxf>
              <fill>
                <patternFill>
                  <bgColor theme="0" tint="-4.9989318521683403E-2"/>
                </patternFill>
              </fill>
            </x14:dxf>
          </x14:cfRule>
          <xm:sqref>F251</xm:sqref>
        </x14:conditionalFormatting>
        <x14:conditionalFormatting xmlns:xm="http://schemas.microsoft.com/office/excel/2006/main">
          <x14:cfRule type="containsText" priority="202" operator="containsText" id="{83D70736-DDA7-4756-92EF-6DE262EEDD82}">
            <xm:f>NOT(ISERROR(SEARCH("-",F251)))</xm:f>
            <xm:f>"-"</xm:f>
            <x14:dxf>
              <fill>
                <patternFill>
                  <bgColor theme="0" tint="-4.9989318521683403E-2"/>
                </patternFill>
              </fill>
            </x14:dxf>
          </x14:cfRule>
          <xm:sqref>F251</xm:sqref>
        </x14:conditionalFormatting>
        <x14:conditionalFormatting xmlns:xm="http://schemas.microsoft.com/office/excel/2006/main">
          <x14:cfRule type="expression" priority="200" id="{6A483872-87E4-4870-88B1-202429F70A6F}">
            <xm:f>H251=Categories!$E$7</xm:f>
            <x14:dxf>
              <font>
                <b/>
                <i val="0"/>
              </font>
            </x14:dxf>
          </x14:cfRule>
          <xm:sqref>K251</xm:sqref>
        </x14:conditionalFormatting>
        <x14:conditionalFormatting xmlns:xm="http://schemas.microsoft.com/office/excel/2006/main">
          <x14:cfRule type="expression" priority="199" id="{D41EB7E1-04A2-41DD-8D46-2288E9686524}">
            <xm:f>H251=Categories!$E$11</xm:f>
            <x14:dxf>
              <font>
                <b/>
                <i val="0"/>
              </font>
            </x14:dxf>
          </x14:cfRule>
          <xm:sqref>N251</xm:sqref>
        </x14:conditionalFormatting>
        <x14:conditionalFormatting xmlns:xm="http://schemas.microsoft.com/office/excel/2006/main">
          <x14:cfRule type="notContainsText" priority="198" operator="notContains" id="{ED1E6A61-5CA2-4249-84C0-6B1617B03935}">
            <xm:f>ISERROR(SEARCH("-",L251))</xm:f>
            <xm:f>"-"</xm:f>
            <x14:dxf>
              <fill>
                <patternFill>
                  <bgColor theme="0" tint="-4.9989318521683403E-2"/>
                </patternFill>
              </fill>
            </x14:dxf>
          </x14:cfRule>
          <xm:sqref>L251:M251</xm:sqref>
        </x14:conditionalFormatting>
        <x14:conditionalFormatting xmlns:xm="http://schemas.microsoft.com/office/excel/2006/main">
          <x14:cfRule type="expression" priority="197" id="{BA8D818A-744E-4D30-BBD8-5DD995BD57EB}">
            <xm:f>H251=Categories!$E$16</xm:f>
            <x14:dxf>
              <font>
                <b/>
                <i val="0"/>
              </font>
            </x14:dxf>
          </x14:cfRule>
          <xm:sqref>J251</xm:sqref>
        </x14:conditionalFormatting>
        <x14:conditionalFormatting xmlns:xm="http://schemas.microsoft.com/office/excel/2006/main">
          <x14:cfRule type="containsText" priority="194" operator="containsText" id="{9E0E623D-1E85-41F6-AEB0-0CC7A078548C}">
            <xm:f>NOT(ISERROR(SEARCH("-",P4)))</xm:f>
            <xm:f>"-"</xm:f>
            <x14:dxf>
              <fill>
                <patternFill>
                  <bgColor theme="0"/>
                </patternFill>
              </fill>
            </x14:dxf>
          </x14:cfRule>
          <x14:cfRule type="notContainsText" priority="195" operator="notContains" id="{DA9101E1-13DE-4FBA-B4DB-A52A225E9173}">
            <xm:f>ISERROR(SEARCH("-",P4))</xm:f>
            <xm:f>"-"</xm:f>
            <x14:dxf>
              <fill>
                <patternFill>
                  <bgColor theme="0" tint="-4.9989318521683403E-2"/>
                </patternFill>
              </fill>
            </x14:dxf>
          </x14:cfRule>
          <xm:sqref>P4</xm:sqref>
        </x14:conditionalFormatting>
        <x14:conditionalFormatting xmlns:xm="http://schemas.microsoft.com/office/excel/2006/main">
          <x14:cfRule type="containsText" priority="192" operator="containsText" id="{72B6C2D0-B740-4C95-877C-C1D042C938AB}">
            <xm:f>NOT(ISERROR(SEARCH("-",P5)))</xm:f>
            <xm:f>"-"</xm:f>
            <x14:dxf>
              <fill>
                <patternFill>
                  <bgColor theme="0"/>
                </patternFill>
              </fill>
            </x14:dxf>
          </x14:cfRule>
          <x14:cfRule type="notContainsText" priority="193" operator="notContains" id="{2982E92D-8087-409F-904C-197FCCDD119B}">
            <xm:f>ISERROR(SEARCH("-",P5))</xm:f>
            <xm:f>"-"</xm:f>
            <x14:dxf>
              <fill>
                <patternFill>
                  <bgColor theme="0" tint="-4.9989318521683403E-2"/>
                </patternFill>
              </fill>
            </x14:dxf>
          </x14:cfRule>
          <xm:sqref>P5:P15 P302:P321 P17:P251</xm:sqref>
        </x14:conditionalFormatting>
        <x14:conditionalFormatting xmlns:xm="http://schemas.microsoft.com/office/excel/2006/main">
          <x14:cfRule type="expression" priority="113" id="{25EE2EDF-1204-44DB-891E-372FF778AD42}">
            <xm:f>H217=Categories!$E$11</xm:f>
            <x14:dxf>
              <font>
                <b/>
                <i val="0"/>
              </font>
            </x14:dxf>
          </x14:cfRule>
          <xm:sqref>N217</xm:sqref>
        </x14:conditionalFormatting>
        <x14:conditionalFormatting xmlns:xm="http://schemas.microsoft.com/office/excel/2006/main">
          <x14:cfRule type="expression" priority="187" id="{FBBACDF6-2834-4098-AD18-94DB683FB08B}">
            <xm:f>H220=Categories!$E$11</xm:f>
            <x14:dxf>
              <font>
                <b/>
                <i val="0"/>
              </font>
            </x14:dxf>
          </x14:cfRule>
          <xm:sqref>N220:N250</xm:sqref>
        </x14:conditionalFormatting>
        <x14:conditionalFormatting xmlns:xm="http://schemas.microsoft.com/office/excel/2006/main">
          <x14:cfRule type="notContainsText" priority="186" operator="notContains" id="{86F80D3B-F3FA-446F-A988-DF1BE4CC43D2}">
            <xm:f>ISERROR(SEARCH("-",M219))</xm:f>
            <xm:f>"-"</xm:f>
            <x14:dxf>
              <fill>
                <patternFill>
                  <bgColor theme="0" tint="-4.9989318521683403E-2"/>
                </patternFill>
              </fill>
            </x14:dxf>
          </x14:cfRule>
          <xm:sqref>M219</xm:sqref>
        </x14:conditionalFormatting>
        <x14:conditionalFormatting xmlns:xm="http://schemas.microsoft.com/office/excel/2006/main">
          <x14:cfRule type="notContainsText" priority="185" operator="notContains" id="{7D71C289-90C3-456A-BD06-16CB0D291A05}">
            <xm:f>ISERROR(SEARCH("-",M220))</xm:f>
            <xm:f>"-"</xm:f>
            <x14:dxf>
              <fill>
                <patternFill>
                  <bgColor theme="0" tint="-4.9989318521683403E-2"/>
                </patternFill>
              </fill>
            </x14:dxf>
          </x14:cfRule>
          <xm:sqref>M220</xm:sqref>
        </x14:conditionalFormatting>
        <x14:conditionalFormatting xmlns:xm="http://schemas.microsoft.com/office/excel/2006/main">
          <x14:cfRule type="notContainsText" priority="184" operator="notContains" id="{ABF5F2C1-7439-43C5-8A28-7D31B90CD4F6}">
            <xm:f>ISERROR(SEARCH("-",M229))</xm:f>
            <xm:f>"-"</xm:f>
            <x14:dxf>
              <fill>
                <patternFill>
                  <bgColor theme="0" tint="-4.9989318521683403E-2"/>
                </patternFill>
              </fill>
            </x14:dxf>
          </x14:cfRule>
          <xm:sqref>M229:M230</xm:sqref>
        </x14:conditionalFormatting>
        <x14:conditionalFormatting xmlns:xm="http://schemas.microsoft.com/office/excel/2006/main">
          <x14:cfRule type="notContainsText" priority="183" operator="notContains" id="{971E1760-6FD0-4A81-9B24-C934AE9BC5BA}">
            <xm:f>ISERROR(SEARCH("-",M231))</xm:f>
            <xm:f>"-"</xm:f>
            <x14:dxf>
              <fill>
                <patternFill>
                  <bgColor theme="0" tint="-4.9989318521683403E-2"/>
                </patternFill>
              </fill>
            </x14:dxf>
          </x14:cfRule>
          <xm:sqref>M231:M234</xm:sqref>
        </x14:conditionalFormatting>
        <x14:conditionalFormatting xmlns:xm="http://schemas.microsoft.com/office/excel/2006/main">
          <x14:cfRule type="notContainsText" priority="182" operator="notContains" id="{F921446E-D610-4426-B324-94050C83BBEC}">
            <xm:f>ISERROR(SEARCH("-",M227))</xm:f>
            <xm:f>"-"</xm:f>
            <x14:dxf>
              <fill>
                <patternFill>
                  <bgColor theme="0" tint="-4.9989318521683403E-2"/>
                </patternFill>
              </fill>
            </x14:dxf>
          </x14:cfRule>
          <xm:sqref>M227</xm:sqref>
        </x14:conditionalFormatting>
        <x14:conditionalFormatting xmlns:xm="http://schemas.microsoft.com/office/excel/2006/main">
          <x14:cfRule type="notContainsText" priority="181" operator="notContains" id="{F903C857-B02F-4E79-B67B-F51104F9DD65}">
            <xm:f>ISERROR(SEARCH("-",M228))</xm:f>
            <xm:f>"-"</xm:f>
            <x14:dxf>
              <fill>
                <patternFill>
                  <bgColor theme="0" tint="-4.9989318521683403E-2"/>
                </patternFill>
              </fill>
            </x14:dxf>
          </x14:cfRule>
          <xm:sqref>M228</xm:sqref>
        </x14:conditionalFormatting>
        <x14:conditionalFormatting xmlns:xm="http://schemas.microsoft.com/office/excel/2006/main">
          <x14:cfRule type="notContainsText" priority="180" operator="notContains" id="{94B7527C-CD0E-4A90-B821-028F67EFA325}">
            <xm:f>ISERROR(SEARCH("-",M237))</xm:f>
            <xm:f>"-"</xm:f>
            <x14:dxf>
              <fill>
                <patternFill>
                  <bgColor theme="0" tint="-4.9989318521683403E-2"/>
                </patternFill>
              </fill>
            </x14:dxf>
          </x14:cfRule>
          <xm:sqref>M237:M238</xm:sqref>
        </x14:conditionalFormatting>
        <x14:conditionalFormatting xmlns:xm="http://schemas.microsoft.com/office/excel/2006/main">
          <x14:cfRule type="notContainsText" priority="179" operator="notContains" id="{D835D4E3-FA35-4844-A529-6BCC91B70989}">
            <xm:f>ISERROR(SEARCH("-",M239))</xm:f>
            <xm:f>"-"</xm:f>
            <x14:dxf>
              <fill>
                <patternFill>
                  <bgColor theme="0" tint="-4.9989318521683403E-2"/>
                </patternFill>
              </fill>
            </x14:dxf>
          </x14:cfRule>
          <xm:sqref>M239:M242</xm:sqref>
        </x14:conditionalFormatting>
        <x14:conditionalFormatting xmlns:xm="http://schemas.microsoft.com/office/excel/2006/main">
          <x14:cfRule type="notContainsText" priority="178" operator="notContains" id="{39E13FDA-69EE-45D2-99BC-6B7878C2C51D}">
            <xm:f>ISERROR(SEARCH("-",M235))</xm:f>
            <xm:f>"-"</xm:f>
            <x14:dxf>
              <fill>
                <patternFill>
                  <bgColor theme="0" tint="-4.9989318521683403E-2"/>
                </patternFill>
              </fill>
            </x14:dxf>
          </x14:cfRule>
          <xm:sqref>M235</xm:sqref>
        </x14:conditionalFormatting>
        <x14:conditionalFormatting xmlns:xm="http://schemas.microsoft.com/office/excel/2006/main">
          <x14:cfRule type="notContainsText" priority="177" operator="notContains" id="{13985138-5BD0-4E00-A0A7-2296C51D7F7B}">
            <xm:f>ISERROR(SEARCH("-",M236))</xm:f>
            <xm:f>"-"</xm:f>
            <x14:dxf>
              <fill>
                <patternFill>
                  <bgColor theme="0" tint="-4.9989318521683403E-2"/>
                </patternFill>
              </fill>
            </x14:dxf>
          </x14:cfRule>
          <xm:sqref>M236</xm:sqref>
        </x14:conditionalFormatting>
        <x14:conditionalFormatting xmlns:xm="http://schemas.microsoft.com/office/excel/2006/main">
          <x14:cfRule type="notContainsText" priority="176" operator="notContains" id="{CAFFC3EF-0746-4AC7-942E-FD3BAC8F8708}">
            <xm:f>ISERROR(SEARCH("-",M245))</xm:f>
            <xm:f>"-"</xm:f>
            <x14:dxf>
              <fill>
                <patternFill>
                  <bgColor theme="0" tint="-4.9989318521683403E-2"/>
                </patternFill>
              </fill>
            </x14:dxf>
          </x14:cfRule>
          <xm:sqref>M245:M246</xm:sqref>
        </x14:conditionalFormatting>
        <x14:conditionalFormatting xmlns:xm="http://schemas.microsoft.com/office/excel/2006/main">
          <x14:cfRule type="notContainsText" priority="175" operator="notContains" id="{8BAD6266-47BD-472D-8381-8EE9AE8EE6F0}">
            <xm:f>ISERROR(SEARCH("-",M247))</xm:f>
            <xm:f>"-"</xm:f>
            <x14:dxf>
              <fill>
                <patternFill>
                  <bgColor theme="0" tint="-4.9989318521683403E-2"/>
                </patternFill>
              </fill>
            </x14:dxf>
          </x14:cfRule>
          <xm:sqref>M247:M250</xm:sqref>
        </x14:conditionalFormatting>
        <x14:conditionalFormatting xmlns:xm="http://schemas.microsoft.com/office/excel/2006/main">
          <x14:cfRule type="notContainsText" priority="174" operator="notContains" id="{D7AD69A5-04DA-4C1A-B09F-637805A68E05}">
            <xm:f>ISERROR(SEARCH("-",M243))</xm:f>
            <xm:f>"-"</xm:f>
            <x14:dxf>
              <fill>
                <patternFill>
                  <bgColor theme="0" tint="-4.9989318521683403E-2"/>
                </patternFill>
              </fill>
            </x14:dxf>
          </x14:cfRule>
          <xm:sqref>M243</xm:sqref>
        </x14:conditionalFormatting>
        <x14:conditionalFormatting xmlns:xm="http://schemas.microsoft.com/office/excel/2006/main">
          <x14:cfRule type="notContainsText" priority="173" operator="notContains" id="{5F1A3059-CA7A-4A7D-8271-DA71D3EE5703}">
            <xm:f>ISERROR(SEARCH("-",M244))</xm:f>
            <xm:f>"-"</xm:f>
            <x14:dxf>
              <fill>
                <patternFill>
                  <bgColor theme="0" tint="-4.9989318521683403E-2"/>
                </patternFill>
              </fill>
            </x14:dxf>
          </x14:cfRule>
          <xm:sqref>M244</xm:sqref>
        </x14:conditionalFormatting>
        <x14:conditionalFormatting xmlns:xm="http://schemas.microsoft.com/office/excel/2006/main">
          <x14:cfRule type="notContainsText" priority="172" operator="notContains" id="{ADA2CBF0-0C6E-410B-B441-8A1F4375B210}">
            <xm:f>ISERROR(SEARCH("-",L227))</xm:f>
            <xm:f>"-"</xm:f>
            <x14:dxf>
              <fill>
                <patternFill>
                  <bgColor theme="0" tint="-4.9989318521683403E-2"/>
                </patternFill>
              </fill>
            </x14:dxf>
          </x14:cfRule>
          <xm:sqref>L227:L228</xm:sqref>
        </x14:conditionalFormatting>
        <x14:conditionalFormatting xmlns:xm="http://schemas.microsoft.com/office/excel/2006/main">
          <x14:cfRule type="notContainsText" priority="171" operator="notContains" id="{AEDD3854-2EA7-4F72-9555-53F0B5EE5C55}">
            <xm:f>ISERROR(SEARCH("-",L229))</xm:f>
            <xm:f>"-"</xm:f>
            <x14:dxf>
              <fill>
                <patternFill>
                  <bgColor theme="0" tint="-4.9989318521683403E-2"/>
                </patternFill>
              </fill>
            </x14:dxf>
          </x14:cfRule>
          <xm:sqref>L229:L230</xm:sqref>
        </x14:conditionalFormatting>
        <x14:conditionalFormatting xmlns:xm="http://schemas.microsoft.com/office/excel/2006/main">
          <x14:cfRule type="notContainsText" priority="170" operator="notContains" id="{22FDF45D-74C7-45F5-A89F-3D42D87A79B5}">
            <xm:f>ISERROR(SEARCH("-",L231))</xm:f>
            <xm:f>"-"</xm:f>
            <x14:dxf>
              <fill>
                <patternFill>
                  <bgColor theme="0" tint="-4.9989318521683403E-2"/>
                </patternFill>
              </fill>
            </x14:dxf>
          </x14:cfRule>
          <xm:sqref>L231:L234</xm:sqref>
        </x14:conditionalFormatting>
        <x14:conditionalFormatting xmlns:xm="http://schemas.microsoft.com/office/excel/2006/main">
          <x14:cfRule type="notContainsText" priority="169" operator="notContains" id="{551B8906-7FC1-4A3D-B74A-B3EF06CAACC6}">
            <xm:f>ISERROR(SEARCH("-",L235))</xm:f>
            <xm:f>"-"</xm:f>
            <x14:dxf>
              <fill>
                <patternFill>
                  <bgColor theme="0" tint="-4.9989318521683403E-2"/>
                </patternFill>
              </fill>
            </x14:dxf>
          </x14:cfRule>
          <xm:sqref>L235:L236</xm:sqref>
        </x14:conditionalFormatting>
        <x14:conditionalFormatting xmlns:xm="http://schemas.microsoft.com/office/excel/2006/main">
          <x14:cfRule type="notContainsText" priority="168" operator="notContains" id="{8D1A4C8D-F8D4-4DEB-A7E3-8438D0A0A558}">
            <xm:f>ISERROR(SEARCH("-",L237))</xm:f>
            <xm:f>"-"</xm:f>
            <x14:dxf>
              <fill>
                <patternFill>
                  <bgColor theme="0" tint="-4.9989318521683403E-2"/>
                </patternFill>
              </fill>
            </x14:dxf>
          </x14:cfRule>
          <xm:sqref>L237:L238</xm:sqref>
        </x14:conditionalFormatting>
        <x14:conditionalFormatting xmlns:xm="http://schemas.microsoft.com/office/excel/2006/main">
          <x14:cfRule type="notContainsText" priority="167" operator="notContains" id="{927B86C5-8DCA-4A2C-A650-162C81D75EF4}">
            <xm:f>ISERROR(SEARCH("-",L239))</xm:f>
            <xm:f>"-"</xm:f>
            <x14:dxf>
              <fill>
                <patternFill>
                  <bgColor theme="0" tint="-4.9989318521683403E-2"/>
                </patternFill>
              </fill>
            </x14:dxf>
          </x14:cfRule>
          <xm:sqref>L239:L242</xm:sqref>
        </x14:conditionalFormatting>
        <x14:conditionalFormatting xmlns:xm="http://schemas.microsoft.com/office/excel/2006/main">
          <x14:cfRule type="notContainsText" priority="166" operator="notContains" id="{16AFE641-9ED6-4D88-B93A-7A8F730FB9C1}">
            <xm:f>ISERROR(SEARCH("-",L243))</xm:f>
            <xm:f>"-"</xm:f>
            <x14:dxf>
              <fill>
                <patternFill>
                  <bgColor theme="0" tint="-4.9989318521683403E-2"/>
                </patternFill>
              </fill>
            </x14:dxf>
          </x14:cfRule>
          <xm:sqref>L243:L244</xm:sqref>
        </x14:conditionalFormatting>
        <x14:conditionalFormatting xmlns:xm="http://schemas.microsoft.com/office/excel/2006/main">
          <x14:cfRule type="notContainsText" priority="165" operator="notContains" id="{BD695EE9-305F-4A68-A326-087245F17B6C}">
            <xm:f>ISERROR(SEARCH("-",L245))</xm:f>
            <xm:f>"-"</xm:f>
            <x14:dxf>
              <fill>
                <patternFill>
                  <bgColor theme="0" tint="-4.9989318521683403E-2"/>
                </patternFill>
              </fill>
            </x14:dxf>
          </x14:cfRule>
          <xm:sqref>L245:L246</xm:sqref>
        </x14:conditionalFormatting>
        <x14:conditionalFormatting xmlns:xm="http://schemas.microsoft.com/office/excel/2006/main">
          <x14:cfRule type="notContainsText" priority="164" operator="notContains" id="{E34A8F24-4BFB-4690-88E5-1A05E2F05998}">
            <xm:f>ISERROR(SEARCH("-",L247))</xm:f>
            <xm:f>"-"</xm:f>
            <x14:dxf>
              <fill>
                <patternFill>
                  <bgColor theme="0" tint="-4.9989318521683403E-2"/>
                </patternFill>
              </fill>
            </x14:dxf>
          </x14:cfRule>
          <xm:sqref>L247:L250</xm:sqref>
        </x14:conditionalFormatting>
        <x14:conditionalFormatting xmlns:xm="http://schemas.microsoft.com/office/excel/2006/main">
          <x14:cfRule type="notContainsText" priority="163" operator="notContains" id="{F110640C-4AF7-4E0F-BC7E-31AFBEDCBE28}">
            <xm:f>ISERROR(SEARCH("-",M191))</xm:f>
            <xm:f>"-"</xm:f>
            <x14:dxf>
              <fill>
                <patternFill>
                  <bgColor theme="0" tint="-4.9989318521683403E-2"/>
                </patternFill>
              </fill>
            </x14:dxf>
          </x14:cfRule>
          <xm:sqref>M191</xm:sqref>
        </x14:conditionalFormatting>
        <x14:conditionalFormatting xmlns:xm="http://schemas.microsoft.com/office/excel/2006/main">
          <x14:cfRule type="notContainsText" priority="162" operator="notContains" id="{84F6910F-D984-4F44-A883-08642DD264AC}">
            <xm:f>ISERROR(SEARCH("-",M192))</xm:f>
            <xm:f>"-"</xm:f>
            <x14:dxf>
              <fill>
                <patternFill>
                  <bgColor theme="0" tint="-4.9989318521683403E-2"/>
                </patternFill>
              </fill>
            </x14:dxf>
          </x14:cfRule>
          <xm:sqref>M192</xm:sqref>
        </x14:conditionalFormatting>
        <x14:conditionalFormatting xmlns:xm="http://schemas.microsoft.com/office/excel/2006/main">
          <x14:cfRule type="notContainsText" priority="135" operator="notContains" id="{6982B318-4E72-43A4-A76C-1EBF4CAE01BF}">
            <xm:f>ISERROR(SEARCH("-",L193))</xm:f>
            <xm:f>"-"</xm:f>
            <x14:dxf>
              <fill>
                <patternFill>
                  <bgColor theme="0" tint="-4.9989318521683403E-2"/>
                </patternFill>
              </fill>
            </x14:dxf>
          </x14:cfRule>
          <xm:sqref>L193:M194</xm:sqref>
        </x14:conditionalFormatting>
        <x14:conditionalFormatting xmlns:xm="http://schemas.microsoft.com/office/excel/2006/main">
          <x14:cfRule type="notContainsText" priority="134" operator="notContains" id="{BC21FB96-6D75-49D0-BBFD-C49B3E5B38CF}">
            <xm:f>ISERROR(SEARCH("-",L195))</xm:f>
            <xm:f>"-"</xm:f>
            <x14:dxf>
              <fill>
                <patternFill>
                  <bgColor theme="0" tint="-4.9989318521683403E-2"/>
                </patternFill>
              </fill>
            </x14:dxf>
          </x14:cfRule>
          <xm:sqref>L195:M196</xm:sqref>
        </x14:conditionalFormatting>
        <x14:conditionalFormatting xmlns:xm="http://schemas.microsoft.com/office/excel/2006/main">
          <x14:cfRule type="notContainsText" priority="133" operator="notContains" id="{895CBD2F-DB17-468F-85B8-895FF8E1B753}">
            <xm:f>ISERROR(SEARCH("-",L197))</xm:f>
            <xm:f>"-"</xm:f>
            <x14:dxf>
              <fill>
                <patternFill>
                  <bgColor theme="0" tint="-4.9989318521683403E-2"/>
                </patternFill>
              </fill>
            </x14:dxf>
          </x14:cfRule>
          <xm:sqref>L199:L200 L197:M198</xm:sqref>
        </x14:conditionalFormatting>
        <x14:conditionalFormatting xmlns:xm="http://schemas.microsoft.com/office/excel/2006/main">
          <x14:cfRule type="notContainsText" priority="121" operator="notContains" id="{83983263-98D7-4D1D-951C-D59EBAC5E498}">
            <xm:f>ISERROR(SEARCH("-",L209))</xm:f>
            <xm:f>"-"</xm:f>
            <x14:dxf>
              <fill>
                <patternFill>
                  <bgColor theme="0" tint="-4.9989318521683403E-2"/>
                </patternFill>
              </fill>
            </x14:dxf>
          </x14:cfRule>
          <xm:sqref>L209:M210</xm:sqref>
        </x14:conditionalFormatting>
        <x14:conditionalFormatting xmlns:xm="http://schemas.microsoft.com/office/excel/2006/main">
          <x14:cfRule type="notContainsText" priority="120" operator="notContains" id="{B4435750-9421-4210-83AF-14AA85857D7A}">
            <xm:f>ISERROR(SEARCH("-",L211))</xm:f>
            <xm:f>"-"</xm:f>
            <x14:dxf>
              <fill>
                <patternFill>
                  <bgColor theme="0" tint="-4.9989318521683403E-2"/>
                </patternFill>
              </fill>
            </x14:dxf>
          </x14:cfRule>
          <xm:sqref>L211:M212</xm:sqref>
        </x14:conditionalFormatting>
        <x14:conditionalFormatting xmlns:xm="http://schemas.microsoft.com/office/excel/2006/main">
          <x14:cfRule type="notContainsText" priority="126" operator="notContains" id="{E3EF19E9-C41D-4139-91C7-296A7E3EB19E}">
            <xm:f>ISERROR(SEARCH("-",L205))</xm:f>
            <xm:f>"-"</xm:f>
            <x14:dxf>
              <fill>
                <patternFill>
                  <bgColor theme="0" tint="-4.9989318521683403E-2"/>
                </patternFill>
              </fill>
            </x14:dxf>
          </x14:cfRule>
          <xm:sqref>L207:L208 L205:M206</xm:sqref>
        </x14:conditionalFormatting>
        <x14:conditionalFormatting xmlns:xm="http://schemas.microsoft.com/office/excel/2006/main">
          <x14:cfRule type="notContainsText" priority="125" operator="notContains" id="{12621CAC-85A2-40B1-B44F-A54235DE1D2F}">
            <xm:f>ISERROR(SEARCH("-",M207))</xm:f>
            <xm:f>"-"</xm:f>
            <x14:dxf>
              <fill>
                <patternFill>
                  <bgColor theme="0" tint="-4.9989318521683403E-2"/>
                </patternFill>
              </fill>
            </x14:dxf>
          </x14:cfRule>
          <xm:sqref>M207</xm:sqref>
        </x14:conditionalFormatting>
        <x14:conditionalFormatting xmlns:xm="http://schemas.microsoft.com/office/excel/2006/main">
          <x14:cfRule type="notContainsText" priority="124" operator="notContains" id="{BD586D50-7FEB-44B1-AC33-0C9EB331F560}">
            <xm:f>ISERROR(SEARCH("-",M208))</xm:f>
            <xm:f>"-"</xm:f>
            <x14:dxf>
              <fill>
                <patternFill>
                  <bgColor theme="0" tint="-4.9989318521683403E-2"/>
                </patternFill>
              </fill>
            </x14:dxf>
          </x14:cfRule>
          <xm:sqref>M208</xm:sqref>
        </x14:conditionalFormatting>
        <x14:conditionalFormatting xmlns:xm="http://schemas.microsoft.com/office/excel/2006/main">
          <x14:cfRule type="notContainsText" priority="128" operator="notContains" id="{4BD15E50-A829-4F41-A1D1-F2DEE44A2E1F}">
            <xm:f>ISERROR(SEARCH("-",L201))</xm:f>
            <xm:f>"-"</xm:f>
            <x14:dxf>
              <fill>
                <patternFill>
                  <bgColor theme="0" tint="-4.9989318521683403E-2"/>
                </patternFill>
              </fill>
            </x14:dxf>
          </x14:cfRule>
          <xm:sqref>L201:M202</xm:sqref>
        </x14:conditionalFormatting>
        <x14:conditionalFormatting xmlns:xm="http://schemas.microsoft.com/office/excel/2006/main">
          <x14:cfRule type="expression" priority="137" id="{430DDAB4-55EB-479C-B5C6-1E06427F5B61}">
            <xm:f>H186=Categories!$E$11</xm:f>
            <x14:dxf>
              <font>
                <b/>
                <i val="0"/>
              </font>
            </x14:dxf>
          </x14:cfRule>
          <xm:sqref>N186:N192</xm:sqref>
        </x14:conditionalFormatting>
        <x14:conditionalFormatting xmlns:xm="http://schemas.microsoft.com/office/excel/2006/main">
          <x14:cfRule type="expression" priority="136" id="{3CDCFFCF-C231-4CD5-87A4-1C6EB0460667}">
            <xm:f>H193=Categories!$E$11</xm:f>
            <x14:dxf>
              <font>
                <b/>
                <i val="0"/>
              </font>
            </x14:dxf>
          </x14:cfRule>
          <xm:sqref>N193</xm:sqref>
        </x14:conditionalFormatting>
        <x14:conditionalFormatting xmlns:xm="http://schemas.microsoft.com/office/excel/2006/main">
          <x14:cfRule type="notContainsText" priority="132" operator="notContains" id="{B307F3B9-94B5-4463-B7BE-DBA21EB72A2F}">
            <xm:f>ISERROR(SEARCH("-",M199))</xm:f>
            <xm:f>"-"</xm:f>
            <x14:dxf>
              <fill>
                <patternFill>
                  <bgColor theme="0" tint="-4.9989318521683403E-2"/>
                </patternFill>
              </fill>
            </x14:dxf>
          </x14:cfRule>
          <xm:sqref>M199</xm:sqref>
        </x14:conditionalFormatting>
        <x14:conditionalFormatting xmlns:xm="http://schemas.microsoft.com/office/excel/2006/main">
          <x14:cfRule type="notContainsText" priority="131" operator="notContains" id="{516DC27C-6479-4C1C-86D5-B5EBBCCC1D18}">
            <xm:f>ISERROR(SEARCH("-",M200))</xm:f>
            <xm:f>"-"</xm:f>
            <x14:dxf>
              <fill>
                <patternFill>
                  <bgColor theme="0" tint="-4.9989318521683403E-2"/>
                </patternFill>
              </fill>
            </x14:dxf>
          </x14:cfRule>
          <xm:sqref>M200</xm:sqref>
        </x14:conditionalFormatting>
        <x14:conditionalFormatting xmlns:xm="http://schemas.microsoft.com/office/excel/2006/main">
          <x14:cfRule type="expression" priority="130" id="{ED9CD4E1-679B-43CF-B523-C6670E38F421}">
            <xm:f>H194=Categories!$E$11</xm:f>
            <x14:dxf>
              <font>
                <b/>
                <i val="0"/>
              </font>
            </x14:dxf>
          </x14:cfRule>
          <xm:sqref>N194:N200</xm:sqref>
        </x14:conditionalFormatting>
        <x14:conditionalFormatting xmlns:xm="http://schemas.microsoft.com/office/excel/2006/main">
          <x14:cfRule type="expression" priority="129" id="{8B93DFFC-124A-4C3A-8315-7A659404D2AF}">
            <xm:f>H201=Categories!$E$11</xm:f>
            <x14:dxf>
              <font>
                <b/>
                <i val="0"/>
              </font>
            </x14:dxf>
          </x14:cfRule>
          <xm:sqref>N201</xm:sqref>
        </x14:conditionalFormatting>
        <x14:conditionalFormatting xmlns:xm="http://schemas.microsoft.com/office/excel/2006/main">
          <x14:cfRule type="notContainsText" priority="127" operator="notContains" id="{840F20B4-8BB6-451E-9DDF-DCF2E8DDFC50}">
            <xm:f>ISERROR(SEARCH("-",L203))</xm:f>
            <xm:f>"-"</xm:f>
            <x14:dxf>
              <fill>
                <patternFill>
                  <bgColor theme="0" tint="-4.9989318521683403E-2"/>
                </patternFill>
              </fill>
            </x14:dxf>
          </x14:cfRule>
          <xm:sqref>L203:M204</xm:sqref>
        </x14:conditionalFormatting>
        <x14:conditionalFormatting xmlns:xm="http://schemas.microsoft.com/office/excel/2006/main">
          <x14:cfRule type="expression" priority="123" id="{ACA57961-E2F8-402D-86F7-47A786614DCF}">
            <xm:f>H202=Categories!$E$11</xm:f>
            <x14:dxf>
              <font>
                <b/>
                <i val="0"/>
              </font>
            </x14:dxf>
          </x14:cfRule>
          <xm:sqref>N202:N208</xm:sqref>
        </x14:conditionalFormatting>
        <x14:conditionalFormatting xmlns:xm="http://schemas.microsoft.com/office/excel/2006/main">
          <x14:cfRule type="expression" priority="122" id="{F45072D0-5353-48BF-8347-7B8AC6DD7BE2}">
            <xm:f>H209=Categories!$E$11</xm:f>
            <x14:dxf>
              <font>
                <b/>
                <i val="0"/>
              </font>
            </x14:dxf>
          </x14:cfRule>
          <xm:sqref>N209</xm:sqref>
        </x14:conditionalFormatting>
        <x14:conditionalFormatting xmlns:xm="http://schemas.microsoft.com/office/excel/2006/main">
          <x14:cfRule type="notContainsText" priority="119" operator="notContains" id="{53CE1B27-8E5E-4973-9020-0C101E2572CA}">
            <xm:f>ISERROR(SEARCH("-",L213))</xm:f>
            <xm:f>"-"</xm:f>
            <x14:dxf>
              <fill>
                <patternFill>
                  <bgColor theme="0" tint="-4.9989318521683403E-2"/>
                </patternFill>
              </fill>
            </x14:dxf>
          </x14:cfRule>
          <xm:sqref>L215:L216 L213:M214</xm:sqref>
        </x14:conditionalFormatting>
        <x14:conditionalFormatting xmlns:xm="http://schemas.microsoft.com/office/excel/2006/main">
          <x14:cfRule type="notContainsText" priority="118" operator="notContains" id="{0D06F3C5-587E-451C-87F2-593172DE83AB}">
            <xm:f>ISERROR(SEARCH("-",M215))</xm:f>
            <xm:f>"-"</xm:f>
            <x14:dxf>
              <fill>
                <patternFill>
                  <bgColor theme="0" tint="-4.9989318521683403E-2"/>
                </patternFill>
              </fill>
            </x14:dxf>
          </x14:cfRule>
          <xm:sqref>M215</xm:sqref>
        </x14:conditionalFormatting>
        <x14:conditionalFormatting xmlns:xm="http://schemas.microsoft.com/office/excel/2006/main">
          <x14:cfRule type="notContainsText" priority="117" operator="notContains" id="{205BC5B3-B5D0-438C-BF15-5D16B4589B7D}">
            <xm:f>ISERROR(SEARCH("-",M216))</xm:f>
            <xm:f>"-"</xm:f>
            <x14:dxf>
              <fill>
                <patternFill>
                  <bgColor theme="0" tint="-4.9989318521683403E-2"/>
                </patternFill>
              </fill>
            </x14:dxf>
          </x14:cfRule>
          <xm:sqref>M216</xm:sqref>
        </x14:conditionalFormatting>
        <x14:conditionalFormatting xmlns:xm="http://schemas.microsoft.com/office/excel/2006/main">
          <x14:cfRule type="expression" priority="116" id="{ADC753B0-7439-4ED3-8729-F71F40400076}">
            <xm:f>H210=Categories!$E$11</xm:f>
            <x14:dxf>
              <font>
                <b/>
                <i val="0"/>
              </font>
            </x14:dxf>
          </x14:cfRule>
          <xm:sqref>N210:N216</xm:sqref>
        </x14:conditionalFormatting>
        <x14:conditionalFormatting xmlns:xm="http://schemas.microsoft.com/office/excel/2006/main">
          <x14:cfRule type="notContainsText" priority="115" operator="notContains" id="{17464D3D-58BD-4187-B70D-A789AD814C94}">
            <xm:f>ISERROR(SEARCH("-",L217))</xm:f>
            <xm:f>"-"</xm:f>
            <x14:dxf>
              <fill>
                <patternFill>
                  <bgColor theme="0" tint="-4.9989318521683403E-2"/>
                </patternFill>
              </fill>
            </x14:dxf>
          </x14:cfRule>
          <xm:sqref>L217</xm:sqref>
        </x14:conditionalFormatting>
        <x14:conditionalFormatting xmlns:xm="http://schemas.microsoft.com/office/excel/2006/main">
          <x14:cfRule type="notContainsText" priority="114" operator="notContains" id="{ADD3A6CB-1B03-4DB6-B842-9EF8072AC92A}">
            <xm:f>ISERROR(SEARCH("-",M217))</xm:f>
            <xm:f>"-"</xm:f>
            <x14:dxf>
              <fill>
                <patternFill>
                  <bgColor theme="0" tint="-4.9989318521683403E-2"/>
                </patternFill>
              </fill>
            </x14:dxf>
          </x14:cfRule>
          <xm:sqref>M217</xm:sqref>
        </x14:conditionalFormatting>
        <x14:conditionalFormatting xmlns:xm="http://schemas.microsoft.com/office/excel/2006/main">
          <x14:cfRule type="containsText" priority="27" operator="containsText" id="{36D5F973-EF24-4C0A-8189-C986A5873714}">
            <xm:f>NOT(ISERROR(SEARCH("-",F254)))</xm:f>
            <xm:f>"-"</xm:f>
            <x14:dxf>
              <fill>
                <patternFill>
                  <bgColor theme="0" tint="-4.9989318521683403E-2"/>
                </patternFill>
              </fill>
            </x14:dxf>
          </x14:cfRule>
          <xm:sqref>F254:F263</xm:sqref>
        </x14:conditionalFormatting>
        <x14:conditionalFormatting xmlns:xm="http://schemas.microsoft.com/office/excel/2006/main">
          <x14:cfRule type="containsText" priority="106" operator="containsText" id="{1929390D-340D-4F15-A099-96EE19DDB501}">
            <xm:f>NOT(ISERROR(SEARCH("-",F253)))</xm:f>
            <xm:f>"-"</xm:f>
            <x14:dxf>
              <fill>
                <patternFill>
                  <bgColor theme="0" tint="-4.9989318521683403E-2"/>
                </patternFill>
              </fill>
            </x14:dxf>
          </x14:cfRule>
          <xm:sqref>F253</xm:sqref>
        </x14:conditionalFormatting>
        <x14:conditionalFormatting xmlns:xm="http://schemas.microsoft.com/office/excel/2006/main">
          <x14:cfRule type="containsText" priority="96" operator="containsText" id="{04DD2CE2-ABA2-4316-B626-50D7B07DD50E}">
            <xm:f>NOT(ISERROR(SEARCH("-",F265)))</xm:f>
            <xm:f>"-"</xm:f>
            <x14:dxf>
              <fill>
                <patternFill>
                  <bgColor theme="0" tint="-4.9989318521683403E-2"/>
                </patternFill>
              </fill>
            </x14:dxf>
          </x14:cfRule>
          <xm:sqref>F265</xm:sqref>
        </x14:conditionalFormatting>
        <x14:conditionalFormatting xmlns:xm="http://schemas.microsoft.com/office/excel/2006/main">
          <x14:cfRule type="containsText" priority="110" operator="containsText" id="{203E4B88-5447-4237-86E9-1552DCCEE35B}">
            <xm:f>NOT(ISERROR(SEARCH("-",F252)))</xm:f>
            <xm:f>"-"</xm:f>
            <x14:dxf>
              <fill>
                <patternFill>
                  <bgColor theme="0" tint="-4.9989318521683403E-2"/>
                </patternFill>
              </fill>
            </x14:dxf>
          </x14:cfRule>
          <xm:sqref>F252</xm:sqref>
        </x14:conditionalFormatting>
        <x14:conditionalFormatting xmlns:xm="http://schemas.microsoft.com/office/excel/2006/main">
          <x14:cfRule type="expression" priority="104" id="{7FBD3A71-9C01-45B0-A240-111730AEF340}">
            <xm:f>H252=Categories!$E$7</xm:f>
            <x14:dxf>
              <font>
                <b/>
                <i val="0"/>
              </font>
            </x14:dxf>
          </x14:cfRule>
          <xm:sqref>K252:K254</xm:sqref>
        </x14:conditionalFormatting>
        <x14:conditionalFormatting xmlns:xm="http://schemas.microsoft.com/office/excel/2006/main">
          <x14:cfRule type="expression" priority="103" id="{65F9F38E-2EEA-4933-B53C-4DE18332AAEE}">
            <xm:f>H255=Categories!$E$7</xm:f>
            <x14:dxf>
              <font>
                <b/>
                <i val="0"/>
              </font>
            </x14:dxf>
          </x14:cfRule>
          <xm:sqref>K255:K257 K262:K264</xm:sqref>
        </x14:conditionalFormatting>
        <x14:conditionalFormatting xmlns:xm="http://schemas.microsoft.com/office/excel/2006/main">
          <x14:cfRule type="containsText" priority="100" operator="containsText" id="{6310D8E2-7CC8-4C67-990D-3FDBB5F74C3B}">
            <xm:f>NOT(ISERROR(SEARCH("-",F264)))</xm:f>
            <xm:f>"-"</xm:f>
            <x14:dxf>
              <fill>
                <patternFill>
                  <bgColor theme="0" tint="-4.9989318521683403E-2"/>
                </patternFill>
              </fill>
            </x14:dxf>
          </x14:cfRule>
          <xm:sqref>F264</xm:sqref>
        </x14:conditionalFormatting>
        <x14:conditionalFormatting xmlns:xm="http://schemas.microsoft.com/office/excel/2006/main">
          <x14:cfRule type="expression" priority="94" id="{28B3CAF0-0DD2-4BC2-B864-59B0C9998151}">
            <xm:f>H266=Categories!$E$7</xm:f>
            <x14:dxf>
              <font>
                <b/>
                <i val="0"/>
              </font>
            </x14:dxf>
          </x14:cfRule>
          <xm:sqref>K266</xm:sqref>
        </x14:conditionalFormatting>
        <x14:conditionalFormatting xmlns:xm="http://schemas.microsoft.com/office/excel/2006/main">
          <x14:cfRule type="expression" priority="93" id="{4F5B4C9E-8E3E-4CC4-AFFD-5C58690DD83B}">
            <xm:f>H265=Categories!$E$7</xm:f>
            <x14:dxf>
              <font>
                <b/>
                <i val="0"/>
              </font>
            </x14:dxf>
          </x14:cfRule>
          <xm:sqref>K265</xm:sqref>
        </x14:conditionalFormatting>
        <x14:conditionalFormatting xmlns:xm="http://schemas.microsoft.com/office/excel/2006/main">
          <x14:cfRule type="expression" priority="92" id="{0F95604F-AE55-4EFD-807C-94BE51BF5FF3}">
            <xm:f>H267=Categories!$E$7</xm:f>
            <x14:dxf>
              <font>
                <b/>
                <i val="0"/>
              </font>
            </x14:dxf>
          </x14:cfRule>
          <xm:sqref>K267 K272:K275</xm:sqref>
        </x14:conditionalFormatting>
        <x14:conditionalFormatting xmlns:xm="http://schemas.microsoft.com/office/excel/2006/main">
          <x14:cfRule type="expression" priority="91" id="{8A0AE8F1-C341-442A-AFAB-8CD078B33C44}">
            <xm:f>H276=Categories!$E$7</xm:f>
            <x14:dxf>
              <font>
                <b/>
                <i val="0"/>
              </font>
            </x14:dxf>
          </x14:cfRule>
          <xm:sqref>K276</xm:sqref>
        </x14:conditionalFormatting>
        <x14:conditionalFormatting xmlns:xm="http://schemas.microsoft.com/office/excel/2006/main">
          <x14:cfRule type="containsText" priority="88" operator="containsText" id="{142E46A5-CBC4-4336-A35C-52F85C0E471A}">
            <xm:f>NOT(ISERROR(SEARCH("-",F276)))</xm:f>
            <xm:f>"-"</xm:f>
            <x14:dxf>
              <fill>
                <patternFill>
                  <bgColor theme="0" tint="-4.9989318521683403E-2"/>
                </patternFill>
              </fill>
            </x14:dxf>
          </x14:cfRule>
          <xm:sqref>F276</xm:sqref>
        </x14:conditionalFormatting>
        <x14:conditionalFormatting xmlns:xm="http://schemas.microsoft.com/office/excel/2006/main">
          <x14:cfRule type="containsText" priority="84" operator="containsText" id="{4AC791D9-CBD8-426A-A75B-834E1D389954}">
            <xm:f>NOT(ISERROR(SEARCH("-",F277)))</xm:f>
            <xm:f>"-"</xm:f>
            <x14:dxf>
              <fill>
                <patternFill>
                  <bgColor theme="0" tint="-4.9989318521683403E-2"/>
                </patternFill>
              </fill>
            </x14:dxf>
          </x14:cfRule>
          <xm:sqref>F277</xm:sqref>
        </x14:conditionalFormatting>
        <x14:conditionalFormatting xmlns:xm="http://schemas.microsoft.com/office/excel/2006/main">
          <x14:cfRule type="expression" priority="82" id="{49ED6188-4350-4449-944C-7C654C2F5594}">
            <xm:f>H278=Categories!$E$7</xm:f>
            <x14:dxf>
              <font>
                <b/>
                <i val="0"/>
              </font>
            </x14:dxf>
          </x14:cfRule>
          <xm:sqref>K278</xm:sqref>
        </x14:conditionalFormatting>
        <x14:conditionalFormatting xmlns:xm="http://schemas.microsoft.com/office/excel/2006/main">
          <x14:cfRule type="expression" priority="81" id="{D9BF7949-F1C6-4568-A6B7-D1567E689665}">
            <xm:f>H277=Categories!$E$7</xm:f>
            <x14:dxf>
              <font>
                <b/>
                <i val="0"/>
              </font>
            </x14:dxf>
          </x14:cfRule>
          <xm:sqref>K277</xm:sqref>
        </x14:conditionalFormatting>
        <x14:conditionalFormatting xmlns:xm="http://schemas.microsoft.com/office/excel/2006/main">
          <x14:cfRule type="expression" priority="80" id="{D45BDB3C-579F-4C16-B620-7B602CE44843}">
            <xm:f>H279=Categories!$E$7</xm:f>
            <x14:dxf>
              <font>
                <b/>
                <i val="0"/>
              </font>
            </x14:dxf>
          </x14:cfRule>
          <xm:sqref>K279 K284:K287</xm:sqref>
        </x14:conditionalFormatting>
        <x14:conditionalFormatting xmlns:xm="http://schemas.microsoft.com/office/excel/2006/main">
          <x14:cfRule type="expression" priority="79" id="{81596504-9A53-42D1-BF43-22792188FA33}">
            <xm:f>H288=Categories!$E$7</xm:f>
            <x14:dxf>
              <font>
                <b/>
                <i val="0"/>
              </font>
            </x14:dxf>
          </x14:cfRule>
          <xm:sqref>K288</xm:sqref>
        </x14:conditionalFormatting>
        <x14:conditionalFormatting xmlns:xm="http://schemas.microsoft.com/office/excel/2006/main">
          <x14:cfRule type="containsText" priority="76" operator="containsText" id="{8E40B272-23DF-4D3A-8063-4249788E9DBC}">
            <xm:f>NOT(ISERROR(SEARCH("-",F288)))</xm:f>
            <xm:f>"-"</xm:f>
            <x14:dxf>
              <fill>
                <patternFill>
                  <bgColor theme="0" tint="-4.9989318521683403E-2"/>
                </patternFill>
              </fill>
            </x14:dxf>
          </x14:cfRule>
          <xm:sqref>F288</xm:sqref>
        </x14:conditionalFormatting>
        <x14:conditionalFormatting xmlns:xm="http://schemas.microsoft.com/office/excel/2006/main">
          <x14:cfRule type="containsText" priority="72" operator="containsText" id="{8124EF99-4C39-494E-9CC0-2B1B4B930EF7}">
            <xm:f>NOT(ISERROR(SEARCH("-",F289)))</xm:f>
            <xm:f>"-"</xm:f>
            <x14:dxf>
              <fill>
                <patternFill>
                  <bgColor theme="0" tint="-4.9989318521683403E-2"/>
                </patternFill>
              </fill>
            </x14:dxf>
          </x14:cfRule>
          <xm:sqref>F289</xm:sqref>
        </x14:conditionalFormatting>
        <x14:conditionalFormatting xmlns:xm="http://schemas.microsoft.com/office/excel/2006/main">
          <x14:cfRule type="expression" priority="70" id="{38C0F710-A709-49CC-9FC1-F6B79ED8514C}">
            <xm:f>H290=Categories!$E$7</xm:f>
            <x14:dxf>
              <font>
                <b/>
                <i val="0"/>
              </font>
            </x14:dxf>
          </x14:cfRule>
          <xm:sqref>K290</xm:sqref>
        </x14:conditionalFormatting>
        <x14:conditionalFormatting xmlns:xm="http://schemas.microsoft.com/office/excel/2006/main">
          <x14:cfRule type="expression" priority="69" id="{68F24D44-57A8-4793-A139-4B66A7DE681F}">
            <xm:f>H289=Categories!$E$7</xm:f>
            <x14:dxf>
              <font>
                <b/>
                <i val="0"/>
              </font>
            </x14:dxf>
          </x14:cfRule>
          <xm:sqref>K289</xm:sqref>
        </x14:conditionalFormatting>
        <x14:conditionalFormatting xmlns:xm="http://schemas.microsoft.com/office/excel/2006/main">
          <x14:cfRule type="expression" priority="68" id="{083E2BD3-825E-4BDC-94EB-CD790A8A4B63}">
            <xm:f>H291=Categories!$E$7</xm:f>
            <x14:dxf>
              <font>
                <b/>
                <i val="0"/>
              </font>
            </x14:dxf>
          </x14:cfRule>
          <xm:sqref>K291 K296:K299</xm:sqref>
        </x14:conditionalFormatting>
        <x14:conditionalFormatting xmlns:xm="http://schemas.microsoft.com/office/excel/2006/main">
          <x14:cfRule type="expression" priority="67" id="{82E9640E-5439-4C29-BEC7-CC4B6F86996E}">
            <xm:f>H252=Categories!$E$11</xm:f>
            <x14:dxf>
              <font>
                <b/>
                <i val="0"/>
              </font>
            </x14:dxf>
          </x14:cfRule>
          <xm:sqref>N252</xm:sqref>
        </x14:conditionalFormatting>
        <x14:conditionalFormatting xmlns:xm="http://schemas.microsoft.com/office/excel/2006/main">
          <x14:cfRule type="notContainsText" priority="66" operator="notContains" id="{A2864741-7D15-4552-A720-DE58A1A8DC85}">
            <xm:f>ISERROR(SEARCH("-",L252))</xm:f>
            <xm:f>"-"</xm:f>
            <x14:dxf>
              <fill>
                <patternFill>
                  <bgColor theme="0" tint="-4.9989318521683403E-2"/>
                </patternFill>
              </fill>
            </x14:dxf>
          </x14:cfRule>
          <xm:sqref>L252:M253</xm:sqref>
        </x14:conditionalFormatting>
        <x14:conditionalFormatting xmlns:xm="http://schemas.microsoft.com/office/excel/2006/main">
          <x14:cfRule type="notContainsText" priority="65" operator="notContains" id="{6DAB6399-73E4-401E-8529-D2F5E4DF2892}">
            <xm:f>ISERROR(SEARCH("-",L254))</xm:f>
            <xm:f>"-"</xm:f>
            <x14:dxf>
              <fill>
                <patternFill>
                  <bgColor theme="0" tint="-4.9989318521683403E-2"/>
                </patternFill>
              </fill>
            </x14:dxf>
          </x14:cfRule>
          <xm:sqref>L254:M255</xm:sqref>
        </x14:conditionalFormatting>
        <x14:conditionalFormatting xmlns:xm="http://schemas.microsoft.com/office/excel/2006/main">
          <x14:cfRule type="notContainsText" priority="64" operator="notContains" id="{6EDC0C72-DBA9-4C2F-84EB-4B457727026A}">
            <xm:f>ISERROR(SEARCH("-",L256))</xm:f>
            <xm:f>"-"</xm:f>
            <x14:dxf>
              <fill>
                <patternFill>
                  <bgColor theme="0" tint="-4.9989318521683403E-2"/>
                </patternFill>
              </fill>
            </x14:dxf>
          </x14:cfRule>
          <xm:sqref>L256:M257 L262:M267 L272:M279 L284:M291 L296:M299</xm:sqref>
        </x14:conditionalFormatting>
        <x14:conditionalFormatting xmlns:xm="http://schemas.microsoft.com/office/excel/2006/main">
          <x14:cfRule type="expression" priority="63" id="{DA0A9EA5-B89C-4868-A7E1-E076E3FC909D}">
            <xm:f>H253=Categories!$E$11</xm:f>
            <x14:dxf>
              <font>
                <b/>
                <i val="0"/>
              </font>
            </x14:dxf>
          </x14:cfRule>
          <xm:sqref>N253</xm:sqref>
        </x14:conditionalFormatting>
        <x14:conditionalFormatting xmlns:xm="http://schemas.microsoft.com/office/excel/2006/main">
          <x14:cfRule type="expression" priority="62" id="{B2E11405-12AA-407F-AC42-6DD744E49157}">
            <xm:f>H254=Categories!$E$11</xm:f>
            <x14:dxf>
              <font>
                <b/>
                <i val="0"/>
              </font>
            </x14:dxf>
          </x14:cfRule>
          <xm:sqref>N254:N257 N262:N263</xm:sqref>
        </x14:conditionalFormatting>
        <x14:conditionalFormatting xmlns:xm="http://schemas.microsoft.com/office/excel/2006/main">
          <x14:cfRule type="expression" priority="61" id="{239ABA88-C619-40E4-8757-618FA01C9CCB}">
            <xm:f>H260=Categories!$E$7</xm:f>
            <x14:dxf>
              <font>
                <b/>
                <i val="0"/>
              </font>
            </x14:dxf>
          </x14:cfRule>
          <xm:sqref>K260:K261</xm:sqref>
        </x14:conditionalFormatting>
        <x14:conditionalFormatting xmlns:xm="http://schemas.microsoft.com/office/excel/2006/main">
          <x14:cfRule type="notContainsText" priority="60" operator="notContains" id="{6464AA39-4158-4D51-B4DE-5506CC075377}">
            <xm:f>ISERROR(SEARCH("-",L260))</xm:f>
            <xm:f>"-"</xm:f>
            <x14:dxf>
              <fill>
                <patternFill>
                  <bgColor theme="0" tint="-4.9989318521683403E-2"/>
                </patternFill>
              </fill>
            </x14:dxf>
          </x14:cfRule>
          <xm:sqref>L260:M261</xm:sqref>
        </x14:conditionalFormatting>
        <x14:conditionalFormatting xmlns:xm="http://schemas.microsoft.com/office/excel/2006/main">
          <x14:cfRule type="expression" priority="59" id="{B0AB02E1-D70F-4CAB-9363-A6459EBEE8AB}">
            <xm:f>H260=Categories!$E$11</xm:f>
            <x14:dxf>
              <font>
                <b/>
                <i val="0"/>
              </font>
            </x14:dxf>
          </x14:cfRule>
          <xm:sqref>N260:N261</xm:sqref>
        </x14:conditionalFormatting>
        <x14:conditionalFormatting xmlns:xm="http://schemas.microsoft.com/office/excel/2006/main">
          <x14:cfRule type="containsText" priority="19" operator="containsText" id="{3905EE12-AAD5-4AD8-A16D-08069597D505}">
            <xm:f>NOT(ISERROR(SEARCH("-",F278)))</xm:f>
            <xm:f>"-"</xm:f>
            <x14:dxf>
              <fill>
                <patternFill>
                  <bgColor theme="0" tint="-4.9989318521683403E-2"/>
                </patternFill>
              </fill>
            </x14:dxf>
          </x14:cfRule>
          <xm:sqref>F278:F287</xm:sqref>
        </x14:conditionalFormatting>
        <x14:conditionalFormatting xmlns:xm="http://schemas.microsoft.com/office/excel/2006/main">
          <x14:cfRule type="expression" priority="58" id="{3E1F123A-C07E-43C4-84DD-C0BE6077ECF2}">
            <xm:f>H258=Categories!$E$7</xm:f>
            <x14:dxf>
              <font>
                <b/>
                <i val="0"/>
              </font>
            </x14:dxf>
          </x14:cfRule>
          <xm:sqref>K258:K259</xm:sqref>
        </x14:conditionalFormatting>
        <x14:conditionalFormatting xmlns:xm="http://schemas.microsoft.com/office/excel/2006/main">
          <x14:cfRule type="notContainsText" priority="57" operator="notContains" id="{6FC25126-797D-4DBB-A2E4-0B760205E18C}">
            <xm:f>ISERROR(SEARCH("-",L258))</xm:f>
            <xm:f>"-"</xm:f>
            <x14:dxf>
              <fill>
                <patternFill>
                  <bgColor theme="0" tint="-4.9989318521683403E-2"/>
                </patternFill>
              </fill>
            </x14:dxf>
          </x14:cfRule>
          <xm:sqref>L258:M259</xm:sqref>
        </x14:conditionalFormatting>
        <x14:conditionalFormatting xmlns:xm="http://schemas.microsoft.com/office/excel/2006/main">
          <x14:cfRule type="expression" priority="56" id="{48E9EA80-11F9-468E-B0DF-85AFA11790F2}">
            <xm:f>H258=Categories!$E$11</xm:f>
            <x14:dxf>
              <font>
                <b/>
                <i val="0"/>
              </font>
            </x14:dxf>
          </x14:cfRule>
          <xm:sqref>N258:N259</xm:sqref>
        </x14:conditionalFormatting>
        <x14:conditionalFormatting xmlns:xm="http://schemas.microsoft.com/office/excel/2006/main">
          <x14:cfRule type="expression" priority="55" id="{1627875E-995B-48F0-A9BF-1581BEF31C63}">
            <xm:f>H270=Categories!$E$7</xm:f>
            <x14:dxf>
              <font>
                <b/>
                <i val="0"/>
              </font>
            </x14:dxf>
          </x14:cfRule>
          <xm:sqref>K270:K271</xm:sqref>
        </x14:conditionalFormatting>
        <x14:conditionalFormatting xmlns:xm="http://schemas.microsoft.com/office/excel/2006/main">
          <x14:cfRule type="notContainsText" priority="54" operator="notContains" id="{9C1E1EFF-5616-455E-A8FA-3E9EE501C59B}">
            <xm:f>ISERROR(SEARCH("-",L270))</xm:f>
            <xm:f>"-"</xm:f>
            <x14:dxf>
              <fill>
                <patternFill>
                  <bgColor theme="0" tint="-4.9989318521683403E-2"/>
                </patternFill>
              </fill>
            </x14:dxf>
          </x14:cfRule>
          <xm:sqref>L270:M271</xm:sqref>
        </x14:conditionalFormatting>
        <x14:conditionalFormatting xmlns:xm="http://schemas.microsoft.com/office/excel/2006/main">
          <x14:cfRule type="expression" priority="53" id="{C7F8A149-BA5D-4F76-9167-A8FABEB11A3C}">
            <xm:f>H268=Categories!$E$7</xm:f>
            <x14:dxf>
              <font>
                <b/>
                <i val="0"/>
              </font>
            </x14:dxf>
          </x14:cfRule>
          <xm:sqref>K268:K269</xm:sqref>
        </x14:conditionalFormatting>
        <x14:conditionalFormatting xmlns:xm="http://schemas.microsoft.com/office/excel/2006/main">
          <x14:cfRule type="notContainsText" priority="52" operator="notContains" id="{68A1F5AC-3617-4E53-A1B9-64CFA3FAFCCA}">
            <xm:f>ISERROR(SEARCH("-",L268))</xm:f>
            <xm:f>"-"</xm:f>
            <x14:dxf>
              <fill>
                <patternFill>
                  <bgColor theme="0" tint="-4.9989318521683403E-2"/>
                </patternFill>
              </fill>
            </x14:dxf>
          </x14:cfRule>
          <xm:sqref>L268:M269</xm:sqref>
        </x14:conditionalFormatting>
        <x14:conditionalFormatting xmlns:xm="http://schemas.microsoft.com/office/excel/2006/main">
          <x14:cfRule type="expression" priority="51" id="{4C82B488-E6F3-4707-81BA-2D616EAD673C}">
            <xm:f>H282=Categories!$E$7</xm:f>
            <x14:dxf>
              <font>
                <b/>
                <i val="0"/>
              </font>
            </x14:dxf>
          </x14:cfRule>
          <xm:sqref>K282:K283</xm:sqref>
        </x14:conditionalFormatting>
        <x14:conditionalFormatting xmlns:xm="http://schemas.microsoft.com/office/excel/2006/main">
          <x14:cfRule type="notContainsText" priority="50" operator="notContains" id="{2BAD71A3-A827-45FF-A4A0-4A92897252D9}">
            <xm:f>ISERROR(SEARCH("-",L282))</xm:f>
            <xm:f>"-"</xm:f>
            <x14:dxf>
              <fill>
                <patternFill>
                  <bgColor theme="0" tint="-4.9989318521683403E-2"/>
                </patternFill>
              </fill>
            </x14:dxf>
          </x14:cfRule>
          <xm:sqref>L282:M283</xm:sqref>
        </x14:conditionalFormatting>
        <x14:conditionalFormatting xmlns:xm="http://schemas.microsoft.com/office/excel/2006/main">
          <x14:cfRule type="expression" priority="49" id="{9538CAE5-21C0-4ED0-942E-808D979C8514}">
            <xm:f>H280=Categories!$E$7</xm:f>
            <x14:dxf>
              <font>
                <b/>
                <i val="0"/>
              </font>
            </x14:dxf>
          </x14:cfRule>
          <xm:sqref>K280:K281</xm:sqref>
        </x14:conditionalFormatting>
        <x14:conditionalFormatting xmlns:xm="http://schemas.microsoft.com/office/excel/2006/main">
          <x14:cfRule type="notContainsText" priority="48" operator="notContains" id="{A935685C-1C6D-49A9-A5C4-A6E710621A2A}">
            <xm:f>ISERROR(SEARCH("-",L280))</xm:f>
            <xm:f>"-"</xm:f>
            <x14:dxf>
              <fill>
                <patternFill>
                  <bgColor theme="0" tint="-4.9989318521683403E-2"/>
                </patternFill>
              </fill>
            </x14:dxf>
          </x14:cfRule>
          <xm:sqref>L280:M281</xm:sqref>
        </x14:conditionalFormatting>
        <x14:conditionalFormatting xmlns:xm="http://schemas.microsoft.com/office/excel/2006/main">
          <x14:cfRule type="expression" priority="47" id="{5DC8CAF7-865E-4FA4-9B02-A46A66B5D860}">
            <xm:f>H294=Categories!$E$7</xm:f>
            <x14:dxf>
              <font>
                <b/>
                <i val="0"/>
              </font>
            </x14:dxf>
          </x14:cfRule>
          <xm:sqref>K294:K295</xm:sqref>
        </x14:conditionalFormatting>
        <x14:conditionalFormatting xmlns:xm="http://schemas.microsoft.com/office/excel/2006/main">
          <x14:cfRule type="notContainsText" priority="46" operator="notContains" id="{DE9090A4-2547-4E71-8238-1A074670F6DF}">
            <xm:f>ISERROR(SEARCH("-",L294))</xm:f>
            <xm:f>"-"</xm:f>
            <x14:dxf>
              <fill>
                <patternFill>
                  <bgColor theme="0" tint="-4.9989318521683403E-2"/>
                </patternFill>
              </fill>
            </x14:dxf>
          </x14:cfRule>
          <xm:sqref>L294:M295</xm:sqref>
        </x14:conditionalFormatting>
        <x14:conditionalFormatting xmlns:xm="http://schemas.microsoft.com/office/excel/2006/main">
          <x14:cfRule type="expression" priority="45" id="{479DC138-13B7-4CDD-B7D5-8F6AF4EBD7BF}">
            <xm:f>H292=Categories!$E$7</xm:f>
            <x14:dxf>
              <font>
                <b/>
                <i val="0"/>
              </font>
            </x14:dxf>
          </x14:cfRule>
          <xm:sqref>K292:K293</xm:sqref>
        </x14:conditionalFormatting>
        <x14:conditionalFormatting xmlns:xm="http://schemas.microsoft.com/office/excel/2006/main">
          <x14:cfRule type="notContainsText" priority="44" operator="notContains" id="{873B0E34-B214-4FCE-8C60-BE2E4A22B8C3}">
            <xm:f>ISERROR(SEARCH("-",L292))</xm:f>
            <xm:f>"-"</xm:f>
            <x14:dxf>
              <fill>
                <patternFill>
                  <bgColor theme="0" tint="-4.9989318521683403E-2"/>
                </patternFill>
              </fill>
            </x14:dxf>
          </x14:cfRule>
          <xm:sqref>L292:M293</xm:sqref>
        </x14:conditionalFormatting>
        <x14:conditionalFormatting xmlns:xm="http://schemas.microsoft.com/office/excel/2006/main">
          <x14:cfRule type="expression" priority="43" id="{8F56FD14-0455-486E-B9D9-18BF4C8CCCC8}">
            <xm:f>H264=Categories!$E$11</xm:f>
            <x14:dxf>
              <font>
                <b/>
                <i val="0"/>
              </font>
            </x14:dxf>
          </x14:cfRule>
          <xm:sqref>N264:N299</xm:sqref>
        </x14:conditionalFormatting>
        <x14:conditionalFormatting xmlns:xm="http://schemas.microsoft.com/office/excel/2006/main">
          <x14:cfRule type="expression" priority="42" id="{53B82593-8AEC-492D-939A-4969C2C70017}">
            <xm:f>H300=Categories!$E$7</xm:f>
            <x14:dxf>
              <font>
                <b/>
                <i val="0"/>
              </font>
            </x14:dxf>
          </x14:cfRule>
          <xm:sqref>K300</xm:sqref>
        </x14:conditionalFormatting>
        <x14:conditionalFormatting xmlns:xm="http://schemas.microsoft.com/office/excel/2006/main">
          <x14:cfRule type="containsText" priority="39" operator="containsText" id="{9396CF81-E1EE-4ED7-B2BC-0A08932CEF11}">
            <xm:f>NOT(ISERROR(SEARCH("-",F300)))</xm:f>
            <xm:f>"-"</xm:f>
            <x14:dxf>
              <fill>
                <patternFill>
                  <bgColor theme="0" tint="-4.9989318521683403E-2"/>
                </patternFill>
              </fill>
            </x14:dxf>
          </x14:cfRule>
          <xm:sqref>F300:F301</xm:sqref>
        </x14:conditionalFormatting>
        <x14:conditionalFormatting xmlns:xm="http://schemas.microsoft.com/office/excel/2006/main">
          <x14:cfRule type="containsText" priority="35" operator="containsText" id="{10870799-770F-4BBF-A3D9-E7D638837D80}">
            <xm:f>NOT(ISERROR(SEARCH("-",F301)))</xm:f>
            <xm:f>"-"</xm:f>
            <x14:dxf>
              <fill>
                <patternFill>
                  <bgColor theme="0" tint="-4.9989318521683403E-2"/>
                </patternFill>
              </fill>
            </x14:dxf>
          </x14:cfRule>
          <xm:sqref>F301</xm:sqref>
        </x14:conditionalFormatting>
        <x14:conditionalFormatting xmlns:xm="http://schemas.microsoft.com/office/excel/2006/main">
          <x14:cfRule type="expression" priority="33" id="{8AAF2B5D-8CF7-4C60-A8C8-9FDEA5EBCC55}">
            <xm:f>H301=Categories!$E$7</xm:f>
            <x14:dxf>
              <font>
                <b/>
                <i val="0"/>
              </font>
            </x14:dxf>
          </x14:cfRule>
          <xm:sqref>K301</xm:sqref>
        </x14:conditionalFormatting>
        <x14:conditionalFormatting xmlns:xm="http://schemas.microsoft.com/office/excel/2006/main">
          <x14:cfRule type="expression" priority="32" id="{09A65A33-7975-4D3E-ACE0-EACF979446EA}">
            <xm:f>H301=Categories!$E$11</xm:f>
            <x14:dxf>
              <font>
                <b/>
                <i val="0"/>
              </font>
            </x14:dxf>
          </x14:cfRule>
          <xm:sqref>N301</xm:sqref>
        </x14:conditionalFormatting>
        <x14:conditionalFormatting xmlns:xm="http://schemas.microsoft.com/office/excel/2006/main">
          <x14:cfRule type="notContainsText" priority="31" operator="notContains" id="{A35A6808-38C1-421E-819C-A5D340E79BA2}">
            <xm:f>ISERROR(SEARCH("-",L300))</xm:f>
            <xm:f>"-"</xm:f>
            <x14:dxf>
              <fill>
                <patternFill>
                  <bgColor theme="0" tint="-4.9989318521683403E-2"/>
                </patternFill>
              </fill>
            </x14:dxf>
          </x14:cfRule>
          <xm:sqref>L300:M301</xm:sqref>
        </x14:conditionalFormatting>
        <x14:conditionalFormatting xmlns:xm="http://schemas.microsoft.com/office/excel/2006/main">
          <x14:cfRule type="expression" priority="30" id="{62C2E698-7505-4D0E-A7FE-1C153A0F8D6A}">
            <xm:f>H300=Categories!$E$11</xm:f>
            <x14:dxf>
              <font>
                <b/>
                <i val="0"/>
              </font>
            </x14:dxf>
          </x14:cfRule>
          <xm:sqref>N300</xm:sqref>
        </x14:conditionalFormatting>
        <x14:conditionalFormatting xmlns:xm="http://schemas.microsoft.com/office/excel/2006/main">
          <x14:cfRule type="containsText" priority="23" operator="containsText" id="{82A07E4F-EFA2-4753-B83B-67F50F6EB6B1}">
            <xm:f>NOT(ISERROR(SEARCH("-",F266)))</xm:f>
            <xm:f>"-"</xm:f>
            <x14:dxf>
              <fill>
                <patternFill>
                  <bgColor theme="0" tint="-4.9989318521683403E-2"/>
                </patternFill>
              </fill>
            </x14:dxf>
          </x14:cfRule>
          <xm:sqref>F266:F275</xm:sqref>
        </x14:conditionalFormatting>
        <x14:conditionalFormatting xmlns:xm="http://schemas.microsoft.com/office/excel/2006/main">
          <x14:cfRule type="containsText" priority="15" operator="containsText" id="{0E1D818E-B8E0-42A6-9EB0-8FB3338D5275}">
            <xm:f>NOT(ISERROR(SEARCH("-",F290)))</xm:f>
            <xm:f>"-"</xm:f>
            <x14:dxf>
              <fill>
                <patternFill>
                  <bgColor theme="0" tint="-4.9989318521683403E-2"/>
                </patternFill>
              </fill>
            </x14:dxf>
          </x14:cfRule>
          <xm:sqref>F290:F299</xm:sqref>
        </x14:conditionalFormatting>
        <x14:conditionalFormatting xmlns:xm="http://schemas.microsoft.com/office/excel/2006/main">
          <x14:cfRule type="expression" priority="13" id="{A9E681FB-5516-471C-ACE8-65C73317B992}">
            <xm:f>H252=Categories!$E$16</xm:f>
            <x14:dxf>
              <font>
                <b/>
                <i val="0"/>
              </font>
            </x14:dxf>
          </x14:cfRule>
          <xm:sqref>J252:J301</xm:sqref>
        </x14:conditionalFormatting>
        <x14:conditionalFormatting xmlns:xm="http://schemas.microsoft.com/office/excel/2006/main">
          <x14:cfRule type="containsText" priority="11" operator="containsText" id="{7CB2C165-7605-40AD-A81E-60FFFECB0B21}">
            <xm:f>NOT(ISERROR(SEARCH("-",P252)))</xm:f>
            <xm:f>"-"</xm:f>
            <x14:dxf>
              <fill>
                <patternFill>
                  <bgColor theme="0"/>
                </patternFill>
              </fill>
            </x14:dxf>
          </x14:cfRule>
          <x14:cfRule type="notContainsText" priority="12" operator="notContains" id="{7A76BD41-718C-4622-B796-1059EE4BB93D}">
            <xm:f>ISERROR(SEARCH("-",P252))</xm:f>
            <xm:f>"-"</xm:f>
            <x14:dxf>
              <fill>
                <patternFill>
                  <bgColor theme="0" tint="-4.9989318521683403E-2"/>
                </patternFill>
              </fill>
            </x14:dxf>
          </x14:cfRule>
          <xm:sqref>P252:P301</xm:sqref>
        </x14:conditionalFormatting>
        <x14:conditionalFormatting xmlns:xm="http://schemas.microsoft.com/office/excel/2006/main">
          <x14:cfRule type="containsText" priority="8" operator="containsText" id="{3C056B94-EE41-4115-83D7-F8DCA6FFDC99}">
            <xm:f>NOT(ISERROR(SEARCH("-",F16)))</xm:f>
            <xm:f>"-"</xm:f>
            <x14:dxf>
              <fill>
                <patternFill>
                  <bgColor theme="0" tint="-4.9989318521683403E-2"/>
                </patternFill>
              </fill>
            </x14:dxf>
          </x14:cfRule>
          <xm:sqref>F16</xm:sqref>
        </x14:conditionalFormatting>
        <x14:conditionalFormatting xmlns:xm="http://schemas.microsoft.com/office/excel/2006/main">
          <x14:cfRule type="expression" priority="6" id="{2299CA3F-5714-443C-B982-E9C9DED32357}">
            <xm:f>H16=Categories!$E$7</xm:f>
            <x14:dxf>
              <font>
                <b/>
                <i val="0"/>
              </font>
            </x14:dxf>
          </x14:cfRule>
          <xm:sqref>K16</xm:sqref>
        </x14:conditionalFormatting>
        <x14:conditionalFormatting xmlns:xm="http://schemas.microsoft.com/office/excel/2006/main">
          <x14:cfRule type="expression" priority="5" id="{7E815744-CFC7-4794-B855-0963C11C519F}">
            <xm:f>H16=Categories!$E$11</xm:f>
            <x14:dxf>
              <font>
                <b/>
                <i val="0"/>
              </font>
            </x14:dxf>
          </x14:cfRule>
          <xm:sqref>N16</xm:sqref>
        </x14:conditionalFormatting>
        <x14:conditionalFormatting xmlns:xm="http://schemas.microsoft.com/office/excel/2006/main">
          <x14:cfRule type="notContainsText" priority="4" operator="notContains" id="{2E7B2388-1CA3-4A23-BB28-2DC3B9E9554D}">
            <xm:f>ISERROR(SEARCH("-",L16))</xm:f>
            <xm:f>"-"</xm:f>
            <x14:dxf>
              <fill>
                <patternFill>
                  <bgColor theme="0" tint="-4.9989318521683403E-2"/>
                </patternFill>
              </fill>
            </x14:dxf>
          </x14:cfRule>
          <xm:sqref>L16:M16</xm:sqref>
        </x14:conditionalFormatting>
        <x14:conditionalFormatting xmlns:xm="http://schemas.microsoft.com/office/excel/2006/main">
          <x14:cfRule type="expression" priority="3" id="{09F2A952-2231-4E7E-B1D0-B9DD25ED7DE0}">
            <xm:f>H16=Categories!$E$16</xm:f>
            <x14:dxf>
              <font>
                <b/>
                <i val="0"/>
              </font>
            </x14:dxf>
          </x14:cfRule>
          <xm:sqref>J16</xm:sqref>
        </x14:conditionalFormatting>
        <x14:conditionalFormatting xmlns:xm="http://schemas.microsoft.com/office/excel/2006/main">
          <x14:cfRule type="containsText" priority="1" operator="containsText" id="{08A6799E-2FD9-4300-B5BF-708B404E5E89}">
            <xm:f>NOT(ISERROR(SEARCH("-",P16)))</xm:f>
            <xm:f>"-"</xm:f>
            <x14:dxf>
              <fill>
                <patternFill>
                  <bgColor theme="0"/>
                </patternFill>
              </fill>
            </x14:dxf>
          </x14:cfRule>
          <x14:cfRule type="notContainsText" priority="2" operator="notContains" id="{5B1F95AB-3E09-424B-803F-EDF21E164FE6}">
            <xm:f>ISERROR(SEARCH("-",P16))</xm:f>
            <xm:f>"-"</xm:f>
            <x14:dxf>
              <fill>
                <patternFill>
                  <bgColor theme="0" tint="-4.9989318521683403E-2"/>
                </patternFill>
              </fill>
            </x14:dxf>
          </x14:cfRule>
          <xm:sqref>P16</xm:sqref>
        </x14:conditionalFormatting>
      </x14:conditionalFormattings>
    </ext>
    <ext xmlns:x14="http://schemas.microsoft.com/office/spreadsheetml/2009/9/main" uri="{CCE6A557-97BC-4b89-ADB6-D9C93CAAB3DF}">
      <x14:dataValidations xmlns:xm="http://schemas.microsoft.com/office/excel/2006/main" count="6">
        <x14:dataValidation type="list" errorStyle="warning" allowBlank="1" showInputMessage="1" showErrorMessage="1" errorTitle="Category not listed" error="Go to Categories tab to update the list of categories" xr:uid="{2226F771-D9E6-4C31-8DE3-C2325725E8AA}">
          <x14:formula1>
            <xm:f>'C:\Users\Didrik\Dropbox\Arbeid\OUS\Proc\Excel\[GX_SeqX - Notes - Ver4.0 - Rev0.xlsm]Categories'!#REF!</xm:f>
          </x14:formula1>
          <xm:sqref>H322:H1048576</xm:sqref>
        </x14:dataValidation>
        <x14:dataValidation type="list" errorStyle="warning" allowBlank="1" showInputMessage="1" showErrorMessage="1" errorTitle="Category not listed" error="Go to the _x000a_Categories tab to update the category list" xr:uid="{33CFF9F4-DAE7-49BB-A212-B919C80596CD}">
          <x14:formula1>
            <xm:f>'C:\Users\Didrik\Dropbox\Arbeid\OUS\Proc\Excel\[GX_SeqX - Notes - Ver4.0 - Rev0.xlsm]Categories'!#REF!</xm:f>
          </x14:formula1>
          <xm:sqref>G322:G1048576</xm:sqref>
        </x14:dataValidation>
        <x14:dataValidation type="list" errorStyle="warning" allowBlank="1" showInputMessage="1" showErrorMessage="1" xr:uid="{C67286D2-EB70-4F2B-B4EC-AB90EEF74527}">
          <x14:formula1>
            <xm:f>'C:\Users\Didrik\Dropbox\Arbeid\OUS\Proc\Excel\[GX_SeqX - Notes - Ver4.0 - Rev0.xlsm]Categories'!#REF!</xm:f>
          </x14:formula1>
          <xm:sqref>K322:N1048576 Q322:Q1048576</xm:sqref>
        </x14:dataValidation>
        <x14:dataValidation type="list" errorStyle="warning" allowBlank="1" showInputMessage="1" showErrorMessage="1" errorTitle="Category not listed" error="Go to the _x000a_Categories tab to update the category list" xr:uid="{9759D45C-576D-4C10-9655-EFD471BC06DF}">
          <x14:formula1>
            <xm:f>Categories!$A$4:$A$13</xm:f>
          </x14:formula1>
          <xm:sqref>G4:H4 G5:G321</xm:sqref>
        </x14:dataValidation>
        <x14:dataValidation type="list" errorStyle="warning" allowBlank="1" showInputMessage="1" showErrorMessage="1" errorTitle="Category not listed" error="Go to Categories tab to update the list of categories" xr:uid="{D53C40BF-D6A7-4374-8C40-9F5A76D404DC}">
          <x14:formula1>
            <xm:f>Categories!$E$4:$E$24</xm:f>
          </x14:formula1>
          <xm:sqref>H5:H321</xm:sqref>
        </x14:dataValidation>
        <x14:dataValidation type="list" errorStyle="warning" allowBlank="1" showInputMessage="1" showErrorMessage="1" xr:uid="{09BD95C3-8F4B-4D21-829F-6023A368E547}">
          <x14:formula1>
            <xm:f>Categories!$K$4:$K$17</xm:f>
          </x14:formula1>
          <xm:sqref>N4:N321</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75F6B7-FADC-4A23-B5B4-DB0A920E38A4}">
  <sheetPr codeName="Sheet7"/>
  <dimension ref="A1:H50"/>
  <sheetViews>
    <sheetView showGridLines="0" zoomScale="90" zoomScaleNormal="90" workbookViewId="0">
      <pane ySplit="2" topLeftCell="A9" activePane="bottomLeft" state="frozen"/>
      <selection pane="bottomLeft" activeCell="G22" sqref="G22"/>
    </sheetView>
  </sheetViews>
  <sheetFormatPr defaultRowHeight="30" customHeight="1" x14ac:dyDescent="0.3"/>
  <cols>
    <col min="1" max="1" width="1.44140625" customWidth="1"/>
    <col min="2" max="2" width="13.77734375" customWidth="1"/>
    <col min="3" max="3" width="7.109375" bestFit="1" customWidth="1"/>
    <col min="4" max="4" width="21.88671875" style="26" customWidth="1"/>
    <col min="5" max="5" width="57.21875" customWidth="1"/>
    <col min="6" max="6" width="28.109375" customWidth="1"/>
    <col min="7" max="7" width="83.33203125" customWidth="1"/>
  </cols>
  <sheetData>
    <row r="1" spans="1:8" s="120" customFormat="1" ht="18" x14ac:dyDescent="0.35">
      <c r="B1" s="215" t="s">
        <v>133</v>
      </c>
      <c r="C1" s="215"/>
      <c r="D1" s="215" t="s">
        <v>133</v>
      </c>
      <c r="E1" s="219" t="s">
        <v>103</v>
      </c>
      <c r="F1" s="215"/>
      <c r="G1" s="215"/>
      <c r="H1" s="73"/>
    </row>
    <row r="2" spans="1:8" s="114" customFormat="1" ht="16.8" customHeight="1" x14ac:dyDescent="0.3">
      <c r="B2" s="129" t="s">
        <v>23</v>
      </c>
      <c r="C2" s="129" t="s">
        <v>102</v>
      </c>
      <c r="D2" s="129" t="s">
        <v>101</v>
      </c>
      <c r="E2" s="129" t="s">
        <v>100</v>
      </c>
      <c r="F2" s="129" t="s">
        <v>132</v>
      </c>
      <c r="G2" s="129" t="s">
        <v>99</v>
      </c>
    </row>
    <row r="3" spans="1:8" s="73" customFormat="1" ht="14.4" customHeight="1" x14ac:dyDescent="0.25">
      <c r="B3" s="216" t="s">
        <v>266</v>
      </c>
      <c r="C3" s="217"/>
      <c r="D3" s="217"/>
      <c r="E3" s="217"/>
      <c r="F3" s="217"/>
      <c r="G3" s="218"/>
    </row>
    <row r="4" spans="1:8" ht="24.6" customHeight="1" x14ac:dyDescent="0.3">
      <c r="B4" s="128"/>
      <c r="C4" s="71"/>
      <c r="D4" s="69"/>
      <c r="E4" s="68" t="s">
        <v>291</v>
      </c>
      <c r="F4" s="68"/>
      <c r="G4" s="125"/>
    </row>
    <row r="5" spans="1:8" ht="24.6" customHeight="1" x14ac:dyDescent="0.3">
      <c r="B5" s="128"/>
      <c r="C5" s="71"/>
      <c r="D5" s="69"/>
      <c r="E5" s="68" t="s">
        <v>288</v>
      </c>
      <c r="F5" s="68"/>
      <c r="G5" s="125"/>
    </row>
    <row r="6" spans="1:8" ht="24.6" customHeight="1" x14ac:dyDescent="0.3">
      <c r="B6" s="128"/>
      <c r="C6" s="71"/>
      <c r="D6" s="69"/>
      <c r="E6" s="68"/>
      <c r="F6" s="68"/>
      <c r="G6" s="125"/>
    </row>
    <row r="7" spans="1:8" ht="24.6" customHeight="1" x14ac:dyDescent="0.3">
      <c r="A7" s="123">
        <v>44013</v>
      </c>
      <c r="B7" s="128"/>
      <c r="C7" s="71"/>
      <c r="D7" s="69"/>
      <c r="E7" s="68" t="s">
        <v>287</v>
      </c>
      <c r="F7" s="68"/>
      <c r="G7" s="125"/>
    </row>
    <row r="8" spans="1:8" ht="24.6" customHeight="1" x14ac:dyDescent="0.3">
      <c r="A8" s="123"/>
      <c r="B8" s="128"/>
      <c r="C8" s="71"/>
      <c r="D8" s="69"/>
      <c r="E8" s="68"/>
      <c r="F8" s="68"/>
      <c r="G8" s="125"/>
    </row>
    <row r="9" spans="1:8" ht="24.6" customHeight="1" x14ac:dyDescent="0.3">
      <c r="A9" s="123"/>
      <c r="B9" s="128"/>
      <c r="C9" s="71"/>
      <c r="D9" s="69"/>
      <c r="E9" s="68"/>
      <c r="F9" s="68"/>
      <c r="G9" s="125"/>
    </row>
    <row r="10" spans="1:8" ht="50.4" x14ac:dyDescent="0.3">
      <c r="A10" s="123">
        <v>44013</v>
      </c>
      <c r="B10" s="126"/>
      <c r="C10" s="71"/>
      <c r="D10" s="69"/>
      <c r="E10" s="68" t="s">
        <v>285</v>
      </c>
      <c r="F10" s="68"/>
      <c r="G10" s="125"/>
    </row>
    <row r="11" spans="1:8" ht="24.6" customHeight="1" x14ac:dyDescent="0.3">
      <c r="A11" s="123">
        <v>44013</v>
      </c>
      <c r="B11" s="126"/>
      <c r="C11" s="71"/>
      <c r="D11" s="69"/>
      <c r="E11" s="68" t="s">
        <v>268</v>
      </c>
      <c r="F11" s="68"/>
      <c r="G11" s="125"/>
    </row>
    <row r="12" spans="1:8" ht="24.6" customHeight="1" x14ac:dyDescent="0.3">
      <c r="B12" s="126"/>
      <c r="C12" s="72"/>
      <c r="D12" s="69"/>
      <c r="E12" s="68" t="s">
        <v>269</v>
      </c>
      <c r="F12" s="68"/>
      <c r="G12" s="127"/>
    </row>
    <row r="13" spans="1:8" ht="24.6" customHeight="1" x14ac:dyDescent="0.3">
      <c r="B13" s="128"/>
      <c r="C13" s="72"/>
      <c r="D13" s="69"/>
      <c r="E13" s="68" t="s">
        <v>289</v>
      </c>
      <c r="F13" s="68"/>
      <c r="G13" s="127"/>
    </row>
    <row r="14" spans="1:8" ht="24.6" customHeight="1" x14ac:dyDescent="0.3">
      <c r="B14" s="128"/>
      <c r="C14" s="72"/>
      <c r="D14" s="69"/>
      <c r="E14" s="68"/>
      <c r="F14" s="68"/>
      <c r="G14" s="127"/>
    </row>
    <row r="15" spans="1:8" ht="24.6" customHeight="1" x14ac:dyDescent="0.3">
      <c r="B15" s="128"/>
      <c r="C15" s="71"/>
      <c r="D15" s="69"/>
      <c r="E15" s="68" t="s">
        <v>286</v>
      </c>
      <c r="F15" s="68"/>
      <c r="G15" s="125"/>
    </row>
    <row r="16" spans="1:8" ht="24.6" customHeight="1" x14ac:dyDescent="0.3">
      <c r="B16" s="128"/>
      <c r="C16" s="71"/>
      <c r="D16" s="69"/>
      <c r="E16" s="68" t="s">
        <v>271</v>
      </c>
      <c r="F16" s="68"/>
      <c r="G16" s="125"/>
    </row>
    <row r="17" spans="2:7" ht="24.6" customHeight="1" x14ac:dyDescent="0.3">
      <c r="B17" s="128"/>
      <c r="C17" s="71"/>
      <c r="D17" s="69"/>
      <c r="E17" s="68"/>
      <c r="F17" s="68"/>
      <c r="G17" s="125"/>
    </row>
    <row r="18" spans="2:7" ht="24.6" customHeight="1" x14ac:dyDescent="0.3">
      <c r="B18" s="128"/>
      <c r="C18" s="71"/>
      <c r="D18" s="69"/>
      <c r="E18" s="68"/>
      <c r="F18" s="68"/>
      <c r="G18" s="125"/>
    </row>
    <row r="19" spans="2:7" ht="24.6" customHeight="1" x14ac:dyDescent="0.3">
      <c r="B19" s="128"/>
      <c r="C19" s="71"/>
      <c r="D19" s="69"/>
      <c r="E19" s="68"/>
      <c r="F19" s="68"/>
      <c r="G19" s="125"/>
    </row>
    <row r="20" spans="2:7" ht="24.6" customHeight="1" x14ac:dyDescent="0.3">
      <c r="B20" s="128"/>
      <c r="C20" s="71"/>
      <c r="D20" s="69"/>
      <c r="E20" s="68"/>
      <c r="F20" s="68"/>
      <c r="G20" s="125"/>
    </row>
    <row r="21" spans="2:7" ht="24.6" customHeight="1" x14ac:dyDescent="0.3">
      <c r="B21" s="128"/>
      <c r="C21" s="71"/>
      <c r="D21" s="69"/>
      <c r="E21" s="68" t="s">
        <v>290</v>
      </c>
      <c r="F21" s="68"/>
      <c r="G21" s="125"/>
    </row>
    <row r="22" spans="2:7" ht="24.6" customHeight="1" x14ac:dyDescent="0.3">
      <c r="B22" s="128"/>
      <c r="C22" s="71"/>
      <c r="D22" s="69"/>
      <c r="E22" s="68" t="s">
        <v>305</v>
      </c>
      <c r="F22" s="68"/>
      <c r="G22" s="125" t="s">
        <v>306</v>
      </c>
    </row>
    <row r="23" spans="2:7" ht="24.6" customHeight="1" x14ac:dyDescent="0.3">
      <c r="B23" s="128"/>
      <c r="C23" s="71"/>
      <c r="D23" s="69"/>
      <c r="E23" s="68"/>
      <c r="F23" s="68"/>
      <c r="G23" s="125"/>
    </row>
    <row r="24" spans="2:7" ht="24.6" customHeight="1" x14ac:dyDescent="0.3">
      <c r="B24" s="128"/>
      <c r="C24" s="71"/>
      <c r="D24" s="69"/>
      <c r="E24" s="68"/>
      <c r="F24" s="68"/>
      <c r="G24" s="125"/>
    </row>
    <row r="25" spans="2:7" ht="24.6" customHeight="1" x14ac:dyDescent="0.3">
      <c r="B25" s="128"/>
      <c r="C25" s="71"/>
      <c r="D25" s="69"/>
      <c r="E25" s="68"/>
      <c r="F25" s="68"/>
      <c r="G25" s="125"/>
    </row>
    <row r="26" spans="2:7" ht="24.6" customHeight="1" x14ac:dyDescent="0.3">
      <c r="B26" s="128"/>
      <c r="C26" s="71"/>
      <c r="D26" s="69"/>
      <c r="E26" s="68"/>
      <c r="F26" s="68"/>
      <c r="G26" s="68"/>
    </row>
    <row r="27" spans="2:7" ht="24.6" customHeight="1" x14ac:dyDescent="0.3">
      <c r="B27" s="128"/>
      <c r="C27" s="71"/>
      <c r="D27" s="69"/>
      <c r="E27" s="68"/>
      <c r="F27" s="68"/>
      <c r="G27" s="68"/>
    </row>
    <row r="28" spans="2:7" ht="24.6" customHeight="1" x14ac:dyDescent="0.3">
      <c r="B28" s="128"/>
      <c r="C28" s="71"/>
      <c r="D28" s="69"/>
      <c r="E28" s="68"/>
      <c r="F28" s="68"/>
      <c r="G28" s="125"/>
    </row>
    <row r="29" spans="2:7" ht="15.6" customHeight="1" x14ac:dyDescent="0.3">
      <c r="B29" s="216" t="s">
        <v>272</v>
      </c>
      <c r="C29" s="217"/>
      <c r="D29" s="217"/>
      <c r="E29" s="217"/>
      <c r="F29" s="217"/>
      <c r="G29" s="218"/>
    </row>
    <row r="30" spans="2:7" ht="30" customHeight="1" x14ac:dyDescent="0.3">
      <c r="B30" s="128"/>
      <c r="C30" s="71"/>
      <c r="D30" s="69"/>
      <c r="E30" s="68"/>
      <c r="F30" s="68"/>
      <c r="G30" s="68"/>
    </row>
    <row r="31" spans="2:7" ht="30" customHeight="1" x14ac:dyDescent="0.3">
      <c r="B31" s="128"/>
      <c r="C31" s="70"/>
      <c r="D31" s="69"/>
      <c r="E31" s="68"/>
      <c r="F31" s="68"/>
      <c r="G31" s="68"/>
    </row>
    <row r="32" spans="2:7" ht="30" customHeight="1" x14ac:dyDescent="0.3">
      <c r="B32" s="128"/>
      <c r="C32" s="71"/>
      <c r="D32" s="69"/>
      <c r="E32" s="68"/>
      <c r="F32" s="68"/>
      <c r="G32" s="68"/>
    </row>
    <row r="33" spans="2:7" ht="30" customHeight="1" x14ac:dyDescent="0.3">
      <c r="B33" s="128"/>
      <c r="C33" s="70"/>
      <c r="D33" s="69"/>
      <c r="E33" s="68"/>
      <c r="F33" s="68"/>
      <c r="G33" s="68"/>
    </row>
    <row r="34" spans="2:7" ht="30" customHeight="1" x14ac:dyDescent="0.3">
      <c r="B34" s="128"/>
      <c r="C34" s="70"/>
      <c r="D34" s="69"/>
      <c r="E34" s="68"/>
      <c r="F34" s="68"/>
      <c r="G34" s="68"/>
    </row>
    <row r="35" spans="2:7" ht="30" customHeight="1" x14ac:dyDescent="0.3">
      <c r="B35" s="128"/>
      <c r="C35" s="70"/>
      <c r="D35" s="69"/>
      <c r="E35" s="68"/>
      <c r="F35" s="68"/>
      <c r="G35" s="68"/>
    </row>
    <row r="36" spans="2:7" ht="15.6" customHeight="1" x14ac:dyDescent="0.3">
      <c r="B36" s="216" t="s">
        <v>267</v>
      </c>
      <c r="C36" s="217"/>
      <c r="D36" s="217"/>
      <c r="E36" s="217"/>
      <c r="F36" s="217"/>
      <c r="G36" s="218"/>
    </row>
    <row r="37" spans="2:7" ht="30" customHeight="1" x14ac:dyDescent="0.3">
      <c r="B37" s="128"/>
      <c r="C37" s="70"/>
      <c r="D37" s="69"/>
      <c r="E37" s="68" t="s">
        <v>98</v>
      </c>
      <c r="F37" s="68"/>
      <c r="G37" s="127"/>
    </row>
    <row r="38" spans="2:7" ht="30" customHeight="1" x14ac:dyDescent="0.3">
      <c r="B38" s="128"/>
      <c r="C38" s="70"/>
      <c r="D38" s="69"/>
      <c r="E38" s="68" t="s">
        <v>98</v>
      </c>
      <c r="F38" s="68"/>
      <c r="G38" s="127"/>
    </row>
    <row r="39" spans="2:7" ht="30" customHeight="1" x14ac:dyDescent="0.3">
      <c r="B39" s="128"/>
      <c r="C39" s="70"/>
      <c r="D39" s="69"/>
      <c r="E39" s="68" t="s">
        <v>97</v>
      </c>
      <c r="F39" s="68"/>
      <c r="G39" s="127"/>
    </row>
    <row r="40" spans="2:7" ht="30" customHeight="1" x14ac:dyDescent="0.3">
      <c r="B40" s="128"/>
      <c r="C40" s="70"/>
      <c r="D40" s="69"/>
      <c r="E40" s="68" t="s">
        <v>96</v>
      </c>
      <c r="F40" s="68"/>
      <c r="G40" s="127" t="s">
        <v>95</v>
      </c>
    </row>
    <row r="41" spans="2:7" ht="30" customHeight="1" x14ac:dyDescent="0.3">
      <c r="B41" s="128"/>
      <c r="C41" s="70"/>
      <c r="D41" s="69"/>
      <c r="E41" s="68"/>
      <c r="F41" s="68"/>
      <c r="G41" s="127"/>
    </row>
    <row r="42" spans="2:7" ht="30" customHeight="1" x14ac:dyDescent="0.3">
      <c r="B42" s="128"/>
      <c r="C42" s="70"/>
      <c r="D42" s="69"/>
      <c r="E42" s="68"/>
      <c r="F42" s="68"/>
      <c r="G42" s="127"/>
    </row>
    <row r="43" spans="2:7" ht="30" customHeight="1" x14ac:dyDescent="0.3">
      <c r="B43" s="128"/>
      <c r="C43" s="70"/>
      <c r="D43" s="69"/>
      <c r="E43" s="68"/>
      <c r="F43" s="68"/>
      <c r="G43" s="127"/>
    </row>
    <row r="44" spans="2:7" ht="30" customHeight="1" x14ac:dyDescent="0.3">
      <c r="B44" s="128"/>
      <c r="C44" s="70"/>
      <c r="D44" s="69"/>
      <c r="E44" s="68"/>
      <c r="F44" s="68"/>
      <c r="G44" s="127"/>
    </row>
    <row r="45" spans="2:7" ht="30" customHeight="1" x14ac:dyDescent="0.3">
      <c r="B45" s="128"/>
      <c r="C45" s="70"/>
      <c r="D45" s="69"/>
      <c r="E45" s="68" t="s">
        <v>94</v>
      </c>
      <c r="F45" s="68"/>
      <c r="G45" s="127"/>
    </row>
    <row r="46" spans="2:7" ht="30" customHeight="1" x14ac:dyDescent="0.3">
      <c r="B46" s="128"/>
      <c r="C46" s="70"/>
      <c r="D46" s="69"/>
      <c r="E46" s="68" t="s">
        <v>93</v>
      </c>
      <c r="F46" s="68"/>
      <c r="G46" s="127"/>
    </row>
    <row r="47" spans="2:7" ht="30" customHeight="1" x14ac:dyDescent="0.3">
      <c r="B47" s="26"/>
    </row>
    <row r="48" spans="2:7" ht="30" customHeight="1" x14ac:dyDescent="0.3">
      <c r="B48" s="26"/>
    </row>
    <row r="49" spans="2:2" ht="30" customHeight="1" x14ac:dyDescent="0.3">
      <c r="B49" s="26"/>
    </row>
    <row r="50" spans="2:2" ht="30" customHeight="1" x14ac:dyDescent="0.3">
      <c r="B50" s="26"/>
    </row>
  </sheetData>
  <mergeCells count="5">
    <mergeCell ref="B1:D1"/>
    <mergeCell ref="B29:G29"/>
    <mergeCell ref="B36:G36"/>
    <mergeCell ref="B3:G3"/>
    <mergeCell ref="E1:G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76A307-A203-4F24-AEA9-EF0B9735099A}">
  <sheetPr codeName="Sheet2">
    <pageSetUpPr fitToPage="1"/>
  </sheetPr>
  <dimension ref="B1:J24"/>
  <sheetViews>
    <sheetView showGridLines="0" zoomScale="90" zoomScaleNormal="90" workbookViewId="0"/>
  </sheetViews>
  <sheetFormatPr defaultColWidth="9.109375" defaultRowHeight="19.95" customHeight="1" x14ac:dyDescent="0.3"/>
  <cols>
    <col min="1" max="1" width="3.5546875" customWidth="1"/>
    <col min="2" max="2" width="18.109375" customWidth="1"/>
    <col min="3" max="3" width="53.88671875" customWidth="1"/>
    <col min="4" max="4" width="3.6640625" customWidth="1"/>
    <col min="5" max="5" width="45.21875" customWidth="1"/>
    <col min="6" max="6" width="7.88671875" customWidth="1"/>
    <col min="7" max="7" width="7.33203125" customWidth="1"/>
    <col min="8" max="8" width="23.33203125" customWidth="1"/>
    <col min="9" max="10" width="36.33203125" bestFit="1" customWidth="1"/>
  </cols>
  <sheetData>
    <row r="1" spans="2:10" ht="7.8" customHeight="1" x14ac:dyDescent="0.3"/>
    <row r="2" spans="2:10" s="1" customFormat="1" ht="19.95" customHeight="1" x14ac:dyDescent="0.3">
      <c r="B2" s="220" t="s">
        <v>87</v>
      </c>
      <c r="C2" s="220"/>
      <c r="D2" s="114"/>
      <c r="E2" s="220" t="s">
        <v>143</v>
      </c>
      <c r="F2" s="220"/>
      <c r="G2" s="220"/>
      <c r="H2" s="220"/>
      <c r="I2" s="220"/>
      <c r="J2" s="220"/>
    </row>
    <row r="3" spans="2:10" s="2" customFormat="1" ht="19.95" customHeight="1" x14ac:dyDescent="0.3">
      <c r="B3" s="5" t="s">
        <v>119</v>
      </c>
      <c r="C3" s="3" t="s">
        <v>274</v>
      </c>
      <c r="D3" s="115"/>
      <c r="E3" s="22" t="s">
        <v>28</v>
      </c>
      <c r="F3" s="22" t="s">
        <v>8</v>
      </c>
      <c r="G3" s="22" t="s">
        <v>42</v>
      </c>
      <c r="H3" s="22" t="s">
        <v>142</v>
      </c>
      <c r="I3" s="23" t="s">
        <v>141</v>
      </c>
      <c r="J3" s="23" t="s">
        <v>295</v>
      </c>
    </row>
    <row r="4" spans="2:10" s="1" customFormat="1" ht="19.95" customHeight="1" x14ac:dyDescent="0.3">
      <c r="B4" s="5" t="s">
        <v>131</v>
      </c>
      <c r="C4" s="4" t="s">
        <v>125</v>
      </c>
      <c r="D4" s="114"/>
      <c r="E4" s="113" t="s">
        <v>29</v>
      </c>
      <c r="F4" s="132" t="s">
        <v>148</v>
      </c>
      <c r="G4" s="131">
        <v>1</v>
      </c>
      <c r="H4" s="131"/>
      <c r="I4" s="113" t="s">
        <v>292</v>
      </c>
      <c r="J4" s="113" t="s">
        <v>0</v>
      </c>
    </row>
    <row r="5" spans="2:10" s="1" customFormat="1" ht="19.95" customHeight="1" x14ac:dyDescent="0.3">
      <c r="B5" s="5" t="s">
        <v>120</v>
      </c>
      <c r="C5" s="4" t="s">
        <v>254</v>
      </c>
      <c r="D5" s="114"/>
      <c r="E5" s="113" t="s">
        <v>31</v>
      </c>
      <c r="F5" s="24" t="s">
        <v>149</v>
      </c>
      <c r="G5" s="131">
        <v>1</v>
      </c>
      <c r="H5" s="131"/>
      <c r="I5" s="113" t="s">
        <v>0</v>
      </c>
      <c r="J5" s="113" t="s">
        <v>0</v>
      </c>
    </row>
    <row r="6" spans="2:10" s="1" customFormat="1" ht="19.95" customHeight="1" x14ac:dyDescent="0.3">
      <c r="B6" s="5" t="s">
        <v>255</v>
      </c>
      <c r="C6" s="4">
        <v>7</v>
      </c>
      <c r="D6" s="114"/>
      <c r="E6" s="113" t="s">
        <v>32</v>
      </c>
      <c r="F6" s="24" t="s">
        <v>150</v>
      </c>
      <c r="G6" s="131">
        <v>1</v>
      </c>
      <c r="H6" s="131"/>
      <c r="I6" s="113" t="s">
        <v>0</v>
      </c>
      <c r="J6" s="113" t="s">
        <v>0</v>
      </c>
    </row>
    <row r="7" spans="2:10" s="1" customFormat="1" ht="19.95" customHeight="1" x14ac:dyDescent="0.3">
      <c r="B7" s="5" t="s">
        <v>257</v>
      </c>
      <c r="C7" s="4" t="s">
        <v>260</v>
      </c>
      <c r="D7" s="114"/>
      <c r="E7" s="113" t="s">
        <v>111</v>
      </c>
      <c r="F7" s="24" t="s">
        <v>159</v>
      </c>
      <c r="G7" s="133">
        <v>3</v>
      </c>
      <c r="H7" s="133"/>
      <c r="I7" s="113" t="s">
        <v>293</v>
      </c>
      <c r="J7" s="113" t="s">
        <v>0</v>
      </c>
    </row>
    <row r="8" spans="2:10" s="1" customFormat="1" ht="19.95" customHeight="1" x14ac:dyDescent="0.3">
      <c r="B8" s="5" t="s">
        <v>273</v>
      </c>
      <c r="C8" s="206" t="str">
        <f>"Seq"&amp;LEFT($C$6,10)&amp;" - LVAD"&amp;LEFT($G$4,10) &amp; IF($C$7=Categories!$X$7,""," - "&amp;$C$7)</f>
        <v>Seq7 - LVAD1</v>
      </c>
      <c r="D8" s="114"/>
      <c r="E8" s="113" t="s">
        <v>111</v>
      </c>
      <c r="F8" s="24" t="s">
        <v>159</v>
      </c>
      <c r="G8" s="133">
        <v>2</v>
      </c>
      <c r="H8" s="133"/>
      <c r="I8" s="113" t="s">
        <v>144</v>
      </c>
      <c r="J8" s="113" t="s">
        <v>0</v>
      </c>
    </row>
    <row r="9" spans="2:10" s="2" customFormat="1" ht="19.95" customHeight="1" x14ac:dyDescent="0.3">
      <c r="B9" s="5" t="s">
        <v>121</v>
      </c>
      <c r="C9" s="206" t="str">
        <f>C5&amp;"_Seq"&amp;LEFT(C6,10)</f>
        <v>IV2_Seq7</v>
      </c>
      <c r="D9" s="115"/>
      <c r="E9" s="113" t="s">
        <v>111</v>
      </c>
      <c r="F9" s="24" t="s">
        <v>159</v>
      </c>
      <c r="G9" s="133">
        <v>4</v>
      </c>
      <c r="H9" s="133"/>
      <c r="I9" s="113" t="s">
        <v>294</v>
      </c>
      <c r="J9" s="113" t="s">
        <v>296</v>
      </c>
    </row>
    <row r="10" spans="2:10" s="2" customFormat="1" ht="19.95" customHeight="1" x14ac:dyDescent="0.3">
      <c r="B10" s="5" t="s">
        <v>34</v>
      </c>
      <c r="C10" s="4"/>
      <c r="D10" s="115"/>
      <c r="E10" s="3" t="s">
        <v>146</v>
      </c>
      <c r="F10" s="24" t="s">
        <v>158</v>
      </c>
      <c r="G10" s="24">
        <v>1</v>
      </c>
      <c r="H10" s="24"/>
      <c r="I10" s="3" t="s">
        <v>0</v>
      </c>
      <c r="J10" s="113" t="s">
        <v>296</v>
      </c>
    </row>
    <row r="11" spans="2:10" s="2" customFormat="1" ht="19.95" customHeight="1" x14ac:dyDescent="0.3">
      <c r="B11" s="116"/>
      <c r="C11" s="25"/>
      <c r="D11" s="115"/>
      <c r="E11" s="113" t="s">
        <v>161</v>
      </c>
      <c r="F11" s="24" t="s">
        <v>162</v>
      </c>
      <c r="G11" s="133">
        <v>1</v>
      </c>
      <c r="H11" s="133"/>
      <c r="I11" s="3" t="s">
        <v>0</v>
      </c>
      <c r="J11" s="113" t="s">
        <v>296</v>
      </c>
    </row>
    <row r="12" spans="2:10" s="2" customFormat="1" ht="19.95" customHeight="1" x14ac:dyDescent="0.3">
      <c r="B12" s="115"/>
      <c r="C12" s="115"/>
      <c r="D12" s="115"/>
      <c r="E12" s="3" t="s">
        <v>156</v>
      </c>
      <c r="F12" s="24" t="s">
        <v>157</v>
      </c>
      <c r="G12" s="24">
        <v>1</v>
      </c>
      <c r="H12" s="24"/>
      <c r="I12" s="3" t="s">
        <v>0</v>
      </c>
      <c r="J12" s="3" t="s">
        <v>0</v>
      </c>
    </row>
    <row r="13" spans="2:10" s="2" customFormat="1" ht="19.95" customHeight="1" x14ac:dyDescent="0.3">
      <c r="B13" s="115"/>
      <c r="C13" s="115"/>
      <c r="D13" s="115"/>
      <c r="E13" s="3" t="s">
        <v>156</v>
      </c>
      <c r="F13" s="24" t="s">
        <v>157</v>
      </c>
      <c r="G13" s="24">
        <v>2</v>
      </c>
      <c r="H13" s="24"/>
      <c r="I13" s="3" t="s">
        <v>0</v>
      </c>
      <c r="J13" s="3" t="s">
        <v>0</v>
      </c>
    </row>
    <row r="14" spans="2:10" s="2" customFormat="1" ht="19.95" customHeight="1" x14ac:dyDescent="0.3">
      <c r="B14" s="115"/>
      <c r="C14" s="115"/>
      <c r="E14" s="3" t="s">
        <v>30</v>
      </c>
      <c r="F14" s="24" t="s">
        <v>166</v>
      </c>
      <c r="G14" s="24">
        <v>1</v>
      </c>
      <c r="H14" s="24"/>
      <c r="I14" s="3" t="s">
        <v>262</v>
      </c>
      <c r="J14" s="3" t="s">
        <v>0</v>
      </c>
    </row>
    <row r="15" spans="2:10" s="2" customFormat="1" ht="19.95" customHeight="1" x14ac:dyDescent="0.3">
      <c r="B15" s="115"/>
      <c r="C15" s="115"/>
      <c r="E15" s="3" t="s">
        <v>30</v>
      </c>
      <c r="F15" s="24" t="s">
        <v>166</v>
      </c>
      <c r="G15" s="24">
        <v>2</v>
      </c>
      <c r="H15" s="24"/>
      <c r="I15" s="3" t="s">
        <v>297</v>
      </c>
      <c r="J15" s="3" t="s">
        <v>0</v>
      </c>
    </row>
    <row r="16" spans="2:10" ht="19.95" customHeight="1" x14ac:dyDescent="0.3">
      <c r="B16" s="2"/>
      <c r="C16" s="2"/>
      <c r="E16" s="3" t="s">
        <v>139</v>
      </c>
      <c r="F16" s="24" t="s">
        <v>153</v>
      </c>
      <c r="G16" s="24">
        <v>1</v>
      </c>
      <c r="H16" s="24"/>
      <c r="I16" s="3" t="s">
        <v>0</v>
      </c>
      <c r="J16" s="3" t="s">
        <v>0</v>
      </c>
    </row>
    <row r="17" spans="2:10" ht="19.95" customHeight="1" x14ac:dyDescent="0.3">
      <c r="B17" s="2"/>
      <c r="C17" s="2"/>
      <c r="E17" s="3" t="s">
        <v>140</v>
      </c>
      <c r="F17" s="24" t="s">
        <v>155</v>
      </c>
      <c r="G17" s="24">
        <v>1</v>
      </c>
      <c r="H17" s="24"/>
      <c r="I17" s="3" t="s">
        <v>0</v>
      </c>
      <c r="J17" s="3" t="s">
        <v>0</v>
      </c>
    </row>
    <row r="18" spans="2:10" ht="19.95" customHeight="1" x14ac:dyDescent="0.3">
      <c r="E18" s="113" t="s">
        <v>147</v>
      </c>
      <c r="F18" s="24" t="s">
        <v>163</v>
      </c>
      <c r="G18" s="131">
        <v>2</v>
      </c>
      <c r="H18" s="131"/>
      <c r="I18" s="3" t="s">
        <v>0</v>
      </c>
      <c r="J18" s="3" t="s">
        <v>0</v>
      </c>
    </row>
    <row r="19" spans="2:10" ht="19.95" customHeight="1" x14ac:dyDescent="0.3">
      <c r="E19" s="113" t="s">
        <v>154</v>
      </c>
      <c r="F19" s="24" t="s">
        <v>165</v>
      </c>
      <c r="G19" s="131">
        <v>1</v>
      </c>
      <c r="H19" s="131"/>
      <c r="I19" s="3" t="s">
        <v>169</v>
      </c>
      <c r="J19" s="3" t="s">
        <v>0</v>
      </c>
    </row>
    <row r="20" spans="2:10" ht="19.95" customHeight="1" x14ac:dyDescent="0.3">
      <c r="E20" s="113" t="s">
        <v>154</v>
      </c>
      <c r="F20" s="24" t="s">
        <v>165</v>
      </c>
      <c r="G20" s="131">
        <v>2</v>
      </c>
      <c r="H20" s="131"/>
      <c r="I20" s="3" t="s">
        <v>298</v>
      </c>
      <c r="J20" s="3" t="s">
        <v>0</v>
      </c>
    </row>
    <row r="21" spans="2:10" ht="19.95" customHeight="1" x14ac:dyDescent="0.3">
      <c r="E21" s="113" t="s">
        <v>160</v>
      </c>
      <c r="F21" s="131" t="s">
        <v>151</v>
      </c>
      <c r="G21" s="131">
        <v>1</v>
      </c>
      <c r="H21" s="131"/>
      <c r="I21" s="3" t="s">
        <v>0</v>
      </c>
      <c r="J21" s="3" t="s">
        <v>0</v>
      </c>
    </row>
    <row r="22" spans="2:10" ht="19.95" customHeight="1" x14ac:dyDescent="0.3">
      <c r="E22" s="113" t="s">
        <v>152</v>
      </c>
      <c r="F22" s="131" t="s">
        <v>164</v>
      </c>
      <c r="G22" s="131">
        <v>1</v>
      </c>
      <c r="H22" s="131"/>
      <c r="I22" s="135" t="s">
        <v>300</v>
      </c>
      <c r="J22" s="3" t="s">
        <v>299</v>
      </c>
    </row>
    <row r="23" spans="2:10" ht="19.95" customHeight="1" x14ac:dyDescent="0.3">
      <c r="E23" s="3" t="s">
        <v>167</v>
      </c>
      <c r="F23" s="24" t="s">
        <v>168</v>
      </c>
      <c r="G23" s="24">
        <v>1</v>
      </c>
      <c r="H23" s="24"/>
      <c r="I23" s="3" t="s">
        <v>0</v>
      </c>
      <c r="J23" s="3" t="s">
        <v>0</v>
      </c>
    </row>
    <row r="24" spans="2:10" ht="19.95" customHeight="1" x14ac:dyDescent="0.3">
      <c r="E24" s="3" t="s">
        <v>167</v>
      </c>
      <c r="F24" s="24" t="s">
        <v>168</v>
      </c>
      <c r="G24" s="24">
        <v>2</v>
      </c>
      <c r="H24" s="24"/>
      <c r="I24" s="3" t="s">
        <v>0</v>
      </c>
      <c r="J24" s="3" t="s">
        <v>0</v>
      </c>
    </row>
  </sheetData>
  <sortState xmlns:xlrd2="http://schemas.microsoft.com/office/spreadsheetml/2017/richdata2" ref="E4:J26">
    <sortCondition ref="F4:F26"/>
  </sortState>
  <mergeCells count="2">
    <mergeCell ref="B2:C2"/>
    <mergeCell ref="E2:J2"/>
  </mergeCells>
  <dataValidations count="1">
    <dataValidation type="whole" errorStyle="information" showInputMessage="1" showErrorMessage="1" error="LVAD no must be given" sqref="G4" xr:uid="{DBFC28A2-597D-4760-BC2F-96494DD737A0}">
      <formula1>0</formula1>
      <formula2>100</formula2>
    </dataValidation>
  </dataValidations>
  <printOptions horizontalCentered="1" verticalCentered="1" gridLines="1"/>
  <pageMargins left="0.7" right="0.7" top="0.75" bottom="0.75" header="0.3" footer="0.3"/>
  <pageSetup paperSize="9" scale="93" orientation="portrait" r:id="rId1"/>
  <extLst>
    <ext xmlns:x14="http://schemas.microsoft.com/office/spreadsheetml/2009/9/main" uri="{CCE6A557-97BC-4b89-ADB6-D9C93CAAB3DF}">
      <x14:dataValidations xmlns:xm="http://schemas.microsoft.com/office/excel/2006/main" count="2">
        <x14:dataValidation type="list" allowBlank="1" showInputMessage="1" showErrorMessage="1" xr:uid="{750A5CA6-9764-4FAD-8516-B8F23B2C5C21}">
          <x14:formula1>
            <xm:f>Categories!$I$4:$I$11</xm:f>
          </x14:formula1>
          <xm:sqref>C4</xm:sqref>
        </x14:dataValidation>
        <x14:dataValidation type="list" allowBlank="1" showInputMessage="1" showErrorMessage="1" xr:uid="{354D3204-E63D-4C2D-AC3D-427C81F853B2}">
          <x14:formula1>
            <xm:f>Categories!$X$4:$X$8</xm:f>
          </x14:formula1>
          <xm:sqref>C7:C8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ACE504-F654-481F-B4D6-622C5A30EA81}">
  <sheetPr codeName="Sheet6"/>
  <dimension ref="B1:M51"/>
  <sheetViews>
    <sheetView showGridLines="0" zoomScale="70" zoomScaleNormal="70" workbookViewId="0">
      <selection activeCell="G11" sqref="G11"/>
    </sheetView>
  </sheetViews>
  <sheetFormatPr defaultColWidth="8.88671875" defaultRowHeight="42.6" customHeight="1" x14ac:dyDescent="0.3"/>
  <cols>
    <col min="1" max="1" width="1.6640625" style="14" customWidth="1"/>
    <col min="2" max="2" width="23.77734375" style="14" customWidth="1"/>
    <col min="3" max="3" width="7.6640625" style="16" bestFit="1" customWidth="1"/>
    <col min="4" max="4" width="9.44140625" style="16" bestFit="1" customWidth="1"/>
    <col min="5" max="5" width="13.109375" style="16" bestFit="1" customWidth="1"/>
    <col min="6" max="7" width="42.44140625" style="15" customWidth="1"/>
    <col min="8" max="9" width="25" style="15" customWidth="1"/>
    <col min="10" max="10" width="25" style="16" customWidth="1"/>
    <col min="11" max="11" width="25" style="15" customWidth="1"/>
    <col min="12" max="12" width="39.77734375" style="16" customWidth="1"/>
    <col min="13" max="13" width="17.6640625" style="14" customWidth="1"/>
    <col min="14" max="16384" width="8.88671875" style="14"/>
  </cols>
  <sheetData>
    <row r="1" spans="2:13" s="77" customFormat="1" ht="49.2" customHeight="1" x14ac:dyDescent="0.3">
      <c r="B1" s="74" t="s">
        <v>104</v>
      </c>
      <c r="C1" s="221" t="str">
        <f>LEFT(Description!C9,10)&amp;" - "&amp;LEFT(Description!C3,256)</f>
        <v>IV2_Seq7 - Simulated pre-pump thrombosis in glucose solution</v>
      </c>
      <c r="D1" s="221"/>
      <c r="E1" s="221"/>
      <c r="F1" s="221"/>
      <c r="G1" s="221"/>
      <c r="H1" s="221"/>
      <c r="I1" s="221"/>
      <c r="J1" s="221"/>
      <c r="K1" s="221"/>
      <c r="L1" s="75" t="s">
        <v>105</v>
      </c>
      <c r="M1" s="76"/>
    </row>
    <row r="2" spans="2:13" s="78" customFormat="1" ht="21.6" customHeight="1" x14ac:dyDescent="0.3">
      <c r="C2" s="222" t="s">
        <v>31</v>
      </c>
      <c r="D2" s="222"/>
      <c r="E2" s="124" t="s">
        <v>57</v>
      </c>
      <c r="F2" s="223" t="s">
        <v>66</v>
      </c>
      <c r="G2" s="223"/>
      <c r="H2" s="223"/>
      <c r="I2" s="223"/>
      <c r="J2" s="224" t="s">
        <v>67</v>
      </c>
      <c r="K2" s="225"/>
      <c r="L2" s="79"/>
    </row>
    <row r="3" spans="2:13" s="88" customFormat="1" ht="30" customHeight="1" x14ac:dyDescent="0.4">
      <c r="B3" s="80" t="s">
        <v>106</v>
      </c>
      <c r="C3" s="81" t="s">
        <v>75</v>
      </c>
      <c r="D3" s="82" t="s">
        <v>17</v>
      </c>
      <c r="E3" s="83" t="s">
        <v>75</v>
      </c>
      <c r="F3" s="84" t="s">
        <v>107</v>
      </c>
      <c r="G3" s="84" t="s">
        <v>108</v>
      </c>
      <c r="H3" s="85" t="s">
        <v>82</v>
      </c>
      <c r="I3" s="85" t="s">
        <v>83</v>
      </c>
      <c r="J3" s="83" t="s">
        <v>84</v>
      </c>
      <c r="K3" s="86" t="s">
        <v>85</v>
      </c>
      <c r="L3" s="87" t="s">
        <v>34</v>
      </c>
    </row>
    <row r="4" spans="2:13" s="97" customFormat="1" ht="23.4" customHeight="1" x14ac:dyDescent="0.3">
      <c r="B4" s="89" t="s">
        <v>109</v>
      </c>
      <c r="C4" s="90" t="s">
        <v>90</v>
      </c>
      <c r="D4" s="91" t="s">
        <v>16</v>
      </c>
      <c r="E4" s="92" t="s">
        <v>90</v>
      </c>
      <c r="F4" s="93" t="s">
        <v>110</v>
      </c>
      <c r="G4" s="93" t="s">
        <v>110</v>
      </c>
      <c r="H4" s="94" t="s">
        <v>91</v>
      </c>
      <c r="I4" s="94" t="s">
        <v>92</v>
      </c>
      <c r="J4" s="92" t="s">
        <v>90</v>
      </c>
      <c r="K4" s="95"/>
      <c r="L4" s="96"/>
    </row>
    <row r="5" spans="2:13" ht="59.4" customHeight="1" x14ac:dyDescent="0.3">
      <c r="B5" s="98"/>
      <c r="C5" s="99"/>
      <c r="D5" s="100"/>
      <c r="E5" s="100"/>
      <c r="F5" s="101"/>
      <c r="G5" s="101"/>
      <c r="H5" s="101"/>
      <c r="I5" s="101"/>
      <c r="J5" s="100"/>
      <c r="K5" s="102"/>
      <c r="L5" s="103"/>
    </row>
    <row r="6" spans="2:13" ht="59.4" customHeight="1" x14ac:dyDescent="0.3">
      <c r="B6" s="104"/>
      <c r="C6" s="99"/>
      <c r="D6" s="99"/>
      <c r="E6" s="99"/>
      <c r="F6" s="105"/>
      <c r="G6" s="105"/>
      <c r="H6" s="105"/>
      <c r="I6" s="105"/>
      <c r="J6" s="99"/>
      <c r="K6" s="106"/>
      <c r="L6" s="103"/>
    </row>
    <row r="7" spans="2:13" ht="59.4" customHeight="1" x14ac:dyDescent="0.3">
      <c r="B7" s="104"/>
      <c r="C7" s="99"/>
      <c r="D7" s="99"/>
      <c r="E7" s="99"/>
      <c r="F7" s="105"/>
      <c r="G7" s="105"/>
      <c r="H7" s="105"/>
      <c r="I7" s="105"/>
      <c r="J7" s="99"/>
      <c r="K7" s="106"/>
      <c r="L7" s="107"/>
    </row>
    <row r="8" spans="2:13" ht="59.4" customHeight="1" x14ac:dyDescent="0.3">
      <c r="B8" s="104"/>
      <c r="C8" s="99"/>
      <c r="D8" s="99"/>
      <c r="E8" s="99"/>
      <c r="F8" s="105"/>
      <c r="G8" s="105"/>
      <c r="H8" s="105"/>
      <c r="I8" s="105"/>
      <c r="J8" s="99"/>
      <c r="K8" s="106"/>
      <c r="L8" s="103"/>
    </row>
    <row r="9" spans="2:13" ht="59.4" customHeight="1" x14ac:dyDescent="0.3">
      <c r="B9" s="104"/>
      <c r="C9" s="99"/>
      <c r="D9" s="99"/>
      <c r="E9" s="99"/>
      <c r="F9" s="105"/>
      <c r="G9" s="105"/>
      <c r="H9" s="105"/>
      <c r="I9" s="105"/>
      <c r="J9" s="99"/>
      <c r="K9" s="106"/>
      <c r="L9" s="103"/>
    </row>
    <row r="10" spans="2:13" ht="59.4" customHeight="1" x14ac:dyDescent="0.3">
      <c r="B10" s="108"/>
      <c r="C10" s="99"/>
      <c r="D10" s="100"/>
      <c r="E10" s="100"/>
      <c r="F10" s="105"/>
      <c r="G10" s="101"/>
      <c r="H10" s="101"/>
      <c r="I10" s="101"/>
      <c r="J10" s="100"/>
      <c r="K10" s="102"/>
      <c r="L10" s="103"/>
    </row>
    <row r="11" spans="2:13" ht="59.4" customHeight="1" x14ac:dyDescent="0.3">
      <c r="B11" s="104"/>
      <c r="C11" s="99"/>
      <c r="D11" s="99"/>
      <c r="E11" s="99"/>
      <c r="F11" s="105"/>
      <c r="G11" s="105"/>
      <c r="H11" s="105"/>
      <c r="I11" s="105"/>
      <c r="J11" s="99"/>
      <c r="K11" s="106"/>
      <c r="L11" s="103"/>
    </row>
    <row r="12" spans="2:13" ht="59.4" customHeight="1" x14ac:dyDescent="0.3">
      <c r="B12" s="104"/>
      <c r="C12" s="99"/>
      <c r="D12" s="99"/>
      <c r="E12" s="99"/>
      <c r="F12" s="105"/>
      <c r="G12" s="105"/>
      <c r="H12" s="105"/>
      <c r="I12" s="105"/>
      <c r="J12" s="99"/>
      <c r="K12" s="106"/>
      <c r="L12" s="103"/>
    </row>
    <row r="13" spans="2:13" ht="59.4" customHeight="1" x14ac:dyDescent="0.3">
      <c r="B13" s="104"/>
      <c r="C13" s="99"/>
      <c r="D13" s="99"/>
      <c r="E13" s="99"/>
      <c r="F13" s="105"/>
      <c r="G13" s="105"/>
      <c r="H13" s="105"/>
      <c r="I13" s="105"/>
      <c r="J13" s="99"/>
      <c r="K13" s="106"/>
      <c r="L13" s="103"/>
    </row>
    <row r="14" spans="2:13" ht="59.4" customHeight="1" x14ac:dyDescent="0.3">
      <c r="B14" s="104"/>
      <c r="C14" s="99"/>
      <c r="D14" s="99"/>
      <c r="E14" s="99"/>
      <c r="F14" s="105"/>
      <c r="G14" s="105"/>
      <c r="H14" s="105"/>
      <c r="I14" s="105"/>
      <c r="J14" s="99"/>
      <c r="K14" s="106"/>
      <c r="L14" s="103"/>
    </row>
    <row r="15" spans="2:13" ht="59.4" customHeight="1" x14ac:dyDescent="0.3">
      <c r="B15" s="104"/>
      <c r="C15" s="99"/>
      <c r="D15" s="99"/>
      <c r="E15" s="99"/>
      <c r="F15" s="105"/>
      <c r="G15" s="105"/>
      <c r="H15" s="105"/>
      <c r="I15" s="105"/>
      <c r="J15" s="99"/>
      <c r="K15" s="106"/>
      <c r="L15" s="103"/>
    </row>
    <row r="16" spans="2:13" ht="59.4" customHeight="1" x14ac:dyDescent="0.3">
      <c r="B16" s="104"/>
      <c r="C16" s="99"/>
      <c r="D16" s="99"/>
      <c r="E16" s="99"/>
      <c r="F16" s="105"/>
      <c r="G16" s="105"/>
      <c r="H16" s="105"/>
      <c r="I16" s="105"/>
      <c r="J16" s="99"/>
      <c r="K16" s="106"/>
      <c r="L16" s="103"/>
    </row>
    <row r="17" spans="2:12" ht="59.4" customHeight="1" x14ac:dyDescent="0.3">
      <c r="B17" s="104"/>
      <c r="C17" s="99"/>
      <c r="D17" s="99"/>
      <c r="E17" s="99"/>
      <c r="F17" s="105"/>
      <c r="G17" s="105"/>
      <c r="H17" s="105"/>
      <c r="I17" s="105"/>
      <c r="J17" s="99"/>
      <c r="K17" s="106"/>
      <c r="L17" s="103"/>
    </row>
    <row r="18" spans="2:12" ht="59.4" customHeight="1" x14ac:dyDescent="0.3">
      <c r="B18" s="104"/>
      <c r="C18" s="99"/>
      <c r="D18" s="99"/>
      <c r="E18" s="99"/>
      <c r="F18" s="105"/>
      <c r="G18" s="105"/>
      <c r="H18" s="105"/>
      <c r="I18" s="105"/>
      <c r="J18" s="99"/>
      <c r="K18" s="106"/>
      <c r="L18" s="103"/>
    </row>
    <row r="19" spans="2:12" ht="59.4" customHeight="1" x14ac:dyDescent="0.3">
      <c r="B19" s="108"/>
      <c r="C19" s="99"/>
      <c r="D19" s="100"/>
      <c r="E19" s="100"/>
      <c r="F19" s="105"/>
      <c r="G19" s="101"/>
      <c r="H19" s="101"/>
      <c r="I19" s="101"/>
      <c r="J19" s="100"/>
      <c r="K19" s="102"/>
      <c r="L19" s="103"/>
    </row>
    <row r="20" spans="2:12" ht="59.4" customHeight="1" x14ac:dyDescent="0.3">
      <c r="B20" s="104"/>
      <c r="C20" s="99"/>
      <c r="D20" s="99"/>
      <c r="E20" s="99"/>
      <c r="F20" s="105"/>
      <c r="G20" s="105"/>
      <c r="H20" s="105"/>
      <c r="I20" s="105"/>
      <c r="J20" s="99"/>
      <c r="K20" s="106"/>
      <c r="L20" s="103"/>
    </row>
    <row r="21" spans="2:12" ht="59.4" customHeight="1" x14ac:dyDescent="0.3">
      <c r="B21" s="104"/>
      <c r="C21" s="99"/>
      <c r="D21" s="99"/>
      <c r="E21" s="99"/>
      <c r="F21" s="105"/>
      <c r="G21" s="105"/>
      <c r="H21" s="105"/>
      <c r="I21" s="105"/>
      <c r="J21" s="99"/>
      <c r="K21" s="106"/>
      <c r="L21" s="103"/>
    </row>
    <row r="22" spans="2:12" ht="59.4" customHeight="1" x14ac:dyDescent="0.3">
      <c r="B22" s="104"/>
      <c r="C22" s="99"/>
      <c r="D22" s="99"/>
      <c r="E22" s="99"/>
      <c r="F22" s="105"/>
      <c r="G22" s="105"/>
      <c r="H22" s="105"/>
      <c r="I22" s="105"/>
      <c r="J22" s="99"/>
      <c r="K22" s="106"/>
      <c r="L22" s="103"/>
    </row>
    <row r="23" spans="2:12" ht="59.4" customHeight="1" x14ac:dyDescent="0.3">
      <c r="B23" s="104"/>
      <c r="C23" s="99"/>
      <c r="D23" s="99"/>
      <c r="E23" s="99"/>
      <c r="F23" s="105"/>
      <c r="G23" s="105"/>
      <c r="H23" s="105"/>
      <c r="I23" s="105"/>
      <c r="J23" s="99"/>
      <c r="K23" s="106"/>
      <c r="L23" s="103"/>
    </row>
    <row r="24" spans="2:12" ht="59.4" customHeight="1" x14ac:dyDescent="0.3">
      <c r="B24" s="104"/>
      <c r="C24" s="99"/>
      <c r="D24" s="99"/>
      <c r="E24" s="99"/>
      <c r="F24" s="105"/>
      <c r="G24" s="105"/>
      <c r="H24" s="105"/>
      <c r="I24" s="105"/>
      <c r="J24" s="99"/>
      <c r="K24" s="106"/>
      <c r="L24" s="103"/>
    </row>
    <row r="25" spans="2:12" ht="59.4" customHeight="1" x14ac:dyDescent="0.3">
      <c r="B25" s="104"/>
      <c r="C25" s="99"/>
      <c r="D25" s="99"/>
      <c r="E25" s="99"/>
      <c r="F25" s="105"/>
      <c r="G25" s="105"/>
      <c r="H25" s="105"/>
      <c r="I25" s="105"/>
      <c r="J25" s="99"/>
      <c r="K25" s="106"/>
      <c r="L25" s="103"/>
    </row>
    <row r="26" spans="2:12" ht="59.4" customHeight="1" x14ac:dyDescent="0.3">
      <c r="B26" s="104"/>
      <c r="C26" s="99"/>
      <c r="D26" s="99"/>
      <c r="E26" s="99"/>
      <c r="F26" s="105"/>
      <c r="G26" s="105"/>
      <c r="H26" s="105"/>
      <c r="I26" s="105"/>
      <c r="J26" s="99"/>
      <c r="K26" s="106"/>
      <c r="L26" s="103"/>
    </row>
    <row r="27" spans="2:12" ht="59.4" customHeight="1" x14ac:dyDescent="0.3">
      <c r="B27" s="104"/>
      <c r="C27" s="99"/>
      <c r="D27" s="99"/>
      <c r="E27" s="99"/>
      <c r="F27" s="105"/>
      <c r="G27" s="105"/>
      <c r="H27" s="105"/>
      <c r="I27" s="105"/>
      <c r="J27" s="99"/>
      <c r="K27" s="106"/>
      <c r="L27" s="103"/>
    </row>
    <row r="28" spans="2:12" ht="59.4" customHeight="1" x14ac:dyDescent="0.3">
      <c r="B28" s="104"/>
      <c r="C28" s="99"/>
      <c r="D28" s="99"/>
      <c r="E28" s="99"/>
      <c r="F28" s="105"/>
      <c r="G28" s="105"/>
      <c r="H28" s="105"/>
      <c r="I28" s="105"/>
      <c r="J28" s="99"/>
      <c r="K28" s="106"/>
      <c r="L28" s="103"/>
    </row>
    <row r="29" spans="2:12" ht="59.4" customHeight="1" x14ac:dyDescent="0.3">
      <c r="B29" s="104"/>
      <c r="C29" s="99"/>
      <c r="D29" s="99"/>
      <c r="E29" s="99"/>
      <c r="F29" s="105"/>
      <c r="G29" s="105"/>
      <c r="H29" s="105"/>
      <c r="I29" s="105"/>
      <c r="J29" s="99"/>
      <c r="K29" s="106"/>
      <c r="L29" s="103"/>
    </row>
    <row r="30" spans="2:12" ht="59.4" customHeight="1" x14ac:dyDescent="0.3">
      <c r="B30" s="104"/>
      <c r="C30" s="99"/>
      <c r="D30" s="99"/>
      <c r="E30" s="99"/>
      <c r="F30" s="105"/>
      <c r="G30" s="105"/>
      <c r="H30" s="105"/>
      <c r="I30" s="105"/>
      <c r="J30" s="99"/>
      <c r="K30" s="106"/>
      <c r="L30" s="103"/>
    </row>
    <row r="31" spans="2:12" ht="59.4" customHeight="1" x14ac:dyDescent="0.3">
      <c r="B31" s="104"/>
      <c r="C31" s="99"/>
      <c r="D31" s="99"/>
      <c r="E31" s="99"/>
      <c r="F31" s="105"/>
      <c r="G31" s="105"/>
      <c r="H31" s="105"/>
      <c r="I31" s="105"/>
      <c r="J31" s="99"/>
      <c r="K31" s="106"/>
      <c r="L31" s="103"/>
    </row>
    <row r="32" spans="2:12" ht="59.4" customHeight="1" x14ac:dyDescent="0.3">
      <c r="B32" s="104"/>
      <c r="C32" s="99"/>
      <c r="D32" s="99"/>
      <c r="E32" s="99"/>
      <c r="F32" s="105"/>
      <c r="G32" s="105"/>
      <c r="H32" s="105"/>
      <c r="I32" s="105"/>
      <c r="J32" s="99"/>
      <c r="K32" s="106"/>
      <c r="L32" s="103"/>
    </row>
    <row r="33" spans="2:12" ht="59.4" customHeight="1" x14ac:dyDescent="0.3">
      <c r="B33" s="104"/>
      <c r="C33" s="99"/>
      <c r="D33" s="99"/>
      <c r="E33" s="99"/>
      <c r="F33" s="105"/>
      <c r="G33" s="105"/>
      <c r="H33" s="105"/>
      <c r="I33" s="105"/>
      <c r="J33" s="99"/>
      <c r="K33" s="106"/>
      <c r="L33" s="103"/>
    </row>
    <row r="34" spans="2:12" ht="59.4" customHeight="1" x14ac:dyDescent="0.3">
      <c r="B34" s="104"/>
      <c r="C34" s="99"/>
      <c r="D34" s="99"/>
      <c r="E34" s="99"/>
      <c r="F34" s="105"/>
      <c r="G34" s="105"/>
      <c r="H34" s="105"/>
      <c r="I34" s="105"/>
      <c r="J34" s="99"/>
      <c r="K34" s="106"/>
      <c r="L34" s="103"/>
    </row>
    <row r="35" spans="2:12" ht="59.4" customHeight="1" x14ac:dyDescent="0.3">
      <c r="B35" s="104"/>
      <c r="C35" s="99"/>
      <c r="D35" s="99"/>
      <c r="E35" s="99"/>
      <c r="F35" s="105"/>
      <c r="G35" s="105"/>
      <c r="H35" s="105"/>
      <c r="I35" s="105"/>
      <c r="J35" s="99"/>
      <c r="K35" s="106"/>
      <c r="L35" s="103"/>
    </row>
    <row r="36" spans="2:12" ht="59.4" customHeight="1" x14ac:dyDescent="0.3">
      <c r="B36" s="104"/>
      <c r="C36" s="99"/>
      <c r="D36" s="99"/>
      <c r="E36" s="99"/>
      <c r="F36" s="105"/>
      <c r="G36" s="105"/>
      <c r="H36" s="105"/>
      <c r="I36" s="105"/>
      <c r="J36" s="99"/>
      <c r="K36" s="106"/>
      <c r="L36" s="103"/>
    </row>
    <row r="37" spans="2:12" s="112" customFormat="1" ht="59.4" customHeight="1" x14ac:dyDescent="0.3">
      <c r="B37" s="104"/>
      <c r="C37" s="99"/>
      <c r="D37" s="109"/>
      <c r="E37" s="109"/>
      <c r="F37" s="110"/>
      <c r="G37" s="110"/>
      <c r="H37" s="110"/>
      <c r="I37" s="110"/>
      <c r="J37" s="109"/>
      <c r="K37" s="111"/>
      <c r="L37" s="103"/>
    </row>
    <row r="38" spans="2:12" ht="59.4" customHeight="1" x14ac:dyDescent="0.3">
      <c r="B38" s="104"/>
      <c r="C38" s="99"/>
      <c r="D38" s="99"/>
      <c r="E38" s="99"/>
      <c r="F38" s="105"/>
      <c r="G38" s="105"/>
      <c r="H38" s="105"/>
      <c r="I38" s="105"/>
      <c r="J38" s="99"/>
      <c r="K38" s="106"/>
      <c r="L38" s="103"/>
    </row>
    <row r="39" spans="2:12" ht="59.4" customHeight="1" x14ac:dyDescent="0.3">
      <c r="B39" s="104"/>
      <c r="C39" s="99"/>
      <c r="D39" s="99"/>
      <c r="E39" s="99"/>
      <c r="F39" s="105"/>
      <c r="G39" s="105"/>
      <c r="H39" s="105"/>
      <c r="I39" s="105"/>
      <c r="J39" s="99"/>
      <c r="K39" s="106"/>
      <c r="L39" s="103"/>
    </row>
    <row r="40" spans="2:12" ht="59.4" customHeight="1" x14ac:dyDescent="0.3">
      <c r="B40" s="104"/>
      <c r="C40" s="99"/>
      <c r="D40" s="99"/>
      <c r="E40" s="99"/>
      <c r="F40" s="105"/>
      <c r="G40" s="105"/>
      <c r="H40" s="105"/>
      <c r="I40" s="105"/>
      <c r="J40" s="99"/>
      <c r="K40" s="106"/>
      <c r="L40" s="103"/>
    </row>
    <row r="41" spans="2:12" ht="59.4" customHeight="1" x14ac:dyDescent="0.3">
      <c r="B41" s="104"/>
      <c r="C41" s="99"/>
      <c r="D41" s="99"/>
      <c r="E41" s="99"/>
      <c r="F41" s="105"/>
      <c r="G41" s="105"/>
      <c r="H41" s="105"/>
      <c r="I41" s="105"/>
      <c r="J41" s="99"/>
      <c r="K41" s="106"/>
      <c r="L41" s="103"/>
    </row>
    <row r="42" spans="2:12" ht="59.4" customHeight="1" x14ac:dyDescent="0.3">
      <c r="B42" s="104"/>
      <c r="C42" s="99"/>
      <c r="D42" s="99"/>
      <c r="E42" s="99"/>
      <c r="F42" s="105"/>
      <c r="G42" s="105"/>
      <c r="H42" s="105"/>
      <c r="I42" s="105"/>
      <c r="J42" s="99"/>
      <c r="K42" s="106"/>
      <c r="L42" s="103"/>
    </row>
    <row r="43" spans="2:12" ht="59.4" customHeight="1" x14ac:dyDescent="0.3">
      <c r="B43" s="104"/>
      <c r="C43" s="99"/>
      <c r="D43" s="99"/>
      <c r="E43" s="99"/>
      <c r="F43" s="105"/>
      <c r="G43" s="105"/>
      <c r="H43" s="105"/>
      <c r="I43" s="105"/>
      <c r="J43" s="99"/>
      <c r="K43" s="106"/>
      <c r="L43" s="103"/>
    </row>
    <row r="44" spans="2:12" ht="59.4" customHeight="1" x14ac:dyDescent="0.3">
      <c r="B44" s="104"/>
      <c r="C44" s="99"/>
      <c r="D44" s="99"/>
      <c r="E44" s="99"/>
      <c r="F44" s="105"/>
      <c r="G44" s="105"/>
      <c r="H44" s="105"/>
      <c r="I44" s="105"/>
      <c r="J44" s="99"/>
      <c r="K44" s="106"/>
      <c r="L44" s="103"/>
    </row>
    <row r="45" spans="2:12" ht="59.4" customHeight="1" x14ac:dyDescent="0.3">
      <c r="B45" s="104"/>
      <c r="C45" s="99"/>
      <c r="D45" s="99"/>
      <c r="E45" s="99"/>
      <c r="F45" s="105"/>
      <c r="G45" s="105"/>
      <c r="H45" s="105"/>
      <c r="I45" s="105"/>
      <c r="J45" s="99"/>
      <c r="K45" s="106"/>
      <c r="L45" s="103"/>
    </row>
    <row r="46" spans="2:12" ht="59.4" customHeight="1" x14ac:dyDescent="0.3">
      <c r="B46" s="104"/>
      <c r="C46" s="99"/>
      <c r="D46" s="99"/>
      <c r="E46" s="99"/>
      <c r="F46" s="105"/>
      <c r="G46" s="105"/>
      <c r="H46" s="105"/>
      <c r="I46" s="105"/>
      <c r="J46" s="99"/>
      <c r="K46" s="106"/>
      <c r="L46" s="103"/>
    </row>
    <row r="47" spans="2:12" ht="59.4" customHeight="1" x14ac:dyDescent="0.3">
      <c r="B47" s="104"/>
      <c r="C47" s="99"/>
      <c r="D47" s="99"/>
      <c r="E47" s="99"/>
      <c r="F47" s="105"/>
      <c r="G47" s="105"/>
      <c r="H47" s="105"/>
      <c r="I47" s="105"/>
      <c r="J47" s="99"/>
      <c r="K47" s="106"/>
      <c r="L47" s="103"/>
    </row>
    <row r="48" spans="2:12" ht="59.4" customHeight="1" x14ac:dyDescent="0.3">
      <c r="B48" s="104"/>
      <c r="C48" s="99"/>
      <c r="D48" s="99"/>
      <c r="E48" s="99"/>
      <c r="F48" s="105"/>
      <c r="G48" s="105"/>
      <c r="H48" s="105"/>
      <c r="I48" s="105"/>
      <c r="J48" s="99"/>
      <c r="K48" s="106"/>
      <c r="L48" s="103"/>
    </row>
    <row r="49" spans="2:12" ht="59.4" customHeight="1" x14ac:dyDescent="0.3">
      <c r="B49" s="104"/>
      <c r="C49" s="99"/>
      <c r="D49" s="99"/>
      <c r="E49" s="99"/>
      <c r="F49" s="105"/>
      <c r="G49" s="105"/>
      <c r="H49" s="105"/>
      <c r="I49" s="105"/>
      <c r="J49" s="99"/>
      <c r="K49" s="106"/>
      <c r="L49" s="103"/>
    </row>
    <row r="50" spans="2:12" ht="59.4" customHeight="1" x14ac:dyDescent="0.3">
      <c r="B50" s="104"/>
      <c r="C50" s="99"/>
      <c r="D50" s="99"/>
      <c r="E50" s="99"/>
      <c r="F50" s="105"/>
      <c r="G50" s="105"/>
      <c r="H50" s="105"/>
      <c r="I50" s="105"/>
      <c r="J50" s="99"/>
      <c r="K50" s="106"/>
      <c r="L50" s="103"/>
    </row>
    <row r="51" spans="2:12" ht="59.4" customHeight="1" x14ac:dyDescent="0.3">
      <c r="B51" s="104"/>
      <c r="C51" s="99"/>
      <c r="D51" s="99"/>
      <c r="E51" s="99"/>
      <c r="F51" s="105"/>
      <c r="G51" s="105"/>
      <c r="H51" s="105"/>
      <c r="I51" s="105"/>
      <c r="J51" s="99"/>
      <c r="K51" s="106"/>
      <c r="L51" s="103"/>
    </row>
  </sheetData>
  <protectedRanges>
    <protectedRange algorithmName="SHA-512" hashValue="4NhdbTyulRXZkBEq7Mn6+VKgOZdKtlfacISEdowO5xIUCa7OlX5LdkGNxnngfJg/0C5iD9A0fDWAkH//tV2WEg==" saltValue="4IZ1hkVaCZH46leZVUmsLQ==" spinCount="100000" sqref="B3:B4" name="Range1"/>
  </protectedRanges>
  <mergeCells count="4">
    <mergeCell ref="C1:K1"/>
    <mergeCell ref="C2:D2"/>
    <mergeCell ref="F2:I2"/>
    <mergeCell ref="J2:K2"/>
  </mergeCells>
  <printOptions horizontalCentered="1" verticalCentered="1"/>
  <pageMargins left="0.23622047244094491" right="0.23622047244094491" top="0.59055118110236227" bottom="0.15748031496062992" header="0.11811023622047245" footer="0.11811023622047245"/>
  <pageSetup paperSize="9" scale="53" fitToHeight="0" orientation="landscape"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F27520-B8F4-41CB-92B1-29480DACA84E}">
  <sheetPr codeName="Sheet5"/>
  <dimension ref="A1:X48"/>
  <sheetViews>
    <sheetView showGridLines="0" zoomScale="90" zoomScaleNormal="90" workbookViewId="0">
      <selection activeCell="G17" sqref="G17"/>
    </sheetView>
  </sheetViews>
  <sheetFormatPr defaultColWidth="9.109375" defaultRowHeight="19.95" customHeight="1" x14ac:dyDescent="0.3"/>
  <cols>
    <col min="1" max="1" width="24.109375" style="182" bestFit="1" customWidth="1"/>
    <col min="2" max="2" width="34.21875" style="182" bestFit="1" customWidth="1"/>
    <col min="3" max="3" width="7.6640625" style="182" bestFit="1" customWidth="1"/>
    <col min="4" max="4" width="1.6640625" style="182" customWidth="1"/>
    <col min="5" max="5" width="26.6640625" style="182" bestFit="1" customWidth="1"/>
    <col min="6" max="6" width="29.109375" style="182" bestFit="1" customWidth="1"/>
    <col min="7" max="7" width="7.6640625" style="182" bestFit="1" customWidth="1"/>
    <col min="8" max="8" width="2.109375" style="182" customWidth="1"/>
    <col min="9" max="9" width="28.77734375" customWidth="1"/>
    <col min="10" max="10" width="2.109375" customWidth="1"/>
    <col min="11" max="11" width="29.6640625" style="8" bestFit="1" customWidth="1"/>
    <col min="12" max="12" width="9.88671875" style="8" customWidth="1"/>
    <col min="13" max="17" width="7.21875" customWidth="1"/>
    <col min="18" max="19" width="9.21875" bestFit="1" customWidth="1"/>
    <col min="20" max="20" width="11.6640625" bestFit="1" customWidth="1"/>
    <col min="21" max="22" width="9.21875" bestFit="1" customWidth="1"/>
    <col min="23" max="23" width="2.109375" customWidth="1"/>
    <col min="24" max="24" width="29" bestFit="1" customWidth="1"/>
  </cols>
  <sheetData>
    <row r="1" spans="1:24" ht="4.2" customHeight="1" x14ac:dyDescent="0.3">
      <c r="A1" s="180"/>
      <c r="D1" s="180"/>
      <c r="E1" s="180"/>
      <c r="H1" s="180"/>
      <c r="K1"/>
      <c r="L1"/>
    </row>
    <row r="2" spans="1:24" s="73" customFormat="1" ht="19.95" customHeight="1" x14ac:dyDescent="0.3">
      <c r="A2" s="231" t="s">
        <v>238</v>
      </c>
      <c r="B2" s="232"/>
      <c r="C2" s="233"/>
      <c r="D2" s="180"/>
      <c r="E2" s="228" t="s">
        <v>51</v>
      </c>
      <c r="F2" s="229"/>
      <c r="G2" s="230"/>
      <c r="H2" s="180"/>
      <c r="I2" s="134" t="s">
        <v>122</v>
      </c>
      <c r="K2" s="231" t="s">
        <v>52</v>
      </c>
      <c r="L2" s="232"/>
      <c r="M2" s="226" t="s">
        <v>177</v>
      </c>
      <c r="N2" s="227"/>
      <c r="O2" s="227"/>
      <c r="P2" s="227"/>
      <c r="Q2" s="227"/>
      <c r="R2" s="226" t="s">
        <v>194</v>
      </c>
      <c r="S2" s="227"/>
      <c r="T2" s="227"/>
      <c r="U2" s="227"/>
      <c r="V2" s="227"/>
      <c r="X2" s="134" t="s">
        <v>258</v>
      </c>
    </row>
    <row r="3" spans="1:24" s="114" customFormat="1" ht="15.6" x14ac:dyDescent="0.3">
      <c r="A3" s="181" t="s">
        <v>5</v>
      </c>
      <c r="B3" s="181" t="s">
        <v>4</v>
      </c>
      <c r="C3" s="181" t="s">
        <v>69</v>
      </c>
      <c r="D3" s="182"/>
      <c r="E3" s="181" t="s">
        <v>5</v>
      </c>
      <c r="F3" s="181" t="s">
        <v>4</v>
      </c>
      <c r="G3" s="181" t="s">
        <v>69</v>
      </c>
      <c r="H3" s="182"/>
      <c r="I3" s="119" t="s">
        <v>5</v>
      </c>
      <c r="K3" s="119" t="s">
        <v>5</v>
      </c>
      <c r="L3" s="152" t="s">
        <v>8</v>
      </c>
      <c r="M3" s="154" t="s">
        <v>172</v>
      </c>
      <c r="N3" s="136" t="s">
        <v>173</v>
      </c>
      <c r="O3" s="136" t="s">
        <v>174</v>
      </c>
      <c r="P3" s="136" t="s">
        <v>175</v>
      </c>
      <c r="Q3" s="156" t="s">
        <v>176</v>
      </c>
      <c r="R3" s="154" t="s">
        <v>172</v>
      </c>
      <c r="S3" s="136" t="s">
        <v>173</v>
      </c>
      <c r="T3" s="136" t="s">
        <v>174</v>
      </c>
      <c r="U3" s="136" t="s">
        <v>175</v>
      </c>
      <c r="V3" s="136" t="s">
        <v>176</v>
      </c>
      <c r="X3" s="119" t="s">
        <v>5</v>
      </c>
    </row>
    <row r="4" spans="1:24" s="117" customFormat="1" ht="19.95" customHeight="1" x14ac:dyDescent="0.3">
      <c r="A4" s="4" t="s">
        <v>0</v>
      </c>
      <c r="B4" s="4" t="s">
        <v>248</v>
      </c>
      <c r="C4" s="4" t="s">
        <v>0</v>
      </c>
      <c r="D4" s="182"/>
      <c r="E4" s="4" t="s">
        <v>0</v>
      </c>
      <c r="F4" s="4" t="s">
        <v>246</v>
      </c>
      <c r="G4" s="4">
        <v>120</v>
      </c>
      <c r="H4" s="182"/>
      <c r="I4" s="113" t="s">
        <v>123</v>
      </c>
      <c r="K4" s="113" t="s">
        <v>0</v>
      </c>
      <c r="L4" s="153" t="s">
        <v>0</v>
      </c>
      <c r="M4" s="155" t="s">
        <v>0</v>
      </c>
      <c r="N4" s="113" t="s">
        <v>0</v>
      </c>
      <c r="O4" s="113" t="s">
        <v>0</v>
      </c>
      <c r="P4" s="113" t="s">
        <v>0</v>
      </c>
      <c r="Q4" s="153" t="s">
        <v>0</v>
      </c>
      <c r="R4" s="155" t="s">
        <v>0</v>
      </c>
      <c r="S4" s="113" t="s">
        <v>0</v>
      </c>
      <c r="T4" s="113"/>
      <c r="U4" s="113" t="s">
        <v>0</v>
      </c>
      <c r="V4" s="113" t="s">
        <v>0</v>
      </c>
      <c r="X4" s="113" t="s">
        <v>0</v>
      </c>
    </row>
    <row r="5" spans="1:24" s="117" customFormat="1" ht="19.95" customHeight="1" x14ac:dyDescent="0.3">
      <c r="A5" s="4" t="s">
        <v>1</v>
      </c>
      <c r="B5" s="4" t="s">
        <v>235</v>
      </c>
      <c r="C5" s="4">
        <v>120</v>
      </c>
      <c r="D5" s="182"/>
      <c r="E5" s="4" t="s">
        <v>61</v>
      </c>
      <c r="F5" s="4"/>
      <c r="G5" s="4">
        <v>60</v>
      </c>
      <c r="H5" s="182"/>
      <c r="I5" s="113" t="s">
        <v>129</v>
      </c>
      <c r="K5" s="113" t="s">
        <v>55</v>
      </c>
      <c r="L5" s="153" t="s">
        <v>205</v>
      </c>
      <c r="M5" s="157">
        <v>1.42</v>
      </c>
      <c r="N5" s="158">
        <v>1.87</v>
      </c>
      <c r="O5" s="158">
        <v>2.14</v>
      </c>
      <c r="P5" s="158" t="s">
        <v>0</v>
      </c>
      <c r="Q5" s="159" t="s">
        <v>0</v>
      </c>
      <c r="R5" s="155" t="s">
        <v>185</v>
      </c>
      <c r="S5" s="113" t="s">
        <v>183</v>
      </c>
      <c r="T5" s="113" t="s">
        <v>184</v>
      </c>
      <c r="U5" s="113" t="s">
        <v>0</v>
      </c>
      <c r="V5" s="113" t="s">
        <v>0</v>
      </c>
      <c r="X5" s="113" t="s">
        <v>261</v>
      </c>
    </row>
    <row r="6" spans="1:24" s="117" customFormat="1" ht="19.95" customHeight="1" x14ac:dyDescent="0.3">
      <c r="A6" s="4" t="s">
        <v>245</v>
      </c>
      <c r="B6" s="4" t="s">
        <v>222</v>
      </c>
      <c r="C6" s="4">
        <v>60</v>
      </c>
      <c r="D6" s="182"/>
      <c r="E6" s="4" t="s">
        <v>112</v>
      </c>
      <c r="F6" s="4" t="s">
        <v>241</v>
      </c>
      <c r="G6" s="4" t="s">
        <v>0</v>
      </c>
      <c r="H6" s="182"/>
      <c r="I6" s="113" t="s">
        <v>124</v>
      </c>
      <c r="K6" s="113" t="s">
        <v>203</v>
      </c>
      <c r="L6" s="153" t="s">
        <v>205</v>
      </c>
      <c r="M6" s="157">
        <v>1.42</v>
      </c>
      <c r="N6" s="158">
        <v>1.87</v>
      </c>
      <c r="O6" s="158">
        <v>2.19</v>
      </c>
      <c r="P6" s="158" t="s">
        <v>0</v>
      </c>
      <c r="Q6" s="159" t="s">
        <v>0</v>
      </c>
      <c r="R6" s="155" t="s">
        <v>185</v>
      </c>
      <c r="S6" s="113" t="s">
        <v>183</v>
      </c>
      <c r="T6" s="113" t="s">
        <v>204</v>
      </c>
      <c r="U6" s="113" t="s">
        <v>0</v>
      </c>
      <c r="V6" s="113" t="s">
        <v>0</v>
      </c>
      <c r="X6" s="113" t="s">
        <v>256</v>
      </c>
    </row>
    <row r="7" spans="1:24" s="117" customFormat="1" ht="19.95" customHeight="1" x14ac:dyDescent="0.3">
      <c r="A7" s="4" t="s">
        <v>43</v>
      </c>
      <c r="B7" s="4" t="s">
        <v>229</v>
      </c>
      <c r="C7" s="4" t="s">
        <v>0</v>
      </c>
      <c r="D7" s="182"/>
      <c r="E7" s="4" t="s">
        <v>249</v>
      </c>
      <c r="F7" s="4"/>
      <c r="G7" s="4">
        <v>30</v>
      </c>
      <c r="H7" s="182"/>
      <c r="I7" s="113" t="s">
        <v>125</v>
      </c>
      <c r="K7" s="113" t="s">
        <v>56</v>
      </c>
      <c r="L7" s="153" t="s">
        <v>206</v>
      </c>
      <c r="M7" s="157">
        <v>1.42</v>
      </c>
      <c r="N7" s="158">
        <v>2.14</v>
      </c>
      <c r="O7" s="158">
        <v>2.44</v>
      </c>
      <c r="P7" s="158" t="s">
        <v>0</v>
      </c>
      <c r="Q7" s="159" t="s">
        <v>0</v>
      </c>
      <c r="R7" s="155" t="s">
        <v>185</v>
      </c>
      <c r="S7" s="113" t="s">
        <v>183</v>
      </c>
      <c r="T7" s="113" t="s">
        <v>184</v>
      </c>
      <c r="U7" s="113" t="s">
        <v>0</v>
      </c>
      <c r="V7" s="113" t="s">
        <v>0</v>
      </c>
      <c r="X7" s="113" t="s">
        <v>260</v>
      </c>
    </row>
    <row r="8" spans="1:24" s="117" customFormat="1" ht="19.95" customHeight="1" x14ac:dyDescent="0.3">
      <c r="A8" s="4" t="s">
        <v>224</v>
      </c>
      <c r="B8" s="4" t="s">
        <v>236</v>
      </c>
      <c r="C8" s="4" t="s">
        <v>0</v>
      </c>
      <c r="D8" s="182"/>
      <c r="E8" s="4" t="s">
        <v>250</v>
      </c>
      <c r="F8" s="4"/>
      <c r="G8" s="4">
        <v>45</v>
      </c>
      <c r="H8" s="182"/>
      <c r="I8" s="113" t="s">
        <v>126</v>
      </c>
      <c r="K8" s="113" t="s">
        <v>216</v>
      </c>
      <c r="L8" s="153" t="s">
        <v>210</v>
      </c>
      <c r="M8" s="157">
        <v>0.99</v>
      </c>
      <c r="N8" s="158">
        <v>4</v>
      </c>
      <c r="O8" s="158">
        <v>4.6399999999999997</v>
      </c>
      <c r="P8" s="158" t="s">
        <v>0</v>
      </c>
      <c r="Q8" s="159" t="s">
        <v>0</v>
      </c>
      <c r="R8" s="155" t="s">
        <v>185</v>
      </c>
      <c r="S8" s="113" t="s">
        <v>217</v>
      </c>
      <c r="T8" s="113" t="s">
        <v>218</v>
      </c>
      <c r="U8" s="113" t="s">
        <v>0</v>
      </c>
      <c r="V8" s="113" t="s">
        <v>0</v>
      </c>
      <c r="X8" s="113" t="s">
        <v>259</v>
      </c>
    </row>
    <row r="9" spans="1:24" s="117" customFormat="1" ht="19.95" customHeight="1" x14ac:dyDescent="0.3">
      <c r="A9" s="4" t="s">
        <v>3</v>
      </c>
      <c r="B9" s="4" t="s">
        <v>231</v>
      </c>
      <c r="C9" s="4" t="s">
        <v>0</v>
      </c>
      <c r="D9" s="182"/>
      <c r="E9" s="4" t="s">
        <v>234</v>
      </c>
      <c r="F9" s="4" t="s">
        <v>236</v>
      </c>
      <c r="G9" s="4" t="s">
        <v>0</v>
      </c>
      <c r="H9" s="182"/>
      <c r="I9" s="113" t="s">
        <v>127</v>
      </c>
      <c r="K9" s="113" t="s">
        <v>53</v>
      </c>
      <c r="L9" s="153" t="s">
        <v>211</v>
      </c>
      <c r="M9" s="157">
        <v>0.81</v>
      </c>
      <c r="N9" s="158">
        <v>3.69</v>
      </c>
      <c r="O9" s="158">
        <v>4.8</v>
      </c>
      <c r="P9" s="158" t="s">
        <v>0</v>
      </c>
      <c r="Q9" s="159" t="s">
        <v>0</v>
      </c>
      <c r="R9" s="155" t="s">
        <v>185</v>
      </c>
      <c r="S9" s="113" t="s">
        <v>187</v>
      </c>
      <c r="T9" s="113" t="s">
        <v>188</v>
      </c>
      <c r="U9" s="113" t="s">
        <v>0</v>
      </c>
      <c r="V9" s="113" t="s">
        <v>0</v>
      </c>
    </row>
    <row r="10" spans="1:24" s="117" customFormat="1" ht="19.95" customHeight="1" x14ac:dyDescent="0.3">
      <c r="A10" s="4" t="s">
        <v>44</v>
      </c>
      <c r="B10" s="4" t="s">
        <v>223</v>
      </c>
      <c r="C10" s="4">
        <v>120</v>
      </c>
      <c r="D10" s="182"/>
      <c r="E10" s="4" t="s">
        <v>62</v>
      </c>
      <c r="F10" s="4"/>
      <c r="G10" s="4" t="s">
        <v>0</v>
      </c>
      <c r="H10" s="182"/>
      <c r="I10" s="113" t="s">
        <v>128</v>
      </c>
      <c r="K10" s="113" t="s">
        <v>64</v>
      </c>
      <c r="L10" s="153" t="s">
        <v>207</v>
      </c>
      <c r="M10" s="157">
        <v>0.9</v>
      </c>
      <c r="N10" s="158">
        <v>4.3099999999999996</v>
      </c>
      <c r="O10" s="158">
        <v>4.67</v>
      </c>
      <c r="P10" s="158" t="s">
        <v>0</v>
      </c>
      <c r="Q10" s="159" t="s">
        <v>0</v>
      </c>
      <c r="R10" s="155" t="s">
        <v>185</v>
      </c>
      <c r="S10" s="113" t="s">
        <v>183</v>
      </c>
      <c r="T10" s="113" t="s">
        <v>192</v>
      </c>
      <c r="U10" s="113" t="s">
        <v>0</v>
      </c>
      <c r="V10" s="113" t="s">
        <v>0</v>
      </c>
    </row>
    <row r="11" spans="1:24" s="117" customFormat="1" ht="19.95" customHeight="1" x14ac:dyDescent="0.3">
      <c r="A11" s="4" t="s">
        <v>247</v>
      </c>
      <c r="B11" s="4" t="s">
        <v>223</v>
      </c>
      <c r="C11" s="4">
        <v>120</v>
      </c>
      <c r="D11" s="182"/>
      <c r="E11" s="4" t="s">
        <v>63</v>
      </c>
      <c r="F11" s="4"/>
      <c r="G11" s="4" t="s">
        <v>0</v>
      </c>
      <c r="H11" s="182"/>
      <c r="I11" s="113" t="s">
        <v>130</v>
      </c>
      <c r="K11" s="113" t="s">
        <v>117</v>
      </c>
      <c r="L11" s="153" t="s">
        <v>212</v>
      </c>
      <c r="M11" s="157">
        <v>0.9</v>
      </c>
      <c r="N11" s="158">
        <v>4.3099999999999996</v>
      </c>
      <c r="O11" s="158">
        <v>4.67</v>
      </c>
      <c r="P11" s="158" t="s">
        <v>0</v>
      </c>
      <c r="Q11" s="159" t="s">
        <v>0</v>
      </c>
      <c r="R11" s="155" t="s">
        <v>185</v>
      </c>
      <c r="S11" s="113" t="s">
        <v>183</v>
      </c>
      <c r="T11" s="113" t="s">
        <v>192</v>
      </c>
      <c r="U11" s="113" t="s">
        <v>0</v>
      </c>
      <c r="V11" s="113" t="s">
        <v>0</v>
      </c>
    </row>
    <row r="12" spans="1:24" s="117" customFormat="1" ht="19.95" customHeight="1" x14ac:dyDescent="0.3">
      <c r="A12" s="4" t="s">
        <v>243</v>
      </c>
      <c r="B12" s="4" t="s">
        <v>230</v>
      </c>
      <c r="C12" s="4" t="s">
        <v>0</v>
      </c>
      <c r="D12" s="182"/>
      <c r="E12" s="4" t="s">
        <v>54</v>
      </c>
      <c r="F12" s="4"/>
      <c r="G12" s="4" t="s">
        <v>0</v>
      </c>
      <c r="H12" s="182"/>
      <c r="K12" s="113" t="s">
        <v>115</v>
      </c>
      <c r="L12" s="153" t="s">
        <v>208</v>
      </c>
      <c r="M12" s="157">
        <v>0.94</v>
      </c>
      <c r="N12" s="158">
        <v>5.4</v>
      </c>
      <c r="O12" s="158">
        <v>6.25</v>
      </c>
      <c r="P12" s="158" t="s">
        <v>0</v>
      </c>
      <c r="Q12" s="159" t="s">
        <v>0</v>
      </c>
      <c r="R12" s="155" t="s">
        <v>185</v>
      </c>
      <c r="S12" s="113" t="s">
        <v>193</v>
      </c>
      <c r="T12" s="113" t="s">
        <v>184</v>
      </c>
      <c r="U12" s="113" t="s">
        <v>0</v>
      </c>
      <c r="V12" s="113" t="s">
        <v>0</v>
      </c>
    </row>
    <row r="13" spans="1:24" s="117" customFormat="1" ht="19.95" customHeight="1" x14ac:dyDescent="0.3">
      <c r="A13" s="4" t="s">
        <v>242</v>
      </c>
      <c r="B13" s="4" t="s">
        <v>240</v>
      </c>
      <c r="C13" s="4" t="s">
        <v>0</v>
      </c>
      <c r="D13" s="182"/>
      <c r="E13" s="4" t="s">
        <v>227</v>
      </c>
      <c r="F13" s="4" t="s">
        <v>236</v>
      </c>
      <c r="G13" s="4" t="s">
        <v>0</v>
      </c>
      <c r="H13" s="182"/>
      <c r="K13" s="113" t="s">
        <v>186</v>
      </c>
      <c r="L13" s="153" t="s">
        <v>213</v>
      </c>
      <c r="M13" s="157">
        <v>1.73</v>
      </c>
      <c r="N13" s="158">
        <v>6</v>
      </c>
      <c r="O13" s="158">
        <v>6.6</v>
      </c>
      <c r="P13" s="158" t="s">
        <v>0</v>
      </c>
      <c r="Q13" s="159" t="s">
        <v>0</v>
      </c>
      <c r="R13" s="155" t="s">
        <v>185</v>
      </c>
      <c r="S13" s="113" t="s">
        <v>191</v>
      </c>
      <c r="T13" s="113" t="s">
        <v>190</v>
      </c>
      <c r="U13" s="113" t="s">
        <v>0</v>
      </c>
      <c r="V13" s="113" t="s">
        <v>0</v>
      </c>
    </row>
    <row r="14" spans="1:24" s="117" customFormat="1" ht="19.95" customHeight="1" x14ac:dyDescent="0.3">
      <c r="A14" s="182"/>
      <c r="B14" s="182"/>
      <c r="C14" s="182"/>
      <c r="D14" s="182"/>
      <c r="E14" s="4" t="s">
        <v>60</v>
      </c>
      <c r="F14" s="4"/>
      <c r="G14" s="4">
        <v>60</v>
      </c>
      <c r="H14" s="182"/>
      <c r="K14" s="113" t="s">
        <v>58</v>
      </c>
      <c r="L14" s="153" t="s">
        <v>209</v>
      </c>
      <c r="M14" s="160">
        <v>1.3</v>
      </c>
      <c r="N14" s="158">
        <v>5.68</v>
      </c>
      <c r="O14" s="158">
        <v>6.2</v>
      </c>
      <c r="P14" s="158" t="s">
        <v>0</v>
      </c>
      <c r="Q14" s="159" t="s">
        <v>0</v>
      </c>
      <c r="R14" s="155" t="s">
        <v>185</v>
      </c>
      <c r="S14" s="113" t="s">
        <v>187</v>
      </c>
      <c r="T14" s="113" t="s">
        <v>189</v>
      </c>
      <c r="U14" s="113" t="s">
        <v>0</v>
      </c>
      <c r="V14" s="113" t="s">
        <v>0</v>
      </c>
    </row>
    <row r="15" spans="1:24" s="117" customFormat="1" ht="19.95" customHeight="1" x14ac:dyDescent="0.3">
      <c r="A15" s="182"/>
      <c r="B15" s="182"/>
      <c r="C15" s="182"/>
      <c r="D15" s="182"/>
      <c r="E15" s="4" t="s">
        <v>113</v>
      </c>
      <c r="F15" s="4" t="s">
        <v>241</v>
      </c>
      <c r="G15" s="4" t="s">
        <v>0</v>
      </c>
      <c r="H15" s="182"/>
      <c r="K15" s="113" t="s">
        <v>116</v>
      </c>
      <c r="L15" s="153" t="s">
        <v>214</v>
      </c>
      <c r="M15" s="157">
        <v>1.9</v>
      </c>
      <c r="N15" s="158">
        <v>8</v>
      </c>
      <c r="O15" s="158">
        <v>8.5</v>
      </c>
      <c r="P15" s="158" t="s">
        <v>0</v>
      </c>
      <c r="Q15" s="159" t="s">
        <v>0</v>
      </c>
      <c r="R15" s="155" t="s">
        <v>185</v>
      </c>
      <c r="S15" s="113" t="s">
        <v>191</v>
      </c>
      <c r="T15" s="113" t="s">
        <v>197</v>
      </c>
      <c r="U15" s="113" t="s">
        <v>0</v>
      </c>
      <c r="V15" s="113" t="s">
        <v>0</v>
      </c>
    </row>
    <row r="16" spans="1:24" s="117" customFormat="1" ht="19.95" customHeight="1" x14ac:dyDescent="0.3">
      <c r="A16" s="182"/>
      <c r="B16" s="182"/>
      <c r="C16" s="182"/>
      <c r="D16" s="182"/>
      <c r="E16" s="4" t="s">
        <v>2</v>
      </c>
      <c r="F16" s="4"/>
      <c r="G16" s="4">
        <v>45</v>
      </c>
      <c r="H16" s="182"/>
      <c r="K16" s="113" t="s">
        <v>59</v>
      </c>
      <c r="L16" s="153" t="s">
        <v>215</v>
      </c>
      <c r="M16" s="157">
        <v>1.67</v>
      </c>
      <c r="N16" s="158">
        <v>7.3</v>
      </c>
      <c r="O16" s="158">
        <v>8.52</v>
      </c>
      <c r="P16" s="158" t="s">
        <v>0</v>
      </c>
      <c r="Q16" s="159" t="s">
        <v>0</v>
      </c>
      <c r="R16" s="155" t="s">
        <v>185</v>
      </c>
      <c r="S16" s="113" t="s">
        <v>196</v>
      </c>
      <c r="T16" s="113" t="s">
        <v>188</v>
      </c>
      <c r="U16" s="113" t="s">
        <v>0</v>
      </c>
      <c r="V16" s="113" t="s">
        <v>0</v>
      </c>
      <c r="W16" s="118"/>
    </row>
    <row r="17" spans="1:22" s="117" customFormat="1" ht="19.95" customHeight="1" x14ac:dyDescent="0.3">
      <c r="A17" s="182"/>
      <c r="B17" s="182"/>
      <c r="C17" s="182"/>
      <c r="D17" s="182"/>
      <c r="E17" s="4" t="s">
        <v>233</v>
      </c>
      <c r="F17" s="4" t="s">
        <v>226</v>
      </c>
      <c r="G17" s="4" t="s">
        <v>0</v>
      </c>
      <c r="H17" s="182"/>
      <c r="K17" s="3" t="s">
        <v>114</v>
      </c>
      <c r="L17" s="153" t="s">
        <v>219</v>
      </c>
      <c r="M17" s="157">
        <v>2.33</v>
      </c>
      <c r="N17" s="161" t="s">
        <v>198</v>
      </c>
      <c r="O17" s="161" t="s">
        <v>199</v>
      </c>
      <c r="P17" s="161" t="s">
        <v>200</v>
      </c>
      <c r="Q17" s="162" t="s">
        <v>201</v>
      </c>
      <c r="R17" s="155" t="s">
        <v>182</v>
      </c>
      <c r="S17" s="113" t="s">
        <v>178</v>
      </c>
      <c r="T17" s="113" t="s">
        <v>179</v>
      </c>
      <c r="U17" s="113" t="s">
        <v>180</v>
      </c>
      <c r="V17" s="113" t="s">
        <v>181</v>
      </c>
    </row>
    <row r="18" spans="1:22" s="117" customFormat="1" ht="19.95" customHeight="1" x14ac:dyDescent="0.3">
      <c r="A18" s="182"/>
      <c r="B18" s="182"/>
      <c r="C18" s="182"/>
      <c r="D18" s="182"/>
      <c r="E18" s="4" t="s">
        <v>232</v>
      </c>
      <c r="F18" s="4" t="s">
        <v>225</v>
      </c>
      <c r="G18" s="4" t="s">
        <v>0</v>
      </c>
      <c r="H18" s="182"/>
      <c r="K18" s="118"/>
      <c r="L18" s="118"/>
    </row>
    <row r="19" spans="1:22" s="117" customFormat="1" ht="19.95" customHeight="1" x14ac:dyDescent="0.3">
      <c r="A19" s="182"/>
      <c r="B19" s="182"/>
      <c r="C19" s="182"/>
      <c r="D19" s="182"/>
      <c r="E19" s="4" t="s">
        <v>6</v>
      </c>
      <c r="F19" s="4"/>
      <c r="G19" s="4">
        <v>120</v>
      </c>
      <c r="H19" s="182"/>
      <c r="K19" s="118" t="s">
        <v>195</v>
      </c>
      <c r="L19" s="118"/>
    </row>
    <row r="20" spans="1:22" s="117" customFormat="1" ht="19.95" customHeight="1" x14ac:dyDescent="0.3">
      <c r="A20" s="182"/>
      <c r="B20" s="182"/>
      <c r="C20" s="182"/>
      <c r="D20" s="182"/>
      <c r="E20" s="4" t="s">
        <v>137</v>
      </c>
      <c r="F20" s="4" t="s">
        <v>244</v>
      </c>
      <c r="G20" s="4" t="s">
        <v>0</v>
      </c>
      <c r="H20" s="182"/>
      <c r="K20" s="118" t="s">
        <v>202</v>
      </c>
      <c r="L20" s="118"/>
    </row>
    <row r="21" spans="1:22" s="117" customFormat="1" ht="19.95" customHeight="1" x14ac:dyDescent="0.3">
      <c r="A21" s="182"/>
      <c r="B21" s="182"/>
      <c r="C21" s="182"/>
      <c r="D21" s="182"/>
      <c r="E21" s="4" t="s">
        <v>239</v>
      </c>
      <c r="F21" s="4" t="s">
        <v>275</v>
      </c>
      <c r="G21" s="4">
        <f>5*60</f>
        <v>300</v>
      </c>
      <c r="H21" s="182"/>
      <c r="K21" s="118"/>
      <c r="L21" s="118"/>
    </row>
    <row r="22" spans="1:22" s="117" customFormat="1" ht="19.95" customHeight="1" x14ac:dyDescent="0.3">
      <c r="A22" s="182"/>
      <c r="B22" s="182"/>
      <c r="C22" s="182"/>
      <c r="D22" s="182"/>
      <c r="E22" s="4" t="s">
        <v>118</v>
      </c>
      <c r="F22" s="4" t="s">
        <v>276</v>
      </c>
      <c r="G22" s="4">
        <v>300</v>
      </c>
      <c r="H22" s="182"/>
      <c r="K22" s="118"/>
      <c r="L22" s="118"/>
    </row>
    <row r="23" spans="1:22" s="117" customFormat="1" ht="19.95" customHeight="1" x14ac:dyDescent="0.3">
      <c r="A23" s="182"/>
      <c r="B23" s="182"/>
      <c r="C23" s="182"/>
      <c r="D23" s="182"/>
      <c r="E23" s="4" t="s">
        <v>7</v>
      </c>
      <c r="F23" s="4"/>
      <c r="G23" s="4" t="s">
        <v>0</v>
      </c>
      <c r="H23" s="182"/>
      <c r="K23" s="118"/>
      <c r="L23" s="118"/>
    </row>
    <row r="24" spans="1:22" s="117" customFormat="1" ht="19.95" customHeight="1" x14ac:dyDescent="0.3">
      <c r="A24" s="182"/>
      <c r="B24" s="182"/>
      <c r="C24" s="182"/>
      <c r="D24" s="182"/>
      <c r="E24" s="4" t="s">
        <v>46</v>
      </c>
      <c r="F24" s="4"/>
      <c r="G24" s="4" t="s">
        <v>0</v>
      </c>
      <c r="H24" s="182"/>
      <c r="K24" s="118"/>
      <c r="L24" s="118"/>
    </row>
    <row r="25" spans="1:22" s="117" customFormat="1" ht="19.95" customHeight="1" x14ac:dyDescent="0.3">
      <c r="A25" s="182"/>
      <c r="B25" s="182"/>
      <c r="C25" s="182"/>
      <c r="D25" s="182"/>
      <c r="E25" s="182" t="s">
        <v>277</v>
      </c>
      <c r="F25" s="182"/>
      <c r="G25" s="182"/>
      <c r="H25" s="182"/>
      <c r="K25" s="118"/>
      <c r="L25" s="118"/>
    </row>
    <row r="26" spans="1:22" s="117" customFormat="1" ht="19.95" customHeight="1" x14ac:dyDescent="0.3">
      <c r="A26" s="182"/>
      <c r="B26" s="182"/>
      <c r="C26" s="182"/>
      <c r="D26" s="182"/>
      <c r="E26" s="182"/>
      <c r="F26" s="182"/>
      <c r="G26" s="182"/>
      <c r="H26" s="182"/>
      <c r="K26" s="118"/>
      <c r="L26" s="118"/>
    </row>
    <row r="27" spans="1:22" s="117" customFormat="1" ht="19.95" customHeight="1" x14ac:dyDescent="0.3">
      <c r="A27" s="182"/>
      <c r="B27" s="182"/>
      <c r="C27" s="182"/>
      <c r="D27" s="182"/>
      <c r="E27" s="182"/>
      <c r="F27" s="182"/>
      <c r="G27" s="182"/>
      <c r="H27" s="182"/>
      <c r="K27" s="118"/>
      <c r="L27" s="118"/>
    </row>
    <row r="28" spans="1:22" s="117" customFormat="1" ht="19.95" customHeight="1" x14ac:dyDescent="0.3">
      <c r="A28" s="182"/>
      <c r="B28" s="182"/>
      <c r="C28" s="182"/>
      <c r="D28" s="182"/>
      <c r="E28" s="182"/>
      <c r="F28" s="182"/>
      <c r="G28" s="182"/>
      <c r="H28" s="182"/>
      <c r="K28" s="118"/>
      <c r="L28" s="118"/>
    </row>
    <row r="29" spans="1:22" s="117" customFormat="1" ht="19.95" customHeight="1" x14ac:dyDescent="0.3">
      <c r="A29" s="182"/>
      <c r="B29" s="182"/>
      <c r="C29" s="182"/>
      <c r="D29" s="182"/>
      <c r="E29" s="182"/>
      <c r="F29" s="182"/>
      <c r="G29" s="182"/>
      <c r="H29" s="182"/>
      <c r="K29" s="118"/>
      <c r="L29" s="118"/>
    </row>
    <row r="30" spans="1:22" s="117" customFormat="1" ht="19.95" customHeight="1" x14ac:dyDescent="0.3">
      <c r="A30" s="182"/>
      <c r="B30" s="182"/>
      <c r="C30" s="182"/>
      <c r="D30" s="182"/>
      <c r="E30" s="182"/>
      <c r="F30" s="182"/>
      <c r="G30" s="182"/>
      <c r="H30" s="182"/>
      <c r="K30" s="118"/>
      <c r="L30" s="118"/>
    </row>
    <row r="31" spans="1:22" s="117" customFormat="1" ht="19.95" customHeight="1" x14ac:dyDescent="0.3">
      <c r="A31" s="182"/>
      <c r="B31" s="182"/>
      <c r="C31" s="182"/>
      <c r="D31" s="182"/>
      <c r="E31" s="182"/>
      <c r="F31" s="182"/>
      <c r="G31" s="182"/>
      <c r="H31" s="182"/>
      <c r="K31" s="118"/>
      <c r="L31" s="118"/>
    </row>
    <row r="32" spans="1:22" s="117" customFormat="1" ht="19.95" customHeight="1" x14ac:dyDescent="0.3">
      <c r="A32" s="182"/>
      <c r="B32" s="182"/>
      <c r="C32" s="182"/>
      <c r="D32" s="182"/>
      <c r="E32" s="182"/>
      <c r="F32" s="182"/>
      <c r="G32" s="182"/>
      <c r="H32" s="182"/>
      <c r="K32" s="118"/>
      <c r="L32" s="118"/>
    </row>
    <row r="33" spans="1:24" s="117" customFormat="1" ht="19.95" customHeight="1" x14ac:dyDescent="0.3">
      <c r="A33" s="182"/>
      <c r="B33" s="182"/>
      <c r="C33" s="182"/>
      <c r="D33" s="182"/>
      <c r="E33" s="182"/>
      <c r="F33" s="182"/>
      <c r="G33" s="182"/>
      <c r="H33" s="182"/>
      <c r="K33" s="118"/>
      <c r="L33" s="118"/>
    </row>
    <row r="34" spans="1:24" s="117" customFormat="1" ht="19.95" customHeight="1" x14ac:dyDescent="0.3">
      <c r="A34" s="182"/>
      <c r="B34" s="182"/>
      <c r="C34" s="182"/>
      <c r="D34" s="182"/>
      <c r="E34" s="182"/>
      <c r="F34" s="182"/>
      <c r="G34" s="182"/>
      <c r="H34" s="182"/>
      <c r="K34" s="118"/>
      <c r="L34" s="118"/>
    </row>
    <row r="35" spans="1:24" s="117" customFormat="1" ht="19.95" customHeight="1" x14ac:dyDescent="0.3">
      <c r="A35" s="182"/>
      <c r="B35" s="182"/>
      <c r="C35" s="182"/>
      <c r="D35" s="182"/>
      <c r="E35" s="182"/>
      <c r="F35" s="182"/>
      <c r="G35" s="182"/>
      <c r="H35" s="182"/>
      <c r="K35" s="118"/>
      <c r="L35" s="118"/>
      <c r="X35"/>
    </row>
    <row r="36" spans="1:24" s="117" customFormat="1" ht="19.95" customHeight="1" x14ac:dyDescent="0.3">
      <c r="A36" s="182"/>
      <c r="B36" s="182"/>
      <c r="C36" s="182"/>
      <c r="D36" s="182"/>
      <c r="E36" s="182"/>
      <c r="F36" s="182"/>
      <c r="G36" s="182"/>
      <c r="H36" s="182"/>
      <c r="K36" s="118"/>
      <c r="L36" s="118"/>
      <c r="X36"/>
    </row>
    <row r="37" spans="1:24" s="117" customFormat="1" ht="19.95" customHeight="1" x14ac:dyDescent="0.3">
      <c r="A37" s="182"/>
      <c r="B37" s="182"/>
      <c r="C37" s="182"/>
      <c r="D37" s="182"/>
      <c r="E37" s="182"/>
      <c r="F37" s="182"/>
      <c r="G37" s="182"/>
      <c r="H37" s="182"/>
      <c r="K37" s="118"/>
      <c r="L37" s="118"/>
      <c r="X37"/>
    </row>
    <row r="38" spans="1:24" s="117" customFormat="1" ht="19.95" customHeight="1" x14ac:dyDescent="0.3">
      <c r="A38" s="182"/>
      <c r="B38" s="182"/>
      <c r="C38" s="182"/>
      <c r="D38" s="182"/>
      <c r="E38" s="182"/>
      <c r="F38" s="182"/>
      <c r="G38" s="182"/>
      <c r="H38" s="182"/>
      <c r="I38"/>
      <c r="K38" s="118"/>
      <c r="L38" s="118"/>
      <c r="X38"/>
    </row>
    <row r="39" spans="1:24" ht="19.95" customHeight="1" x14ac:dyDescent="0.3">
      <c r="K39" s="118"/>
      <c r="L39" s="118"/>
      <c r="M39" s="117"/>
      <c r="N39" s="117"/>
      <c r="O39" s="117"/>
      <c r="P39" s="117"/>
      <c r="Q39" s="117"/>
      <c r="R39" s="117"/>
      <c r="S39" s="117"/>
      <c r="T39" s="117"/>
      <c r="U39" s="117"/>
      <c r="V39" s="117"/>
    </row>
    <row r="40" spans="1:24" ht="19.95" customHeight="1" x14ac:dyDescent="0.3">
      <c r="K40" s="118"/>
      <c r="L40" s="118"/>
      <c r="M40" s="117"/>
      <c r="N40" s="117"/>
      <c r="O40" s="117"/>
      <c r="P40" s="117"/>
      <c r="Q40" s="117"/>
      <c r="R40" s="117"/>
      <c r="S40" s="117"/>
      <c r="T40" s="117"/>
      <c r="U40" s="117"/>
      <c r="V40" s="117"/>
    </row>
    <row r="41" spans="1:24" ht="19.95" customHeight="1" x14ac:dyDescent="0.3">
      <c r="K41" s="118"/>
      <c r="L41" s="118"/>
      <c r="M41" s="117"/>
      <c r="N41" s="117"/>
      <c r="O41" s="117"/>
      <c r="P41" s="117"/>
      <c r="Q41" s="117"/>
      <c r="R41" s="117"/>
      <c r="S41" s="117"/>
      <c r="T41" s="117"/>
      <c r="U41" s="117"/>
      <c r="V41" s="117"/>
    </row>
    <row r="42" spans="1:24" ht="19.95" customHeight="1" x14ac:dyDescent="0.3">
      <c r="K42" s="118"/>
      <c r="L42" s="118"/>
      <c r="S42" s="117"/>
    </row>
    <row r="43" spans="1:24" ht="19.95" customHeight="1" x14ac:dyDescent="0.3">
      <c r="K43" s="118"/>
      <c r="L43" s="118"/>
    </row>
    <row r="44" spans="1:24" ht="19.95" customHeight="1" x14ac:dyDescent="0.3">
      <c r="K44" s="118"/>
      <c r="L44" s="118"/>
    </row>
    <row r="45" spans="1:24" ht="19.95" customHeight="1" x14ac:dyDescent="0.3">
      <c r="K45" s="118"/>
      <c r="L45" s="118"/>
    </row>
    <row r="46" spans="1:24" ht="19.95" customHeight="1" x14ac:dyDescent="0.3">
      <c r="K46" s="118"/>
      <c r="L46" s="118"/>
    </row>
    <row r="47" spans="1:24" ht="19.95" customHeight="1" x14ac:dyDescent="0.3">
      <c r="K47" s="118"/>
      <c r="L47" s="118"/>
    </row>
    <row r="48" spans="1:24" ht="19.95" customHeight="1" x14ac:dyDescent="0.3">
      <c r="K48" s="118"/>
      <c r="L48" s="118"/>
    </row>
  </sheetData>
  <sortState xmlns:xlrd2="http://schemas.microsoft.com/office/spreadsheetml/2017/richdata2" ref="X4:X8">
    <sortCondition ref="X4:X8"/>
  </sortState>
  <mergeCells count="5">
    <mergeCell ref="R2:V2"/>
    <mergeCell ref="E2:G2"/>
    <mergeCell ref="A2:C2"/>
    <mergeCell ref="K2:L2"/>
    <mergeCell ref="M2:Q2"/>
  </mergeCells>
  <phoneticPr fontId="31" type="noConversion"/>
  <pageMargins left="0.7" right="0.7" top="0.75" bottom="0.75" header="0.3" footer="0.3"/>
  <pageSetup paperSize="9"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747506-D0EE-4A1A-8B59-649516A9EE05}">
  <sheetPr codeName="Sheet1"/>
  <dimension ref="A2:B21"/>
  <sheetViews>
    <sheetView showGridLines="0" workbookViewId="0">
      <selection activeCell="B41" sqref="B41"/>
    </sheetView>
  </sheetViews>
  <sheetFormatPr defaultColWidth="8.88671875" defaultRowHeight="15.6" x14ac:dyDescent="0.3"/>
  <cols>
    <col min="1" max="1" width="8.88671875" style="6" customWidth="1"/>
    <col min="2" max="2" width="111" style="9" customWidth="1"/>
    <col min="3" max="16384" width="8.88671875" style="8"/>
  </cols>
  <sheetData>
    <row r="2" spans="1:2" x14ac:dyDescent="0.3">
      <c r="B2" s="7" t="s">
        <v>11</v>
      </c>
    </row>
    <row r="3" spans="1:2" x14ac:dyDescent="0.3">
      <c r="A3" s="6">
        <v>3.1</v>
      </c>
      <c r="B3" s="9" t="s">
        <v>12</v>
      </c>
    </row>
    <row r="5" spans="1:2" x14ac:dyDescent="0.3">
      <c r="B5" s="7" t="s">
        <v>10</v>
      </c>
    </row>
    <row r="6" spans="1:2" ht="15" customHeight="1" x14ac:dyDescent="0.3">
      <c r="A6" s="6">
        <v>4.0999999999999996</v>
      </c>
      <c r="B6" s="9" t="s">
        <v>134</v>
      </c>
    </row>
    <row r="7" spans="1:2" x14ac:dyDescent="0.3">
      <c r="A7" s="6">
        <v>4.2</v>
      </c>
      <c r="B7" s="9" t="s">
        <v>37</v>
      </c>
    </row>
    <row r="8" spans="1:2" x14ac:dyDescent="0.3">
      <c r="A8" s="6">
        <v>4.3</v>
      </c>
      <c r="B8" s="9" t="s">
        <v>33</v>
      </c>
    </row>
    <row r="9" spans="1:2" ht="4.2" customHeight="1" x14ac:dyDescent="0.3"/>
    <row r="10" spans="1:2" ht="31.2" x14ac:dyDescent="0.3">
      <c r="B10" s="9" t="s">
        <v>38</v>
      </c>
    </row>
    <row r="11" spans="1:2" ht="4.2" customHeight="1" x14ac:dyDescent="0.3"/>
    <row r="12" spans="1:2" x14ac:dyDescent="0.3">
      <c r="B12" s="9" t="s">
        <v>40</v>
      </c>
    </row>
    <row r="13" spans="1:2" ht="4.2" customHeight="1" x14ac:dyDescent="0.3"/>
    <row r="14" spans="1:2" ht="29.4" customHeight="1" x14ac:dyDescent="0.3">
      <c r="B14" s="9" t="s">
        <v>39</v>
      </c>
    </row>
    <row r="16" spans="1:2" x14ac:dyDescent="0.3">
      <c r="B16" s="7" t="s">
        <v>9</v>
      </c>
    </row>
    <row r="17" spans="1:2" x14ac:dyDescent="0.3">
      <c r="A17" s="6">
        <v>5.0999999999999996</v>
      </c>
      <c r="B17" s="9" t="s">
        <v>135</v>
      </c>
    </row>
    <row r="19" spans="1:2" x14ac:dyDescent="0.3">
      <c r="B19" s="10" t="s">
        <v>35</v>
      </c>
    </row>
    <row r="20" spans="1:2" ht="31.2" x14ac:dyDescent="0.3">
      <c r="B20" s="11" t="s">
        <v>136</v>
      </c>
    </row>
    <row r="21" spans="1:2" x14ac:dyDescent="0.3">
      <c r="B21" s="11" t="s">
        <v>36</v>
      </c>
    </row>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8</vt:i4>
      </vt:variant>
    </vt:vector>
  </HeadingPairs>
  <TitlesOfParts>
    <vt:vector size="14" baseType="lpstr">
      <vt:lpstr>Recording notes</vt:lpstr>
      <vt:lpstr>Procedures</vt:lpstr>
      <vt:lpstr>Description</vt:lpstr>
      <vt:lpstr>Hand notes scheme</vt:lpstr>
      <vt:lpstr>Categories</vt:lpstr>
      <vt:lpstr>Usage</vt:lpstr>
      <vt:lpstr>Controlled_VarNames</vt:lpstr>
      <vt:lpstr>Header_VarNames</vt:lpstr>
      <vt:lpstr>Header_VarUnits</vt:lpstr>
      <vt:lpstr>Measured_VarNames</vt:lpstr>
      <vt:lpstr>Notes</vt:lpstr>
      <vt:lpstr>'Hand notes scheme'!Print_Titles</vt:lpstr>
      <vt:lpstr>'Recording notes'!Print_Titles</vt:lpstr>
      <vt:lpstr>'Hand notes scheme'!Sequence_General_Info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Didrik</dc:creator>
  <cp:lastModifiedBy>Didrik</cp:lastModifiedBy>
  <cp:lastPrinted>2019-12-16T15:21:43Z</cp:lastPrinted>
  <dcterms:created xsi:type="dcterms:W3CDTF">2019-03-20T16:41:26Z</dcterms:created>
  <dcterms:modified xsi:type="dcterms:W3CDTF">2020-08-19T10:15:58Z</dcterms:modified>
</cp:coreProperties>
</file>