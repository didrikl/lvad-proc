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7 - LVAD1\Noted\"/>
    </mc:Choice>
  </mc:AlternateContent>
  <xr:revisionPtr revIDLastSave="0" documentId="13_ncr:1_{6E8DF198-9044-4D63-8186-4708D0D0499D}" xr6:coauthVersionLast="45" xr6:coauthVersionMax="45" xr10:uidLastSave="{00000000-0000-0000-0000-000000000000}"/>
  <bookViews>
    <workbookView xWindow="-108" yWindow="-108" windowWidth="30936" windowHeight="17040" xr2:uid="{00000000-000D-0000-FFFF-FFFF00000000}"/>
  </bookViews>
  <sheets>
    <sheet name="Recording notes" sheetId="1" r:id="rId1"/>
    <sheet name="Procedures" sheetId="9" r:id="rId2"/>
    <sheet name="Description" sheetId="17" r:id="rId3"/>
    <sheet name="Hand notes scheme" sheetId="10" r:id="rId4"/>
    <sheet name="Categories" sheetId="16" r:id="rId5"/>
    <sheet name="Usage" sheetId="18" r:id="rId6"/>
  </sheets>
  <externalReferences>
    <externalReference r:id="rId7"/>
  </externalReferences>
  <definedNames>
    <definedName name="Controlled_VarNames">'Recording notes'!$J$2:$R$2</definedName>
    <definedName name="Experiment_Info" localSheetId="2">Description!$B$2:$C$10</definedName>
    <definedName name="Header_VarNames" comment="Define which row that contains header info. The whole row is used, due to flexibility purposes">'Recording notes'!$A$2:$Z$2</definedName>
    <definedName name="Header_VarUnits">'Recording notes'!$A$3:$Z$3</definedName>
    <definedName name="Measured_VarNames">'Recording notes'!$S$2:$Y$2</definedName>
    <definedName name="Notes" comment="Rectangular area for the notes made, to make it easy and robust for importing notes to e.g. Matlab">'Recording notes'!$A$4:$Z$284</definedName>
    <definedName name="_xlnm.Print_Titles" localSheetId="3">'Hand notes scheme'!$1:$4</definedName>
    <definedName name="_xlnm.Print_Titles" localSheetId="0">'Recording notes'!$2:$3</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28" i="1" l="1"/>
  <c r="M228" i="1"/>
  <c r="E228" i="1"/>
  <c r="Q220" i="1"/>
  <c r="N271" i="1"/>
  <c r="M271" i="1"/>
  <c r="E271" i="1"/>
  <c r="N270" i="1"/>
  <c r="M270" i="1"/>
  <c r="E270" i="1"/>
  <c r="N269" i="1"/>
  <c r="M269" i="1"/>
  <c r="E269" i="1"/>
  <c r="N268" i="1"/>
  <c r="M268" i="1"/>
  <c r="E268" i="1"/>
  <c r="N267" i="1"/>
  <c r="M267" i="1"/>
  <c r="E267" i="1"/>
  <c r="N266" i="1"/>
  <c r="M266" i="1"/>
  <c r="E266" i="1"/>
  <c r="N265" i="1"/>
  <c r="M265" i="1"/>
  <c r="E265" i="1"/>
  <c r="Q257" i="1"/>
  <c r="Q258" i="1"/>
  <c r="Q259" i="1"/>
  <c r="Q260" i="1"/>
  <c r="Q261" i="1"/>
  <c r="Q262" i="1"/>
  <c r="Q263" i="1"/>
  <c r="Q256" i="1"/>
  <c r="Q248" i="1"/>
  <c r="Q249" i="1"/>
  <c r="Q250" i="1"/>
  <c r="Q251" i="1"/>
  <c r="Q252" i="1"/>
  <c r="Q253" i="1"/>
  <c r="Q254" i="1"/>
  <c r="Q247" i="1"/>
  <c r="Q239" i="1"/>
  <c r="Q240" i="1"/>
  <c r="Q241" i="1"/>
  <c r="Q242" i="1"/>
  <c r="Q243" i="1"/>
  <c r="Q244" i="1"/>
  <c r="Q245" i="1"/>
  <c r="Q238" i="1"/>
  <c r="Q230" i="1"/>
  <c r="Q231" i="1"/>
  <c r="Q232" i="1"/>
  <c r="Q233" i="1"/>
  <c r="Q234" i="1"/>
  <c r="Q235" i="1"/>
  <c r="Q236" i="1"/>
  <c r="Q229" i="1"/>
  <c r="Q219" i="1" l="1"/>
  <c r="Q213" i="1"/>
  <c r="Q214" i="1"/>
  <c r="Q215" i="1"/>
  <c r="Q216" i="1"/>
  <c r="Q217" i="1"/>
  <c r="Q218" i="1"/>
  <c r="Q203" i="1"/>
  <c r="Q194" i="1"/>
  <c r="Q186" i="1"/>
  <c r="Q204" i="1"/>
  <c r="Q205" i="1"/>
  <c r="Q206" i="1"/>
  <c r="Q207" i="1"/>
  <c r="Q208" i="1"/>
  <c r="Q209" i="1"/>
  <c r="Q210" i="1"/>
  <c r="Q212" i="1"/>
  <c r="N264" i="1"/>
  <c r="M264" i="1"/>
  <c r="E264" i="1"/>
  <c r="N263" i="1"/>
  <c r="M263" i="1"/>
  <c r="E263" i="1"/>
  <c r="N262" i="1"/>
  <c r="M262" i="1"/>
  <c r="E262" i="1"/>
  <c r="N261" i="1"/>
  <c r="M261" i="1"/>
  <c r="E261" i="1"/>
  <c r="N260" i="1"/>
  <c r="M260" i="1"/>
  <c r="E260" i="1"/>
  <c r="N259" i="1"/>
  <c r="M259" i="1"/>
  <c r="E259" i="1"/>
  <c r="N258" i="1"/>
  <c r="M258" i="1"/>
  <c r="E258" i="1"/>
  <c r="N257" i="1"/>
  <c r="M257" i="1"/>
  <c r="E257" i="1"/>
  <c r="N256" i="1"/>
  <c r="M256" i="1"/>
  <c r="E256" i="1"/>
  <c r="Q255" i="1"/>
  <c r="N255" i="1"/>
  <c r="M255" i="1"/>
  <c r="N254" i="1"/>
  <c r="M254" i="1"/>
  <c r="E254" i="1"/>
  <c r="N253" i="1"/>
  <c r="M253" i="1"/>
  <c r="E253" i="1"/>
  <c r="N252" i="1"/>
  <c r="M252" i="1"/>
  <c r="E252" i="1"/>
  <c r="N251" i="1"/>
  <c r="M251" i="1"/>
  <c r="E251" i="1"/>
  <c r="N250" i="1"/>
  <c r="M250" i="1"/>
  <c r="E250" i="1"/>
  <c r="N249" i="1"/>
  <c r="M249" i="1"/>
  <c r="E249" i="1"/>
  <c r="N248" i="1"/>
  <c r="M248" i="1"/>
  <c r="E248" i="1"/>
  <c r="N247" i="1"/>
  <c r="M247" i="1"/>
  <c r="E247" i="1"/>
  <c r="Q246" i="1"/>
  <c r="N246" i="1"/>
  <c r="M246" i="1"/>
  <c r="N245" i="1"/>
  <c r="M245" i="1"/>
  <c r="E245" i="1"/>
  <c r="N244" i="1"/>
  <c r="M244" i="1"/>
  <c r="E244" i="1"/>
  <c r="N243" i="1"/>
  <c r="M243" i="1"/>
  <c r="E243" i="1"/>
  <c r="N242" i="1"/>
  <c r="M242" i="1"/>
  <c r="E242" i="1"/>
  <c r="N241" i="1"/>
  <c r="M241" i="1"/>
  <c r="E241" i="1"/>
  <c r="N240" i="1"/>
  <c r="M240" i="1"/>
  <c r="E240" i="1"/>
  <c r="N239" i="1"/>
  <c r="M239" i="1"/>
  <c r="E239" i="1"/>
  <c r="N238" i="1"/>
  <c r="M238" i="1"/>
  <c r="Q237" i="1"/>
  <c r="N237" i="1"/>
  <c r="M237" i="1"/>
  <c r="N236" i="1"/>
  <c r="M236" i="1"/>
  <c r="E236" i="1"/>
  <c r="N235" i="1"/>
  <c r="M235" i="1"/>
  <c r="E235" i="1"/>
  <c r="N234" i="1"/>
  <c r="M234" i="1"/>
  <c r="E234" i="1"/>
  <c r="N233" i="1"/>
  <c r="M233" i="1"/>
  <c r="E233" i="1"/>
  <c r="N232" i="1"/>
  <c r="M232" i="1"/>
  <c r="E232" i="1"/>
  <c r="N231" i="1"/>
  <c r="M231" i="1"/>
  <c r="E231" i="1"/>
  <c r="N230" i="1"/>
  <c r="M230" i="1"/>
  <c r="E230" i="1"/>
  <c r="N229" i="1"/>
  <c r="M229" i="1"/>
  <c r="E229" i="1"/>
  <c r="N227" i="1"/>
  <c r="M227" i="1"/>
  <c r="E227" i="1"/>
  <c r="N226" i="1"/>
  <c r="M226" i="1"/>
  <c r="E226" i="1"/>
  <c r="N225" i="1"/>
  <c r="M225" i="1"/>
  <c r="E225" i="1"/>
  <c r="N224" i="1"/>
  <c r="M224" i="1"/>
  <c r="E224" i="1"/>
  <c r="N223" i="1"/>
  <c r="M223" i="1"/>
  <c r="E223" i="1"/>
  <c r="N222" i="1"/>
  <c r="M222" i="1"/>
  <c r="E222" i="1"/>
  <c r="N221" i="1"/>
  <c r="M221" i="1"/>
  <c r="E221" i="1"/>
  <c r="Q195" i="1"/>
  <c r="Q196" i="1"/>
  <c r="Q197" i="1"/>
  <c r="Q198" i="1"/>
  <c r="Q199" i="1"/>
  <c r="Q200" i="1"/>
  <c r="Q201" i="1"/>
  <c r="Q185" i="1"/>
  <c r="Q187" i="1"/>
  <c r="Q188" i="1"/>
  <c r="Q189" i="1"/>
  <c r="Q190" i="1"/>
  <c r="Q191" i="1"/>
  <c r="Q192" i="1"/>
  <c r="N184" i="1"/>
  <c r="M184" i="1"/>
  <c r="E184" i="1"/>
  <c r="N120" i="1" l="1"/>
  <c r="M120" i="1"/>
  <c r="E120" i="1"/>
  <c r="N127" i="1"/>
  <c r="M127" i="1"/>
  <c r="E127" i="1"/>
  <c r="N126" i="1"/>
  <c r="M126" i="1"/>
  <c r="E126" i="1"/>
  <c r="N125" i="1"/>
  <c r="M125" i="1"/>
  <c r="E125" i="1"/>
  <c r="N124" i="1"/>
  <c r="M124" i="1"/>
  <c r="E124" i="1"/>
  <c r="N123" i="1"/>
  <c r="M123" i="1"/>
  <c r="E123" i="1"/>
  <c r="N122" i="1"/>
  <c r="M122" i="1"/>
  <c r="E122" i="1"/>
  <c r="N121" i="1"/>
  <c r="M121" i="1"/>
  <c r="E121" i="1"/>
  <c r="N119" i="1"/>
  <c r="M119" i="1"/>
  <c r="E119" i="1"/>
  <c r="N118" i="1"/>
  <c r="M118" i="1"/>
  <c r="E118" i="1"/>
  <c r="N117" i="1"/>
  <c r="M117" i="1"/>
  <c r="E117" i="1"/>
  <c r="N116" i="1"/>
  <c r="M116" i="1"/>
  <c r="E116" i="1"/>
  <c r="N115" i="1"/>
  <c r="M115" i="1"/>
  <c r="E115" i="1"/>
  <c r="N114" i="1"/>
  <c r="M114" i="1"/>
  <c r="E114" i="1"/>
  <c r="N113" i="1"/>
  <c r="M113" i="1"/>
  <c r="E113" i="1"/>
  <c r="N220" i="1" l="1"/>
  <c r="M220" i="1"/>
  <c r="E220" i="1"/>
  <c r="N176" i="1" l="1"/>
  <c r="M176" i="1"/>
  <c r="E176" i="1"/>
  <c r="C9" i="17" l="1"/>
  <c r="C8" i="17"/>
  <c r="N44" i="1" l="1"/>
  <c r="M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N79" i="1"/>
  <c r="M79" i="1"/>
  <c r="E79" i="1"/>
  <c r="N80" i="1" l="1"/>
  <c r="M80" i="1"/>
  <c r="E80" i="1"/>
  <c r="N112" i="1"/>
  <c r="M112" i="1"/>
  <c r="E112" i="1"/>
  <c r="N175" i="1"/>
  <c r="M175" i="1"/>
  <c r="E175" i="1"/>
  <c r="N174" i="1"/>
  <c r="M174" i="1"/>
  <c r="N173" i="1"/>
  <c r="M173" i="1"/>
  <c r="E173" i="1"/>
  <c r="N172" i="1"/>
  <c r="M172" i="1"/>
  <c r="N171" i="1"/>
  <c r="M171" i="1"/>
  <c r="E171" i="1"/>
  <c r="N170" i="1"/>
  <c r="M170" i="1"/>
  <c r="N169" i="1"/>
  <c r="M169" i="1"/>
  <c r="E169" i="1"/>
  <c r="N168" i="1"/>
  <c r="M168" i="1"/>
  <c r="N167" i="1"/>
  <c r="M167" i="1"/>
  <c r="E167" i="1"/>
  <c r="N166" i="1"/>
  <c r="M166" i="1"/>
  <c r="N165" i="1"/>
  <c r="M165" i="1"/>
  <c r="E165" i="1"/>
  <c r="N164" i="1"/>
  <c r="M164" i="1"/>
  <c r="E164" i="1"/>
  <c r="N163" i="1"/>
  <c r="M163" i="1"/>
  <c r="E163" i="1"/>
  <c r="N162" i="1"/>
  <c r="M162" i="1"/>
  <c r="E162" i="1"/>
  <c r="N161" i="1"/>
  <c r="M161" i="1"/>
  <c r="E161" i="1"/>
  <c r="N160" i="1"/>
  <c r="M160" i="1"/>
  <c r="E160" i="1"/>
  <c r="N159" i="1"/>
  <c r="M159" i="1"/>
  <c r="E159" i="1"/>
  <c r="N158" i="1"/>
  <c r="M158" i="1"/>
  <c r="N157" i="1"/>
  <c r="M157" i="1"/>
  <c r="E157" i="1"/>
  <c r="N156" i="1"/>
  <c r="M156" i="1"/>
  <c r="N155" i="1"/>
  <c r="M155" i="1"/>
  <c r="E155" i="1"/>
  <c r="N154" i="1"/>
  <c r="M154" i="1"/>
  <c r="N153" i="1"/>
  <c r="M153" i="1"/>
  <c r="E153" i="1"/>
  <c r="N152" i="1"/>
  <c r="M152" i="1"/>
  <c r="E152" i="1"/>
  <c r="N151" i="1"/>
  <c r="M151" i="1"/>
  <c r="E151" i="1"/>
  <c r="N150" i="1"/>
  <c r="M150" i="1"/>
  <c r="N149" i="1"/>
  <c r="M149" i="1"/>
  <c r="E149" i="1"/>
  <c r="N148" i="1"/>
  <c r="M148" i="1"/>
  <c r="N147" i="1"/>
  <c r="M147" i="1"/>
  <c r="E147" i="1"/>
  <c r="N146" i="1"/>
  <c r="M146" i="1"/>
  <c r="N145" i="1"/>
  <c r="M145" i="1"/>
  <c r="E145" i="1"/>
  <c r="N144" i="1"/>
  <c r="M144" i="1"/>
  <c r="N143" i="1"/>
  <c r="M143" i="1"/>
  <c r="E143" i="1"/>
  <c r="N142" i="1"/>
  <c r="M142" i="1"/>
  <c r="N141" i="1"/>
  <c r="M141" i="1"/>
  <c r="E141" i="1"/>
  <c r="N140" i="1"/>
  <c r="M140" i="1"/>
  <c r="N139" i="1"/>
  <c r="M139" i="1"/>
  <c r="E139" i="1"/>
  <c r="N138" i="1"/>
  <c r="M138" i="1"/>
  <c r="N137" i="1"/>
  <c r="M137" i="1"/>
  <c r="E137" i="1"/>
  <c r="N136" i="1"/>
  <c r="M136" i="1"/>
  <c r="N135" i="1"/>
  <c r="M135" i="1"/>
  <c r="E135" i="1"/>
  <c r="N134" i="1"/>
  <c r="M134" i="1"/>
  <c r="N133" i="1"/>
  <c r="M133" i="1"/>
  <c r="E133" i="1"/>
  <c r="N132" i="1"/>
  <c r="M132" i="1"/>
  <c r="N131" i="1"/>
  <c r="M131" i="1"/>
  <c r="E131" i="1"/>
  <c r="N130" i="1"/>
  <c r="M130" i="1"/>
  <c r="N129" i="1"/>
  <c r="M129" i="1"/>
  <c r="E129" i="1"/>
  <c r="N128" i="1"/>
  <c r="M128" i="1"/>
  <c r="E128" i="1"/>
  <c r="N281" i="1"/>
  <c r="M281" i="1"/>
  <c r="N280" i="1"/>
  <c r="M280" i="1"/>
  <c r="N279" i="1"/>
  <c r="M279" i="1"/>
  <c r="N278" i="1"/>
  <c r="M278" i="1"/>
  <c r="N272" i="1"/>
  <c r="M272" i="1"/>
  <c r="N283" i="1"/>
  <c r="M283" i="1"/>
  <c r="N282" i="1"/>
  <c r="M282" i="1"/>
  <c r="N277" i="1"/>
  <c r="M277" i="1"/>
  <c r="N276" i="1"/>
  <c r="M276" i="1"/>
  <c r="N275" i="1"/>
  <c r="M275" i="1"/>
  <c r="N274" i="1"/>
  <c r="M274" i="1"/>
  <c r="N273" i="1"/>
  <c r="M273" i="1"/>
  <c r="N183" i="1"/>
  <c r="M183" i="1"/>
  <c r="E183" i="1"/>
  <c r="N182" i="1"/>
  <c r="M182" i="1"/>
  <c r="E182" i="1"/>
  <c r="N181" i="1"/>
  <c r="M181" i="1"/>
  <c r="E181" i="1"/>
  <c r="N180" i="1"/>
  <c r="M180" i="1"/>
  <c r="E180" i="1"/>
  <c r="N179" i="1"/>
  <c r="M179" i="1"/>
  <c r="E179" i="1"/>
  <c r="N178" i="1"/>
  <c r="M178" i="1"/>
  <c r="E178" i="1"/>
  <c r="N177" i="1"/>
  <c r="M177" i="1"/>
  <c r="E177" i="1"/>
  <c r="N45" i="1"/>
  <c r="M45" i="1"/>
  <c r="E45"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N111" i="1"/>
  <c r="M111" i="1"/>
  <c r="E111" i="1"/>
  <c r="N110" i="1"/>
  <c r="M110" i="1"/>
  <c r="E110" i="1"/>
  <c r="N109" i="1"/>
  <c r="M109" i="1"/>
  <c r="E109" i="1"/>
  <c r="N108" i="1"/>
  <c r="M108" i="1"/>
  <c r="E108" i="1"/>
  <c r="N107" i="1"/>
  <c r="M107" i="1"/>
  <c r="E107" i="1"/>
  <c r="N106" i="1"/>
  <c r="M106" i="1"/>
  <c r="E106" i="1"/>
  <c r="N105" i="1"/>
  <c r="M105" i="1"/>
  <c r="E105" i="1"/>
  <c r="N104" i="1"/>
  <c r="M104" i="1"/>
  <c r="E104" i="1"/>
  <c r="E88" i="1"/>
  <c r="N10" i="1"/>
  <c r="M10" i="1"/>
  <c r="E10" i="1"/>
  <c r="N8" i="1"/>
  <c r="M8" i="1"/>
  <c r="E8" i="1"/>
  <c r="N6" i="1"/>
  <c r="M6" i="1"/>
  <c r="E6" i="1"/>
  <c r="N5" i="1"/>
  <c r="M5" i="1"/>
  <c r="E5" i="1"/>
  <c r="N7" i="1"/>
  <c r="M7" i="1"/>
  <c r="E7" i="1"/>
  <c r="N9" i="1"/>
  <c r="M9" i="1"/>
  <c r="E9" i="1"/>
  <c r="N11" i="1"/>
  <c r="M11" i="1"/>
  <c r="E11" i="1"/>
  <c r="E4" i="1"/>
  <c r="E185" i="1"/>
  <c r="E186" i="1"/>
  <c r="E187" i="1"/>
  <c r="E188" i="1"/>
  <c r="E189" i="1"/>
  <c r="E190" i="1"/>
  <c r="E191" i="1"/>
  <c r="E192" i="1"/>
  <c r="E195" i="1"/>
  <c r="E196" i="1"/>
  <c r="E197" i="1"/>
  <c r="E198" i="1"/>
  <c r="E199" i="1"/>
  <c r="E200" i="1"/>
  <c r="E201" i="1"/>
  <c r="E203" i="1"/>
  <c r="E204" i="1"/>
  <c r="E205" i="1"/>
  <c r="E206" i="1"/>
  <c r="E207" i="1"/>
  <c r="E208" i="1"/>
  <c r="E209" i="1"/>
  <c r="E210" i="1"/>
  <c r="E212" i="1"/>
  <c r="E213" i="1"/>
  <c r="E214" i="1"/>
  <c r="E215" i="1"/>
  <c r="E216" i="1"/>
  <c r="E217" i="1"/>
  <c r="E218" i="1"/>
  <c r="E219" i="1"/>
  <c r="E90" i="1"/>
  <c r="E91" i="1"/>
  <c r="E92" i="1"/>
  <c r="E93" i="1"/>
  <c r="E94" i="1"/>
  <c r="E95" i="1"/>
  <c r="E96" i="1"/>
  <c r="E97" i="1"/>
  <c r="E98" i="1"/>
  <c r="E99" i="1"/>
  <c r="E100" i="1"/>
  <c r="E101" i="1"/>
  <c r="E102" i="1"/>
  <c r="E103" i="1"/>
  <c r="E284" i="1"/>
  <c r="E81" i="1"/>
  <c r="E82" i="1"/>
  <c r="E83" i="1"/>
  <c r="E84" i="1"/>
  <c r="E85" i="1"/>
  <c r="E86" i="1"/>
  <c r="E87" i="1"/>
  <c r="E89" i="1"/>
  <c r="N103" i="1"/>
  <c r="M103" i="1"/>
  <c r="N102" i="1"/>
  <c r="M102" i="1"/>
  <c r="N101" i="1"/>
  <c r="M101" i="1"/>
  <c r="N100" i="1"/>
  <c r="M100" i="1"/>
  <c r="N99" i="1"/>
  <c r="M99" i="1"/>
  <c r="N98" i="1"/>
  <c r="M98" i="1"/>
  <c r="N97" i="1"/>
  <c r="M97" i="1"/>
  <c r="N96" i="1"/>
  <c r="M96" i="1"/>
  <c r="N95" i="1"/>
  <c r="M95" i="1"/>
  <c r="N94" i="1"/>
  <c r="M94" i="1"/>
  <c r="N93" i="1"/>
  <c r="M93" i="1"/>
  <c r="N92" i="1"/>
  <c r="M92" i="1"/>
  <c r="N91" i="1"/>
  <c r="M91" i="1"/>
  <c r="N90" i="1"/>
  <c r="M90" i="1"/>
  <c r="N89" i="1"/>
  <c r="M89" i="1"/>
  <c r="M185" i="1" l="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81" i="1"/>
  <c r="M82" i="1"/>
  <c r="M83" i="1"/>
  <c r="M84" i="1"/>
  <c r="M85" i="1"/>
  <c r="M86" i="1"/>
  <c r="M87" i="1"/>
  <c r="M88" i="1"/>
  <c r="M284" i="1"/>
  <c r="M4" i="1"/>
  <c r="N81" i="1"/>
  <c r="N88" i="1"/>
  <c r="N87" i="1"/>
  <c r="N86" i="1"/>
  <c r="N85" i="1"/>
  <c r="N84" i="1"/>
  <c r="N83" i="1"/>
  <c r="N82" i="1"/>
  <c r="N219" i="1" l="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4" i="1"/>
  <c r="N284" i="1"/>
  <c r="G21" i="16" l="1"/>
  <c r="C1"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tc={24570B84-A4A5-4FA1-8F50-23755B4FEC4B}</author>
    <author>tc={223A698D-C6FF-45E7-A81C-3C98E4AA577F}</author>
    <author>tc={C354A7D6-B6F7-47C7-8100-C4E881C79697}</author>
    <author>tc={937DED94-CFFB-4758-B72E-0EF048FF02AC}</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E2" authorId="1" shapeId="0" xr:uid="{24570B84-A4A5-4FA1-8F50-23755B4FEC4B}">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F2" authorId="2" shapeId="0" xr:uid="{223A698D-C6FF-45E7-A81C-3C98E4AA577F}">
      <text>
        <t>[Threaded comment]
Your version of Excel allows you to read this threaded comment; however, any edits to it will get removed if the file is opened in a newer version of Excel. Learn more: https://go.microsoft.com/fwlink/?linkid=870924
Comment:
    Folder no. for data export</t>
      </text>
    </comment>
    <comment ref="X2" authorId="3" shapeId="0" xr:uid="{C354A7D6-B6F7-47C7-8100-C4E881C79697}">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AH2" authorId="4" shapeId="0" xr:uid="{937DED94-CFFB-4758-B72E-0EF048FF02AC}">
      <text>
        <t>[Threaded comment]
Your version of Excel allows you to read this threaded comment; however, any edits to it will get removed if the file is opened in a newer version of Excel. Learn more: https://go.microsoft.com/fwlink/?linkid=870924
Comment:
    Mixed venous oxygen saturation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tc={49765626-446A-4F50-9BB3-8A7D82610262}</author>
    <author>tc={88748597-07A2-47A8-864E-A6F8270C42CE}</author>
  </authors>
  <commentList>
    <comment ref="B3" authorId="0" shapeId="0" xr:uid="{49765626-446A-4F50-9BB3-8A7D82610262}">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K3" authorId="1" shapeId="0" xr:uid="{88748597-07A2-47A8-864E-A6F8270C42CE}">
      <text>
        <t>[Threaded comment]
Your version of Excel allows you to read this threaded comment; however, any edits to it will get removed if the file is opened in a newer version of Excel. Learn more: https://go.microsoft.com/fwlink/?linkid=870924
Comment:
    Mixed venous oxygen saturation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Didrik</author>
    <author>tc={72CEC2E4-9845-4F0B-B33C-C0F30A34EE09}</author>
  </authors>
  <commentList>
    <comment ref="A2" authorId="0" shapeId="0" xr:uid="{1C5269D3-091D-4020-A01C-A3DC69EAB86C}">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543AFDA2-08D7-4D20-A3D8-6620792A76B9}">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696A21A4-2309-4D54-8717-3B8B9CCE121E}">
      <text>
        <r>
          <rPr>
            <b/>
            <sz val="9"/>
            <color indexed="81"/>
            <rFont val="Tahoma"/>
            <family val="2"/>
          </rPr>
          <t>Didrik:</t>
        </r>
        <r>
          <rPr>
            <sz val="9"/>
            <color indexed="81"/>
            <rFont val="Tahoma"/>
            <family val="2"/>
          </rPr>
          <t xml:space="preserve">
Metadata categories, just to keep track of data files/ data sets</t>
        </r>
      </text>
    </comment>
    <comment ref="X2" authorId="0" shapeId="0" xr:uid="{EA61473F-1F40-42FC-9244-840302B5D7C4}">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72CEC2E4-9845-4F0B-B33C-C0F30A34EE09}">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<sst xmlns="http://schemas.openxmlformats.org/spreadsheetml/2006/main" count="2166" uniqueCount="366">
  <si>
    <t>-</t>
  </si>
  <si>
    <t>Baseline</t>
  </si>
  <si>
    <t>Pump speed change</t>
  </si>
  <si>
    <t>Pause</t>
  </si>
  <si>
    <t>Description</t>
  </si>
  <si>
    <t>Category</t>
  </si>
  <si>
    <t>System flush</t>
  </si>
  <si>
    <t>Thrombus injection</t>
  </si>
  <si>
    <t>ID</t>
  </si>
  <si>
    <t xml:space="preserve">Save this file </t>
  </si>
  <si>
    <t>Notes tab</t>
  </si>
  <si>
    <t>Categories tab</t>
  </si>
  <si>
    <t>Review and modify/expand the category definitions to include all interventions and events from the protocol tab</t>
  </si>
  <si>
    <t>Event</t>
  </si>
  <si>
    <t>(RPM)</t>
  </si>
  <si>
    <t>(mmHg)</t>
  </si>
  <si>
    <t>(W)</t>
  </si>
  <si>
    <t>Power</t>
  </si>
  <si>
    <t>Pump speed</t>
  </si>
  <si>
    <t>Afferent pressure</t>
  </si>
  <si>
    <t>Effenrent pressure</t>
  </si>
  <si>
    <t xml:space="preserve">Date </t>
  </si>
  <si>
    <t>(dd-mm-yyyy)</t>
  </si>
  <si>
    <t>Timestamp</t>
  </si>
  <si>
    <t>(hh:mm:ss)</t>
  </si>
  <si>
    <t>(ml)</t>
  </si>
  <si>
    <t>Elapsed time</t>
  </si>
  <si>
    <t>(sec)</t>
  </si>
  <si>
    <t>Type</t>
  </si>
  <si>
    <t>LVAD</t>
  </si>
  <si>
    <t>Pressure transducer</t>
  </si>
  <si>
    <t>LVAD monitor</t>
  </si>
  <si>
    <t>LVAD controller</t>
  </si>
  <si>
    <t>Hide/unhide the parameter columns as needed for the experiement</t>
  </si>
  <si>
    <t>Comments</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</si>
  <si>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</si>
  <si>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</si>
  <si>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</si>
  <si>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</si>
  <si>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</si>
  <si>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</si>
  <si>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Part</t>
  </si>
  <si>
    <t>No.</t>
  </si>
  <si>
    <t>Hands on</t>
  </si>
  <si>
    <t>Steady-state</t>
  </si>
  <si>
    <t>Sequence end</t>
  </si>
  <si>
    <t>Unintentional</t>
  </si>
  <si>
    <t>(mm)</t>
  </si>
  <si>
    <t>Balloon level</t>
  </si>
  <si>
    <t>Catheter type</t>
  </si>
  <si>
    <t>Balloon offset</t>
  </si>
  <si>
    <t>Events</t>
  </si>
  <si>
    <t>Catheters</t>
  </si>
  <si>
    <t>PCI, 4.5mm x 12mm</t>
  </si>
  <si>
    <t>Catheter position change</t>
  </si>
  <si>
    <t>PCI, 2mm x 28mm</t>
  </si>
  <si>
    <t>PCI, 2.5mm x 8mm</t>
  </si>
  <si>
    <t>PCI, 6mm x 39mm</t>
  </si>
  <si>
    <t>PCI, 8mm x 30mm</t>
  </si>
  <si>
    <t>Preload change</t>
  </si>
  <si>
    <t>Afterload change</t>
  </si>
  <si>
    <t>Catheter extraction</t>
  </si>
  <si>
    <t>Catheter insertion</t>
  </si>
  <si>
    <t>PCI, 4.5mm x 15mm</t>
  </si>
  <si>
    <t>Protocol parameters</t>
  </si>
  <si>
    <t>Nihon Coden monitor</t>
  </si>
  <si>
    <t>Swan-Ganz</t>
  </si>
  <si>
    <t>Text notes</t>
  </si>
  <si>
    <t>Timer</t>
  </si>
  <si>
    <t>Injected thrombus vol.</t>
  </si>
  <si>
    <t>Clamp flow red.</t>
  </si>
  <si>
    <t>Flow est.</t>
  </si>
  <si>
    <t>Flow</t>
  </si>
  <si>
    <t>HR</t>
  </si>
  <si>
    <t>CVP</t>
  </si>
  <si>
    <t xml:space="preserve">Cardiac output </t>
  </si>
  <si>
    <t>Plan and preparations</t>
  </si>
  <si>
    <t>Experiment</t>
  </si>
  <si>
    <t>Quality control</t>
  </si>
  <si>
    <t>(#)</t>
  </si>
  <si>
    <t>(L/min)</t>
  </si>
  <si>
    <t>(beat/min)</t>
  </si>
  <si>
    <t>Copy M3 data to laptop</t>
  </si>
  <si>
    <t>Copy LabChart data to laptop</t>
  </si>
  <si>
    <t>Caused by drift</t>
  </si>
  <si>
    <t>Note ultrasound time offset in notes tab</t>
  </si>
  <si>
    <t>Copy LabChart-data to USB</t>
  </si>
  <si>
    <t>Save data recording in LabChart</t>
  </si>
  <si>
    <t>Note</t>
  </si>
  <si>
    <t>What</t>
  </si>
  <si>
    <t>Measurement</t>
  </si>
  <si>
    <t>Check</t>
  </si>
  <si>
    <t>Procedures</t>
  </si>
  <si>
    <t>Sign</t>
  </si>
  <si>
    <t>Page</t>
  </si>
  <si>
    <t>Tag or timestamp</t>
  </si>
  <si>
    <t>Arterial pressure</t>
  </si>
  <si>
    <t>Pulmunory pressure</t>
  </si>
  <si>
    <t xml:space="preserve"> (# or hh:mm:ss)</t>
  </si>
  <si>
    <t>max/min, avg (mmHg)</t>
  </si>
  <si>
    <t>3-component accelerometer</t>
  </si>
  <si>
    <t>Afterload end</t>
  </si>
  <si>
    <t>Preload end</t>
  </si>
  <si>
    <t>RHC, 11mm</t>
  </si>
  <si>
    <t>PCI, 6mm x 8mm</t>
  </si>
  <si>
    <t>PCI, 8mm x 20mm</t>
  </si>
  <si>
    <t>PCI, 4.5mm x 20mm</t>
  </si>
  <si>
    <t>Thrombosis</t>
  </si>
  <si>
    <t>Model name</t>
  </si>
  <si>
    <t>Model ID</t>
  </si>
  <si>
    <t>Experiment ID</t>
  </si>
  <si>
    <t>Experiment types</t>
  </si>
  <si>
    <t>Ex-vivo, human</t>
  </si>
  <si>
    <t>In-silico</t>
  </si>
  <si>
    <t>In-vitro, 5% glucose solution</t>
  </si>
  <si>
    <t>In-vitro, human blood</t>
  </si>
  <si>
    <t>In-vitro, porcine blood</t>
  </si>
  <si>
    <t>In-vitro, saltwater</t>
  </si>
  <si>
    <t>Ex-vivo, porcine</t>
  </si>
  <si>
    <t>In-vivo, porcine</t>
  </si>
  <si>
    <t>Model type</t>
  </si>
  <si>
    <t>When/part of</t>
  </si>
  <si>
    <t>Documentation</t>
  </si>
  <si>
    <t>Fill in as much as possible before the experiment</t>
  </si>
  <si>
    <t>Save with filename on the format: [Experiment ID] - Notes ver[main version].[sub-version]- Rev[revision no]</t>
  </si>
  <si>
    <t>[Control] + [q|t] is a shortcut for inserting current timestamp, and start timer if standing in timestamp column of the Recording notes tab</t>
  </si>
  <si>
    <t>Text note</t>
  </si>
  <si>
    <t>Nihon Coden</t>
  </si>
  <si>
    <t>PowerLab</t>
  </si>
  <si>
    <t>LabChart</t>
  </si>
  <si>
    <t>Location on model</t>
  </si>
  <si>
    <t>Serial no.</t>
  </si>
  <si>
    <t>Recording equipment in use</t>
  </si>
  <si>
    <t>Driveline, 20 cm away from LVAD</t>
  </si>
  <si>
    <t>X-ray</t>
  </si>
  <si>
    <t>Signal isolation box</t>
  </si>
  <si>
    <t>Ultrasound, clip-on, monitor</t>
  </si>
  <si>
    <t>R-01.1</t>
  </si>
  <si>
    <t>R-01.2</t>
  </si>
  <si>
    <t>R-01.3</t>
  </si>
  <si>
    <t>R-09</t>
  </si>
  <si>
    <t>R-07.1</t>
  </si>
  <si>
    <t>Ultrasound, clip-on, probe</t>
  </si>
  <si>
    <t>R-07.2</t>
  </si>
  <si>
    <t>DAC for CS1 accelerometer</t>
  </si>
  <si>
    <t>R-03.4</t>
  </si>
  <si>
    <t>R-03.2</t>
  </si>
  <si>
    <t>R-03.1</t>
  </si>
  <si>
    <t>Matlab</t>
  </si>
  <si>
    <t>Monitor for CS1 accelerometer</t>
  </si>
  <si>
    <t>R-03.3</t>
  </si>
  <si>
    <t>R-08.1</t>
  </si>
  <si>
    <t>R-08.2</t>
  </si>
  <si>
    <t>R-04</t>
  </si>
  <si>
    <t>Nihon Cohden monitor</t>
  </si>
  <si>
    <t>R-16</t>
  </si>
  <si>
    <t>Inflow tube</t>
  </si>
  <si>
    <t>(%)</t>
  </si>
  <si>
    <t>Manometer control</t>
  </si>
  <si>
    <t>Lev. 1</t>
  </si>
  <si>
    <t>Lev. 2</t>
  </si>
  <si>
    <t>Lev. 3</t>
  </si>
  <si>
    <t>Lev. 4</t>
  </si>
  <si>
    <t>Lev. 5</t>
  </si>
  <si>
    <t>Balloon diameters</t>
  </si>
  <si>
    <t>1.0 rev.</t>
  </si>
  <si>
    <t>1.5 rev.</t>
  </si>
  <si>
    <t>2.0 rev.</t>
  </si>
  <si>
    <t>0 rev.</t>
  </si>
  <si>
    <t>8 ATM</t>
  </si>
  <si>
    <t>17 ATM</t>
  </si>
  <si>
    <t>0 ATM</t>
  </si>
  <si>
    <t>PCI, 6mm x 20mm</t>
  </si>
  <si>
    <t>2 ATM</t>
  </si>
  <si>
    <t>13 ATM</t>
  </si>
  <si>
    <t>9 ATM</t>
  </si>
  <si>
    <t>6 ATM</t>
  </si>
  <si>
    <t>18 ATM</t>
  </si>
  <si>
    <t>3 ATM</t>
  </si>
  <si>
    <t>Manometer (applied pressure or revolutions)</t>
  </si>
  <si>
    <t>* RBP</t>
  </si>
  <si>
    <t>4 ATM</t>
  </si>
  <si>
    <t>14 ATM</t>
  </si>
  <si>
    <t>** Max listed pressure, &gt;RBP</t>
  </si>
  <si>
    <t>PCI, 2mm x 28mm**</t>
  </si>
  <si>
    <t>20 ATM**</t>
  </si>
  <si>
    <t>C-1</t>
  </si>
  <si>
    <t>C-2</t>
  </si>
  <si>
    <t>C-6</t>
  </si>
  <si>
    <t>C-8</t>
  </si>
  <si>
    <t>C-11</t>
  </si>
  <si>
    <t>C-3</t>
  </si>
  <si>
    <t>C-5</t>
  </si>
  <si>
    <t>C-7</t>
  </si>
  <si>
    <t>C-10</t>
  </si>
  <si>
    <t>C-12</t>
  </si>
  <si>
    <t>C-13</t>
  </si>
  <si>
    <t>PCI, 4mm x 20mm*</t>
  </si>
  <si>
    <t>7 ATM</t>
  </si>
  <si>
    <t>16 ATM*</t>
  </si>
  <si>
    <t>C-15</t>
  </si>
  <si>
    <t>System M</t>
  </si>
  <si>
    <t>Bedside monitors</t>
  </si>
  <si>
    <t>Check if baseline is sustained</t>
  </si>
  <si>
    <t>Non-developing</t>
  </si>
  <si>
    <t>Other, text note</t>
  </si>
  <si>
    <t>Start of recording interval</t>
  </si>
  <si>
    <t>End of recording interval</t>
  </si>
  <si>
    <t>Correction, text note</t>
  </si>
  <si>
    <t>Interval annotation</t>
  </si>
  <si>
    <t>Possible manual disturbances</t>
  </si>
  <si>
    <t>Developing phase from event</t>
  </si>
  <si>
    <t>Paused/meaningless recording</t>
  </si>
  <si>
    <t>Recording, start</t>
  </si>
  <si>
    <t>Recording, end</t>
  </si>
  <si>
    <t>Calibration, text note</t>
  </si>
  <si>
    <t>Baseline, steady or transient state</t>
  </si>
  <si>
    <t>Described as text note</t>
  </si>
  <si>
    <t>Interval</t>
  </si>
  <si>
    <t>Intervals</t>
  </si>
  <si>
    <t>Thombolysis</t>
  </si>
  <si>
    <t>Developing phase until end-event</t>
  </si>
  <si>
    <t>End of parallell interval</t>
  </si>
  <si>
    <t>Transitional, parallell</t>
  </si>
  <si>
    <t>Transitional</t>
  </si>
  <si>
    <t>A note, within same interval</t>
  </si>
  <si>
    <t>Baseline, control</t>
  </si>
  <si>
    <t>N/A; steady/baseline interval</t>
  </si>
  <si>
    <t>Steady-state, control</t>
  </si>
  <si>
    <t>Not applicable</t>
  </si>
  <si>
    <t>Balloon inflation</t>
  </si>
  <si>
    <t>Balloon deflation</t>
  </si>
  <si>
    <t>Baseline with no catheter</t>
  </si>
  <si>
    <t>Baseline, in vitro</t>
  </si>
  <si>
    <t>New LabChart file</t>
  </si>
  <si>
    <t>IV2</t>
  </si>
  <si>
    <t>Sequence No</t>
  </si>
  <si>
    <t>Pilot</t>
  </si>
  <si>
    <t>Sequence type</t>
  </si>
  <si>
    <t>Sequence types</t>
  </si>
  <si>
    <t>Retake</t>
  </si>
  <si>
    <t>Regular</t>
  </si>
  <si>
    <t>Infill</t>
  </si>
  <si>
    <t>Pressure port on inflow tube</t>
  </si>
  <si>
    <t>Record on film</t>
  </si>
  <si>
    <t>Check and note System M clock drift</t>
  </si>
  <si>
    <t>Preparations, before data recording</t>
  </si>
  <si>
    <t>Round up</t>
  </si>
  <si>
    <t>Sync System M time to be the same as notes computer (laptop)</t>
  </si>
  <si>
    <t>Sync LabChart time to be the same as notes computer (laptop)</t>
  </si>
  <si>
    <t>Put in USB stick in each Teguar monitor</t>
  </si>
  <si>
    <t>Recording protocol</t>
  </si>
  <si>
    <t>Sequence folder</t>
  </si>
  <si>
    <t>Simulated pre-pump thrombosis in glucose solution</t>
  </si>
  <si>
    <t>Trombolytics administrated*</t>
  </si>
  <si>
    <t>Coagulant administrated*</t>
  </si>
  <si>
    <t>* May be regarded as parallell events</t>
  </si>
  <si>
    <t>Balloon diam. est.</t>
  </si>
  <si>
    <t>File tag: F1</t>
  </si>
  <si>
    <t>16 ATM</t>
  </si>
  <si>
    <t>Tag</t>
  </si>
  <si>
    <t>20 ATM</t>
  </si>
  <si>
    <t>Set parameters in HeartWare monitor:
* hematocrit to 20
* Date and patient ID (= LVAD no.)
* VAD ID</t>
  </si>
  <si>
    <t>Zero-calibrate pressure sensors</t>
  </si>
  <si>
    <t>Bottom of loop</t>
  </si>
  <si>
    <t>LVAD, flat part on the outlet</t>
  </si>
  <si>
    <t>LVAD, 90 deg from outlet</t>
  </si>
  <si>
    <t>Pressure port on outflow tube</t>
  </si>
  <si>
    <t>Outflow tube</t>
  </si>
  <si>
    <t>afterload incr.</t>
  </si>
  <si>
    <t>~20% Q red.</t>
  </si>
  <si>
    <t>Teguar driveline monitor time: 3 min and 53 sec behind</t>
  </si>
  <si>
    <t>Store RHC in water</t>
  </si>
  <si>
    <t>~40% Q red.</t>
  </si>
  <si>
    <t>~60% Q red.</t>
  </si>
  <si>
    <t>~80% Q red.</t>
  </si>
  <si>
    <t>Baseline @ 2800 RPM</t>
  </si>
  <si>
    <t>Baseline @ 3100 RPM</t>
  </si>
  <si>
    <t>Baseline @ 2500 RPM</t>
  </si>
  <si>
    <t>Baseline @ 2200 RPM</t>
  </si>
  <si>
    <t>Speed change</t>
  </si>
  <si>
    <t>System M time: 3 sec ahead</t>
  </si>
  <si>
    <t>System M time synced</t>
  </si>
  <si>
    <t>File tag: F2</t>
  </si>
  <si>
    <t>Recorded on film</t>
  </si>
  <si>
    <t>Done by steady-state control below instead</t>
  </si>
  <si>
    <t>Did only 6 ATM by mistake</t>
  </si>
  <si>
    <t>File tag: F3</t>
  </si>
  <si>
    <t>File tag: F4</t>
  </si>
  <si>
    <t>20 ATM*</t>
  </si>
  <si>
    <t>Did only 19 ATM by mistake</t>
  </si>
  <si>
    <t>Drifting back to 19 ATM</t>
  </si>
  <si>
    <t>Drifting down to 5 ATM</t>
  </si>
  <si>
    <t>Drifting down to 19 ATM</t>
  </si>
  <si>
    <t>File tag: F5</t>
  </si>
  <si>
    <t>Drifting down to 10 ATM</t>
  </si>
  <si>
    <t>Drifting down to 11 ATM</t>
  </si>
  <si>
    <t>Drifting down to 12 ATM</t>
  </si>
  <si>
    <t>File tag: F6</t>
  </si>
  <si>
    <t>Time stamp is inaccurate</t>
  </si>
  <si>
    <t>Drifting down to 12.2 ATM</t>
  </si>
  <si>
    <t>System M monitor time: 33.5 sec ahead</t>
  </si>
  <si>
    <t>1.25 rev.</t>
  </si>
  <si>
    <t>File tag: F7</t>
  </si>
  <si>
    <t>No visual vibrations</t>
  </si>
  <si>
    <t>File tag: F8</t>
  </si>
  <si>
    <t>Film had aliasing @ 60 FPS</t>
  </si>
  <si>
    <t>Inaccurate timestamp</t>
  </si>
  <si>
    <t>File tag: F9</t>
  </si>
  <si>
    <t>File tag: F10</t>
  </si>
  <si>
    <t>Control BL @ 2000 RPM</t>
  </si>
  <si>
    <t>Control BL @ 2800 RPM</t>
  </si>
  <si>
    <t>Control BL @ 3100 RPM</t>
  </si>
  <si>
    <t>Control BL @ 2500 RPM</t>
  </si>
  <si>
    <t>Control BL @ 2200 RPM</t>
  </si>
  <si>
    <t>Drift in flow rate, down to 0.93</t>
  </si>
  <si>
    <t>Drift in flow rate, up to 4.51</t>
  </si>
  <si>
    <t>Drift in flow rate down to 1.08</t>
  </si>
  <si>
    <t>File tag: F11</t>
  </si>
  <si>
    <t>File tag: F12</t>
  </si>
  <si>
    <t>Drift in flow rate, down to 3.83</t>
  </si>
  <si>
    <t>Drift in flow rate, down to 0.90</t>
  </si>
  <si>
    <t>File tag: F13</t>
  </si>
  <si>
    <t>System M time: 46 sec ahead</t>
  </si>
  <si>
    <t>Demount previous LVAD (decouple at green mounting piece) and empty loop of water.</t>
  </si>
  <si>
    <t>Refill loop with new 500 ml 5% glucose water. Use syringe to fill water halfway at the catheters tube at the y split. Put on a "sciccors clamp" at end of catheters tube.</t>
  </si>
  <si>
    <t>Run LVAD at high speed to prime it, and empty residual air by use of syringe. Check for possible LVAD leakage. Run until air emboli are not visible.</t>
  </si>
  <si>
    <t>Empty loop for air by use of syringe at the reservoar in-port. Remember to close the port.</t>
  </si>
  <si>
    <t>Loop preparations</t>
  </si>
  <si>
    <t>Mount LVAD to loop. Put protecting covers around driveline coupling.</t>
  </si>
  <si>
    <t>Write down which LVAD to use, and update the LVAD overview sheet.</t>
  </si>
  <si>
    <t>Mount LVAD Caridaccs accelerometer with electrical tape after 20 cm out from LVAD on driveline. Put yellow side of accelerometer onto driveline.</t>
  </si>
  <si>
    <t>Mount LVAD Caridaccs accelerometer with electrical tape on the flat part on the outlet. Put yellow side of accelerometer onto driveline.</t>
  </si>
  <si>
    <t>Mount LVAD Caridaccs accelerometer with electrical tape 90 degreee to the outlet. Put yellow side of accelerometer onto driveline.</t>
  </si>
  <si>
    <t>Just for additional data using Teguar monitor, not of primary interest</t>
  </si>
  <si>
    <t>Measure and note down time difference for Cardibox/Teguar monitor and laptop clock</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</si>
  <si>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</si>
  <si>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Cohden monitors so that afferent monitor is in charging station.</t>
  </si>
  <si>
    <t>Swap Nihon Kohden monitors, so that efferent monitor is recharging.</t>
  </si>
  <si>
    <t>Open settings file for IV2 model, start recording, and check  for signal in LabChart</t>
  </si>
  <si>
    <t>Do startup procedures</t>
  </si>
  <si>
    <t>Startup procedures</t>
  </si>
  <si>
    <t>Roundup procedures</t>
  </si>
  <si>
    <t>Recording procedures</t>
  </si>
  <si>
    <t>X-ray no</t>
  </si>
  <si>
    <r>
      <t xml:space="preserve">Afferent flow rate </t>
    </r>
    <r>
      <rPr>
        <i/>
        <sz val="12"/>
        <color theme="1"/>
        <rFont val="Calibri"/>
        <family val="2"/>
        <scheme val="minor"/>
      </rPr>
      <t>Q</t>
    </r>
  </si>
  <si>
    <r>
      <t xml:space="preserve">Efferent flow rate </t>
    </r>
    <r>
      <rPr>
        <i/>
        <sz val="12"/>
        <color theme="1"/>
        <rFont val="Calibri"/>
        <family val="2"/>
        <scheme val="minor"/>
      </rPr>
      <t>Q</t>
    </r>
  </si>
  <si>
    <r>
      <t xml:space="preserve">Efferent pressure </t>
    </r>
    <r>
      <rPr>
        <i/>
        <sz val="12"/>
        <color theme="1"/>
        <rFont val="Calibri"/>
        <family val="2"/>
        <scheme val="minor"/>
      </rPr>
      <t>p</t>
    </r>
  </si>
  <si>
    <r>
      <t xml:space="preserve">Afferent pressure </t>
    </r>
    <r>
      <rPr>
        <i/>
        <sz val="12"/>
        <color theme="1"/>
        <rFont val="Calibri"/>
        <family val="2"/>
        <scheme val="minor"/>
      </rPr>
      <t>p</t>
    </r>
  </si>
  <si>
    <r>
      <t xml:space="preserve">Power </t>
    </r>
    <r>
      <rPr>
        <i/>
        <sz val="12"/>
        <rFont val="Calibri"/>
        <family val="2"/>
        <scheme val="minor"/>
      </rPr>
      <t>P</t>
    </r>
    <r>
      <rPr>
        <i/>
        <vertAlign val="subscript"/>
        <sz val="12"/>
        <rFont val="Calibri"/>
        <family val="2"/>
        <scheme val="minor"/>
      </rPr>
      <t>LVAD</t>
    </r>
    <r>
      <rPr>
        <sz val="12"/>
        <rFont val="Calibri"/>
        <family val="2"/>
        <scheme val="minor"/>
      </rPr>
      <t xml:space="preserve"> and Flow rate </t>
    </r>
    <r>
      <rPr>
        <i/>
        <sz val="12"/>
        <rFont val="Calibri"/>
        <family val="2"/>
        <scheme val="minor"/>
      </rPr>
      <t>Q</t>
    </r>
    <r>
      <rPr>
        <i/>
        <vertAlign val="subscript"/>
        <sz val="12"/>
        <rFont val="Calibri"/>
        <family val="2"/>
        <scheme val="minor"/>
      </rPr>
      <t>LVAD</t>
    </r>
  </si>
  <si>
    <r>
      <t xml:space="preserve">Sensor A acceleration vector </t>
    </r>
    <r>
      <rPr>
        <i/>
        <sz val="12"/>
        <rFont val="Calibri"/>
        <family val="2"/>
        <scheme val="minor"/>
      </rPr>
      <t>acc</t>
    </r>
    <r>
      <rPr>
        <i/>
        <vertAlign val="subscript"/>
        <sz val="12"/>
        <rFont val="Calibri"/>
        <family val="2"/>
        <scheme val="minor"/>
      </rPr>
      <t>A</t>
    </r>
  </si>
  <si>
    <r>
      <t xml:space="preserve">Sensor A acceleration vector </t>
    </r>
    <r>
      <rPr>
        <i/>
        <sz val="12"/>
        <rFont val="Calibri"/>
        <family val="2"/>
        <scheme val="minor"/>
      </rPr>
      <t>acc</t>
    </r>
    <r>
      <rPr>
        <i/>
        <vertAlign val="subscript"/>
        <sz val="12"/>
        <rFont val="Calibri"/>
        <family val="2"/>
        <scheme val="minor"/>
      </rPr>
      <t>B</t>
    </r>
  </si>
  <si>
    <r>
      <t xml:space="preserve">Sensor C acceleration vector </t>
    </r>
    <r>
      <rPr>
        <i/>
        <sz val="12"/>
        <rFont val="Calibri"/>
        <family val="2"/>
        <scheme val="minor"/>
      </rPr>
      <t>acc</t>
    </r>
    <r>
      <rPr>
        <i/>
        <vertAlign val="subscript"/>
        <sz val="12"/>
        <rFont val="Calibri"/>
        <family val="2"/>
        <scheme val="minor"/>
      </rPr>
      <t>C</t>
    </r>
    <r>
      <rPr>
        <sz val="12"/>
        <rFont val="Calibri"/>
        <family val="2"/>
        <scheme val="minor"/>
      </rPr>
      <t xml:space="preserve"> (as Teguar reference)</t>
    </r>
  </si>
  <si>
    <t>Variables</t>
  </si>
  <si>
    <t>Balloon diameter</t>
  </si>
  <si>
    <t>Flow red. target</t>
  </si>
  <si>
    <r>
      <t xml:space="preserve">Min pulm. </t>
    </r>
    <r>
      <rPr>
        <i/>
        <sz val="13"/>
        <color theme="1"/>
        <rFont val="Calibri"/>
        <family val="2"/>
        <scheme val="minor"/>
      </rPr>
      <t>p</t>
    </r>
  </si>
  <si>
    <r>
      <t xml:space="preserve">Mean pulm. </t>
    </r>
    <r>
      <rPr>
        <i/>
        <sz val="13"/>
        <color theme="1"/>
        <rFont val="Calibri"/>
        <family val="2"/>
        <scheme val="minor"/>
      </rPr>
      <t>p</t>
    </r>
  </si>
  <si>
    <r>
      <t>SvO</t>
    </r>
    <r>
      <rPr>
        <b/>
        <vertAlign val="subscript"/>
        <sz val="16"/>
        <rFont val="Calibri"/>
        <family val="2"/>
        <scheme val="minor"/>
      </rPr>
      <t>2</t>
    </r>
  </si>
  <si>
    <t>Cardiac output</t>
  </si>
  <si>
    <r>
      <t>(mmHg) (eller cmH</t>
    </r>
    <r>
      <rPr>
        <vertAlign val="subscript"/>
        <sz val="12"/>
        <rFont val="Calibri"/>
        <family val="2"/>
        <scheme val="minor"/>
      </rPr>
      <t>2</t>
    </r>
    <r>
      <rPr>
        <sz val="12"/>
        <rFont val="Calibri"/>
        <family val="2"/>
        <scheme val="minor"/>
      </rPr>
      <t>O</t>
    </r>
    <r>
      <rPr>
        <vertAlign val="subscript"/>
        <sz val="12"/>
        <rFont val="Calibri"/>
        <family val="2"/>
        <scheme val="minor"/>
      </rPr>
      <t>2</t>
    </r>
    <r>
      <rPr>
        <sz val="12"/>
        <rFont val="Calibri"/>
        <family val="2"/>
        <scheme val="minor"/>
      </rPr>
      <t>?)</t>
    </r>
  </si>
  <si>
    <r>
      <t>SvO</t>
    </r>
    <r>
      <rPr>
        <vertAlign val="subscript"/>
        <sz val="13"/>
        <rFont val="Calibri"/>
        <family val="2"/>
        <scheme val="minor"/>
      </rPr>
      <t>2</t>
    </r>
  </si>
  <si>
    <r>
      <t xml:space="preserve">Max art. </t>
    </r>
    <r>
      <rPr>
        <i/>
        <sz val="13"/>
        <color theme="1"/>
        <rFont val="Calibri"/>
        <family val="2"/>
        <scheme val="minor"/>
      </rPr>
      <t>p</t>
    </r>
  </si>
  <si>
    <r>
      <t xml:space="preserve">Min art. </t>
    </r>
    <r>
      <rPr>
        <i/>
        <sz val="13"/>
        <color theme="1"/>
        <rFont val="Calibri"/>
        <family val="2"/>
        <scheme val="minor"/>
      </rPr>
      <t>p</t>
    </r>
  </si>
  <si>
    <r>
      <t xml:space="preserve">Mean art. </t>
    </r>
    <r>
      <rPr>
        <i/>
        <sz val="13"/>
        <color theme="1"/>
        <rFont val="Calibri"/>
        <family val="2"/>
        <scheme val="minor"/>
      </rPr>
      <t>p</t>
    </r>
  </si>
  <si>
    <r>
      <t xml:space="preserve">Max pulm. </t>
    </r>
    <r>
      <rPr>
        <i/>
        <sz val="13"/>
        <color theme="1"/>
        <rFont val="Calibri"/>
        <family val="2"/>
        <scheme val="minor"/>
      </rPr>
      <t>p</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</si>
</sst>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40"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6"/>
      <color theme="0" tint="-0.34998626667073579"/>
      <name val="Calibri"/>
      <family val="2"/>
      <scheme val="minor"/>
    </font>
    <font>
      <sz val="14"/>
      <color theme="0"/>
      <name val="Calibri"/>
      <family val="2"/>
      <scheme val="minor"/>
    </font>
    <font>
      <sz val="13"/>
      <name val="Calibri"/>
      <family val="2"/>
      <scheme val="minor"/>
    </font>
    <font>
      <i/>
      <sz val="13"/>
      <color theme="1"/>
      <name val="Calibri"/>
      <family val="2"/>
      <scheme val="minor"/>
    </font>
    <font>
      <sz val="9.5"/>
      <color theme="1"/>
      <name val="Calibri"/>
      <family val="2"/>
      <scheme val="minor"/>
    </font>
    <font>
      <sz val="9.5"/>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sz val="10"/>
      <color theme="1"/>
      <name val="Calibri"/>
      <family val="2"/>
      <scheme val="minor"/>
    </font>
    <font>
      <sz val="16"/>
      <color theme="3"/>
      <name val="Calibri"/>
      <family val="2"/>
      <scheme val="minor"/>
    </font>
    <font>
      <sz val="16"/>
      <color theme="5" tint="-0.249977111117893"/>
      <name val="Calibri"/>
      <family val="2"/>
      <scheme val="minor"/>
    </font>
    <font>
      <sz val="16"/>
      <name val="Calibri"/>
      <family val="2"/>
      <scheme val="minor"/>
    </font>
    <font>
      <b/>
      <sz val="16"/>
      <name val="Calibri"/>
      <family val="2"/>
      <scheme val="minor"/>
    </font>
    <font>
      <b/>
      <sz val="14"/>
      <color theme="0"/>
      <name val="Calibri"/>
      <family val="2"/>
      <scheme val="minor"/>
    </font>
    <font>
      <b/>
      <sz val="9.5"/>
      <color theme="1"/>
      <name val="Calibri"/>
      <family val="2"/>
      <scheme val="minor"/>
    </font>
    <font>
      <sz val="12"/>
      <name val="Calibri"/>
      <family val="2"/>
      <scheme val="minor"/>
    </font>
    <font>
      <sz val="8"/>
      <name val="Calibri"/>
      <family val="2"/>
      <scheme val="minor"/>
    </font>
    <font>
      <sz val="10"/>
      <color theme="0"/>
      <name val="Calibri"/>
      <family val="2"/>
      <scheme val="minor"/>
    </font>
    <font>
      <b/>
      <sz val="10"/>
      <color theme="1"/>
      <name val="Calibri"/>
      <family val="2"/>
      <scheme val="minor"/>
    </font>
    <font>
      <b/>
      <i/>
      <sz val="9.5"/>
      <color theme="1"/>
      <name val="Calibri"/>
      <family val="2"/>
      <scheme val="minor"/>
    </font>
    <font>
      <i/>
      <sz val="12"/>
      <name val="Calibri"/>
      <family val="2"/>
      <scheme val="minor"/>
    </font>
    <font>
      <i/>
      <vertAlign val="subscript"/>
      <sz val="12"/>
      <name val="Calibri"/>
      <family val="2"/>
      <scheme val="minor"/>
    </font>
    <font>
      <vertAlign val="subscript"/>
      <sz val="13"/>
      <name val="Calibri"/>
      <family val="2"/>
      <scheme val="minor"/>
    </font>
    <font>
      <vertAlign val="subscript"/>
      <sz val="12"/>
      <name val="Calibri"/>
      <family val="2"/>
      <scheme val="minor"/>
    </font>
    <font>
      <b/>
      <vertAlign val="subscript"/>
      <sz val="16"/>
      <name val="Calibri"/>
      <family val="2"/>
      <scheme val="minor"/>
    </font>
  </fonts>
  <fills count="10">
    <fill>
      <patternFill patternType="none"/>
    </fill>
    <fill>
      <patternFill patternType="gray125"/>
    </fill>
    <fill>
      <patternFill patternType="solid">
        <fgColor theme="6"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theme="5" tint="-0.249977111117893"/>
        <bgColor indexed="64"/>
      </patternFill>
    </fill>
  </fills>
  <borders count="5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top/>
      <bottom style="thin">
        <color theme="0" tint="-0.499984740745262"/>
      </bottom>
      <diagonal/>
    </border>
    <border>
      <left/>
      <right/>
      <top style="thin">
        <color theme="3"/>
      </top>
      <bottom style="thin">
        <color theme="0" tint="-0.499984740745262"/>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theme="0" tint="-0.499984740745262"/>
      </top>
      <bottom/>
      <diagonal/>
    </border>
    <border>
      <left style="thin">
        <color indexed="64"/>
      </left>
      <right/>
      <top/>
      <bottom style="medium">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bottom style="thin">
        <color theme="0" tint="-0.249977111117893"/>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theme="1" tint="0.34998626667073579"/>
      </left>
      <right/>
      <top/>
      <bottom/>
      <diagonal/>
    </border>
    <border>
      <left/>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indexed="64"/>
      </left>
      <right/>
      <top style="thin">
        <color indexed="64"/>
      </top>
      <bottom/>
      <diagonal/>
    </border>
    <border>
      <left style="thin">
        <color theme="0" tint="-0.249977111117893"/>
      </left>
      <right style="thin">
        <color theme="0" tint="-0.249977111117893"/>
      </right>
      <top/>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theme="0" tint="-0.249977111117893"/>
      </left>
      <right/>
      <top/>
      <bottom/>
      <diagonal/>
    </border>
    <border>
      <left/>
      <right style="thin">
        <color theme="0" tint="-0.249977111117893"/>
      </right>
      <top/>
      <bottom/>
      <diagonal/>
    </border>
    <border>
      <left style="thin">
        <color theme="0"/>
      </left>
      <right/>
      <top/>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style="thin">
        <color indexed="64"/>
      </left>
      <right/>
      <top/>
      <bottom style="thin">
        <color theme="0" tint="-0.249977111117893"/>
      </bottom>
      <diagonal/>
    </border>
    <border>
      <left/>
      <right style="thin">
        <color indexed="64"/>
      </right>
      <top/>
      <bottom/>
      <diagonal/>
    </border>
    <border>
      <left style="thin">
        <color indexed="64"/>
      </left>
      <right/>
      <top style="thin">
        <color theme="0" tint="-0.249977111117893"/>
      </top>
      <bottom style="thin">
        <color theme="0" tint="-0.249977111117893"/>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diagonal/>
    </border>
    <border>
      <left style="thin">
        <color theme="0" tint="-0.249977111117893"/>
      </left>
      <right style="thin">
        <color indexed="64"/>
      </right>
      <top/>
      <bottom style="thin">
        <color theme="0" tint="-0.249977111117893"/>
      </bottom>
      <diagonal/>
    </border>
    <border>
      <left/>
      <right style="thin">
        <color indexed="64"/>
      </right>
      <top style="thin">
        <color indexed="64"/>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thin">
        <color indexed="64"/>
      </left>
      <right style="thin">
        <color theme="1" tint="0.34998626667073579"/>
      </right>
      <top style="thin">
        <color theme="1" tint="0.34998626667073579"/>
      </top>
      <bottom/>
      <diagonal/>
    </border>
    <border>
      <left style="thin">
        <color indexed="64"/>
      </left>
      <right style="thin">
        <color theme="1" tint="0.34998626667073579"/>
      </right>
      <top/>
      <bottom style="thin">
        <color theme="1" tint="0.34998626667073579"/>
      </bottom>
      <diagonal/>
    </border>
    <border>
      <left style="thin">
        <color indexed="64"/>
      </left>
      <right/>
      <top/>
      <bottom/>
      <diagonal/>
    </border>
  </borders>
  <cellStyleXfs count="1">
    <xf numFmtId="0" fontId="0" fillId="0" borderId="0"/>
  </cellStyleXfs>
  <cellXfs count="233">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1" xfId="0" applyFont="1" applyBorder="1" applyAlignment="1">
      <alignment horizontal="left" vertical="center" wrapText="1" indent="1"/>
    </xf>
    <xf numFmtId="0" fontId="2" fillId="0" borderId="1" xfId="0" applyFont="1" applyBorder="1" applyAlignment="1">
      <alignment horizontal="left" vertical="center" indent="1"/>
    </xf>
    <xf numFmtId="0" fontId="1" fillId="0" borderId="1" xfId="0" applyFont="1" applyBorder="1" applyAlignment="1">
      <alignment horizontal="left" vertical="center" wrapText="1" inden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3" borderId="0" xfId="0" applyFont="1" applyFill="1" applyAlignment="1">
      <alignment wrapText="1"/>
    </xf>
    <xf numFmtId="0" fontId="2" fillId="3" borderId="0" xfId="0" applyFont="1" applyFill="1" applyAlignment="1">
      <alignment wrapText="1"/>
    </xf>
    <xf numFmtId="165" fontId="7" fillId="0" borderId="5" xfId="0" applyNumberFormat="1" applyFont="1" applyBorder="1" applyAlignment="1">
      <alignment horizontal="center" vertical="center"/>
    </xf>
    <xf numFmtId="0" fontId="7" fillId="0" borderId="0" xfId="0" applyFont="1" applyBorder="1" applyAlignment="1">
      <alignment horizontal="center"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0" fontId="10" fillId="0" borderId="0" xfId="0" applyFont="1" applyBorder="1" applyAlignment="1">
      <alignment horizontal="center" wrapText="1"/>
    </xf>
    <xf numFmtId="0" fontId="10" fillId="0" borderId="0" xfId="0" applyFont="1" applyBorder="1" applyAlignment="1">
      <alignment horizontal="center" vertical="center" wrapText="1"/>
    </xf>
    <xf numFmtId="2" fontId="11" fillId="0" borderId="0" xfId="0" applyNumberFormat="1" applyFont="1" applyAlignment="1">
      <alignment horizontal="left" vertical="center" wrapText="1" indent="1"/>
    </xf>
    <xf numFmtId="0" fontId="11" fillId="0" borderId="0" xfId="0" applyFont="1" applyAlignment="1">
      <alignment horizontal="left" vertical="center" wrapText="1" indent="1"/>
    </xf>
    <xf numFmtId="0" fontId="11" fillId="0" borderId="1" xfId="0" applyFont="1" applyBorder="1" applyAlignment="1">
      <alignment horizontal="left" vertical="center" wrapText="1" indent="1"/>
    </xf>
    <xf numFmtId="2" fontId="13" fillId="3" borderId="6" xfId="0" applyNumberFormat="1" applyFont="1" applyFill="1" applyBorder="1" applyAlignment="1">
      <alignment horizontal="center" wrapText="1"/>
    </xf>
    <xf numFmtId="2" fontId="13" fillId="3" borderId="6"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2" fillId="0" borderId="0" xfId="0" applyFont="1" applyAlignment="1">
      <alignment horizontal="left" vertical="center" wrapText="1" indent="1"/>
    </xf>
    <xf numFmtId="0" fontId="0" fillId="0" borderId="0" xfId="0" applyAlignment="1">
      <alignment horizontal="left" indent="1"/>
    </xf>
    <xf numFmtId="3" fontId="11" fillId="0" borderId="0" xfId="0" applyNumberFormat="1" applyFont="1" applyAlignment="1">
      <alignment horizontal="center" vertical="center"/>
    </xf>
    <xf numFmtId="3" fontId="9" fillId="2" borderId="4" xfId="0" applyNumberFormat="1" applyFont="1" applyFill="1" applyBorder="1" applyAlignment="1">
      <alignment horizontal="center" wrapText="1"/>
    </xf>
    <xf numFmtId="0" fontId="9" fillId="2" borderId="4" xfId="0" applyFont="1" applyFill="1" applyBorder="1" applyAlignment="1">
      <alignment horizontal="center" wrapText="1"/>
    </xf>
    <xf numFmtId="0" fontId="9" fillId="2" borderId="6" xfId="0" applyFont="1" applyFill="1" applyBorder="1" applyAlignment="1">
      <alignment horizontal="center" wrapText="1"/>
    </xf>
    <xf numFmtId="0" fontId="9" fillId="2" borderId="14" xfId="0" applyFont="1" applyFill="1" applyBorder="1" applyAlignment="1">
      <alignment horizontal="center" wrapText="1"/>
    </xf>
    <xf numFmtId="0" fontId="16" fillId="5" borderId="4" xfId="0" applyFont="1" applyFill="1" applyBorder="1" applyAlignment="1">
      <alignment horizontal="center" wrapText="1"/>
    </xf>
    <xf numFmtId="1" fontId="16" fillId="5" borderId="6" xfId="0" applyNumberFormat="1" applyFont="1" applyFill="1" applyBorder="1" applyAlignment="1">
      <alignment horizontal="center" wrapText="1"/>
    </xf>
    <xf numFmtId="2" fontId="16" fillId="5" borderId="6" xfId="0" applyNumberFormat="1" applyFont="1" applyFill="1" applyBorder="1" applyAlignment="1">
      <alignment horizontal="center" wrapText="1"/>
    </xf>
    <xf numFmtId="3" fontId="18" fillId="2" borderId="2" xfId="0" applyNumberFormat="1"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9" fillId="5" borderId="2" xfId="0" applyFont="1" applyFill="1" applyBorder="1" applyAlignment="1">
      <alignment horizontal="center" vertical="center" wrapText="1"/>
    </xf>
    <xf numFmtId="1"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left" vertical="center" wrapText="1" indent="1"/>
    </xf>
    <xf numFmtId="3" fontId="11" fillId="0" borderId="1" xfId="0" applyNumberFormat="1" applyFont="1" applyBorder="1" applyAlignment="1">
      <alignment horizontal="center" vertical="center"/>
    </xf>
    <xf numFmtId="1" fontId="11" fillId="5" borderId="1" xfId="0" applyNumberFormat="1" applyFont="1" applyFill="1" applyBorder="1" applyAlignment="1">
      <alignment horizontal="center" vertical="center"/>
    </xf>
    <xf numFmtId="0" fontId="11" fillId="0" borderId="8" xfId="0" applyFont="1" applyBorder="1" applyAlignment="1">
      <alignment horizontal="left" vertical="center" wrapText="1" indent="1"/>
    </xf>
    <xf numFmtId="2" fontId="1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2" fontId="23" fillId="0" borderId="8" xfId="0" applyNumberFormat="1" applyFont="1" applyBorder="1" applyAlignment="1">
      <alignment horizontal="left" vertical="center" wrapText="1" indent="1"/>
    </xf>
    <xf numFmtId="3" fontId="11" fillId="0" borderId="19" xfId="0" applyNumberFormat="1" applyFont="1" applyBorder="1" applyAlignment="1">
      <alignment horizontal="center" vertical="center"/>
    </xf>
    <xf numFmtId="0" fontId="11" fillId="4" borderId="19" xfId="0" applyFont="1" applyFill="1" applyBorder="1" applyAlignment="1">
      <alignment horizontal="left" vertical="center" wrapText="1" indent="1"/>
    </xf>
    <xf numFmtId="0" fontId="11" fillId="4" borderId="11" xfId="0" applyFont="1" applyFill="1" applyBorder="1" applyAlignment="1">
      <alignment horizontal="left" vertical="center" wrapText="1" indent="1"/>
    </xf>
    <xf numFmtId="2" fontId="11" fillId="4" borderId="19" xfId="0" applyNumberFormat="1" applyFont="1" applyFill="1" applyBorder="1" applyAlignment="1">
      <alignment horizontal="center" vertical="center"/>
    </xf>
    <xf numFmtId="1" fontId="11" fillId="0" borderId="11" xfId="0" applyNumberFormat="1" applyFont="1" applyBorder="1" applyAlignment="1">
      <alignment horizontal="center" vertical="center"/>
    </xf>
    <xf numFmtId="2" fontId="11" fillId="4" borderId="11" xfId="0" applyNumberFormat="1" applyFont="1" applyFill="1" applyBorder="1" applyAlignment="1">
      <alignment horizontal="center" vertical="center"/>
    </xf>
    <xf numFmtId="2" fontId="11" fillId="0" borderId="11" xfId="0" applyNumberFormat="1" applyFont="1" applyBorder="1" applyAlignment="1">
      <alignment horizontal="left" vertical="center" wrapText="1" indent="1"/>
    </xf>
    <xf numFmtId="2" fontId="23" fillId="0" borderId="11" xfId="0" applyNumberFormat="1" applyFont="1" applyBorder="1" applyAlignment="1">
      <alignment horizontal="left" vertical="center" wrapText="1" indent="1"/>
    </xf>
    <xf numFmtId="1" fontId="11" fillId="0" borderId="0" xfId="0" applyNumberFormat="1" applyFont="1" applyAlignment="1">
      <alignment horizontal="center" vertical="center"/>
    </xf>
    <xf numFmtId="2" fontId="11" fillId="0" borderId="0" xfId="0" applyNumberFormat="1" applyFont="1" applyAlignment="1">
      <alignment horizontal="center" vertical="center"/>
    </xf>
    <xf numFmtId="1" fontId="11" fillId="0" borderId="0" xfId="0" applyNumberFormat="1" applyFont="1" applyAlignment="1">
      <alignment horizontal="left" vertical="center" wrapText="1" indent="1"/>
    </xf>
    <xf numFmtId="9" fontId="11" fillId="0" borderId="0" xfId="0" applyNumberFormat="1" applyFont="1" applyAlignment="1">
      <alignment horizontal="center" vertical="center"/>
    </xf>
    <xf numFmtId="2" fontId="21" fillId="0" borderId="0" xfId="0" applyNumberFormat="1" applyFont="1" applyAlignment="1">
      <alignment horizontal="center" vertical="center"/>
    </xf>
    <xf numFmtId="2" fontId="22" fillId="0" borderId="0" xfId="0" applyNumberFormat="1" applyFont="1" applyAlignment="1">
      <alignment horizontal="center" vertical="center"/>
    </xf>
    <xf numFmtId="1" fontId="24" fillId="0" borderId="0" xfId="0" applyNumberFormat="1" applyFont="1" applyAlignment="1">
      <alignment horizontal="center" vertical="center"/>
    </xf>
    <xf numFmtId="2" fontId="25" fillId="0" borderId="0" xfId="0" applyNumberFormat="1" applyFont="1" applyAlignment="1">
      <alignment horizontal="center" vertical="center"/>
    </xf>
    <xf numFmtId="1" fontId="25" fillId="0" borderId="0" xfId="0" applyNumberFormat="1" applyFont="1" applyAlignment="1">
      <alignment horizontal="center" vertical="center"/>
    </xf>
    <xf numFmtId="2" fontId="18" fillId="0" borderId="0" xfId="0" applyNumberFormat="1" applyFont="1" applyAlignment="1">
      <alignment horizontal="left" vertical="center" wrapText="1" indent="1"/>
    </xf>
    <xf numFmtId="0" fontId="18" fillId="0" borderId="0" xfId="0" applyFont="1" applyAlignment="1">
      <alignment horizontal="left" vertical="center" wrapText="1" indent="1"/>
    </xf>
    <xf numFmtId="2" fontId="18" fillId="0" borderId="8" xfId="0" applyNumberFormat="1" applyFont="1" applyBorder="1" applyAlignment="1">
      <alignment horizontal="left" vertical="center" wrapText="1" indent="1"/>
    </xf>
    <xf numFmtId="2" fontId="18" fillId="0" borderId="18" xfId="0" applyNumberFormat="1" applyFont="1" applyBorder="1" applyAlignment="1">
      <alignment horizontal="left" vertical="center" wrapText="1" indent="1"/>
    </xf>
    <xf numFmtId="0" fontId="0" fillId="0" borderId="1" xfId="0" applyBorder="1"/>
    <xf numFmtId="0" fontId="26" fillId="0" borderId="1" xfId="0" applyFont="1" applyBorder="1" applyAlignment="1">
      <alignment horizontal="center" vertical="center"/>
    </xf>
    <xf numFmtId="0" fontId="27" fillId="0" borderId="1" xfId="0" applyFont="1" applyBorder="1" applyAlignment="1">
      <alignment horizontal="center" vertical="center"/>
    </xf>
    <xf numFmtId="0" fontId="0" fillId="0" borderId="0" xfId="0" applyAlignment="1">
      <alignment vertical="center"/>
    </xf>
    <xf numFmtId="0" fontId="7" fillId="0" borderId="0" xfId="0" applyFont="1" applyAlignment="1">
      <alignment horizontal="left" vertical="top"/>
    </xf>
    <xf numFmtId="1" fontId="8" fillId="0" borderId="0" xfId="0" applyNumberFormat="1" applyFont="1" applyAlignment="1">
      <alignment vertical="top"/>
    </xf>
    <xf numFmtId="0" fontId="8" fillId="0" borderId="0" xfId="0" applyFont="1" applyAlignment="1">
      <alignment horizontal="center" vertical="center"/>
    </xf>
    <xf numFmtId="0" fontId="29" fillId="0" borderId="0" xfId="0" applyFont="1" applyAlignment="1">
      <alignment horizontal="center" vertical="center"/>
    </xf>
    <xf numFmtId="0" fontId="12" fillId="0" borderId="0" xfId="0" applyFont="1" applyAlignment="1">
      <alignment horizontal="center" vertical="center"/>
    </xf>
    <xf numFmtId="0" fontId="8" fillId="2" borderId="0" xfId="0" applyFont="1" applyFill="1" applyAlignment="1">
      <alignment horizontal="center" wrapText="1"/>
    </xf>
    <xf numFmtId="2" fontId="27" fillId="3" borderId="22" xfId="0" applyNumberFormat="1" applyFont="1" applyFill="1" applyBorder="1" applyAlignment="1">
      <alignment horizontal="center" wrapText="1"/>
    </xf>
    <xf numFmtId="2" fontId="27" fillId="7" borderId="22" xfId="0" applyNumberFormat="1" applyFont="1" applyFill="1" applyBorder="1" applyAlignment="1">
      <alignment horizontal="center" wrapText="1"/>
    </xf>
    <xf numFmtId="164" fontId="27" fillId="3" borderId="22" xfId="0" applyNumberFormat="1" applyFont="1" applyFill="1" applyBorder="1" applyAlignment="1">
      <alignment horizontal="center" wrapText="1"/>
    </xf>
    <xf numFmtId="1" fontId="27" fillId="3" borderId="22" xfId="0" applyNumberFormat="1" applyFont="1" applyFill="1" applyBorder="1" applyAlignment="1">
      <alignment horizontal="center" wrapText="1"/>
    </xf>
    <xf numFmtId="1" fontId="27" fillId="7" borderId="23" xfId="0" applyNumberFormat="1" applyFont="1" applyFill="1" applyBorder="1" applyAlignment="1">
      <alignment horizontal="center" wrapText="1"/>
    </xf>
    <xf numFmtId="0" fontId="8" fillId="0" borderId="0" xfId="0" applyFont="1" applyAlignment="1">
      <alignment horizontal="center" wrapText="1"/>
    </xf>
    <xf numFmtId="0" fontId="2" fillId="2" borderId="25" xfId="0" applyFont="1" applyFill="1" applyBorder="1" applyAlignment="1">
      <alignment horizontal="center" vertical="center" wrapText="1"/>
    </xf>
    <xf numFmtId="2" fontId="30" fillId="7" borderId="26" xfId="0" applyNumberFormat="1" applyFont="1" applyFill="1" applyBorder="1" applyAlignment="1">
      <alignment horizontal="center" vertical="center" wrapText="1"/>
    </xf>
    <xf numFmtId="1" fontId="30" fillId="7" borderId="27" xfId="0" applyNumberFormat="1"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0" borderId="0" xfId="0" applyFont="1" applyAlignment="1">
      <alignment horizontal="center" vertical="center" wrapText="1"/>
    </xf>
    <xf numFmtId="21" fontId="7" fillId="0" borderId="25" xfId="0" applyNumberFormat="1" applyFont="1" applyBorder="1" applyAlignment="1">
      <alignment horizontal="center" vertical="center"/>
    </xf>
    <xf numFmtId="2" fontId="7" fillId="0" borderId="21" xfId="0" applyNumberFormat="1" applyFont="1" applyBorder="1" applyAlignment="1">
      <alignment horizontal="center" vertical="center"/>
    </xf>
    <xf numFmtId="2" fontId="7" fillId="0" borderId="26" xfId="0" applyNumberFormat="1" applyFont="1" applyBorder="1" applyAlignment="1">
      <alignment horizontal="center" vertical="center"/>
    </xf>
    <xf numFmtId="1" fontId="7" fillId="0" borderId="26" xfId="0" applyNumberFormat="1" applyFont="1" applyBorder="1" applyAlignment="1">
      <alignment horizontal="center" vertical="center"/>
    </xf>
    <xf numFmtId="1" fontId="7" fillId="0" borderId="27" xfId="0" applyNumberFormat="1" applyFont="1" applyBorder="1" applyAlignment="1">
      <alignment horizontal="center" vertical="center"/>
    </xf>
    <xf numFmtId="2" fontId="7" fillId="0" borderId="27" xfId="0" applyNumberFormat="1" applyFont="1" applyBorder="1" applyAlignment="1">
      <alignment horizontal="center" vertical="center"/>
    </xf>
    <xf numFmtId="21" fontId="7" fillId="4" borderId="28" xfId="0" applyNumberFormat="1" applyFont="1" applyFill="1" applyBorder="1" applyAlignment="1">
      <alignment horizontal="center" vertical="center"/>
    </xf>
    <xf numFmtId="1" fontId="7" fillId="0" borderId="21" xfId="0" applyNumberFormat="1" applyFont="1" applyBorder="1" applyAlignment="1">
      <alignment horizontal="center" vertical="center"/>
    </xf>
    <xf numFmtId="1" fontId="7" fillId="0" borderId="29" xfId="0" applyNumberFormat="1" applyFont="1" applyBorder="1" applyAlignment="1">
      <alignment horizontal="center" vertical="center"/>
    </xf>
    <xf numFmtId="2" fontId="7" fillId="0" borderId="29" xfId="0" applyNumberFormat="1" applyFont="1" applyBorder="1" applyAlignment="1">
      <alignment horizontal="center" vertical="center"/>
    </xf>
    <xf numFmtId="21" fontId="7" fillId="4" borderId="25" xfId="0" applyNumberFormat="1" applyFont="1" applyFill="1" applyBorder="1" applyAlignment="1">
      <alignment horizontal="center" vertical="center"/>
    </xf>
    <xf numFmtId="2" fontId="14" fillId="0" borderId="21" xfId="0" applyNumberFormat="1" applyFont="1" applyBorder="1" applyAlignment="1">
      <alignment horizontal="center" vertical="center"/>
    </xf>
    <xf numFmtId="1" fontId="14" fillId="0" borderId="21" xfId="0" applyNumberFormat="1" applyFont="1" applyBorder="1" applyAlignment="1">
      <alignment horizontal="center" vertical="center"/>
    </xf>
    <xf numFmtId="1" fontId="14" fillId="0" borderId="29" xfId="0" applyNumberFormat="1" applyFont="1" applyBorder="1" applyAlignment="1">
      <alignment horizontal="center" vertical="center"/>
    </xf>
    <xf numFmtId="0" fontId="14" fillId="0" borderId="0" xfId="0" applyFont="1" applyAlignment="1">
      <alignment horizontal="center" vertical="center"/>
    </xf>
    <xf numFmtId="0" fontId="30" fillId="0" borderId="1" xfId="0" applyFont="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1" fillId="0" borderId="0" xfId="0" applyFont="1" applyAlignment="1">
      <alignment horizontal="left" vertical="center" wrapText="1" indent="1"/>
    </xf>
    <xf numFmtId="0" fontId="0" fillId="0" borderId="0" xfId="0" applyFont="1"/>
    <xf numFmtId="0" fontId="2" fillId="0" borderId="0" xfId="0" applyFont="1" applyAlignment="1">
      <alignment horizontal="left" indent="1"/>
    </xf>
    <xf numFmtId="2" fontId="30" fillId="3" borderId="1" xfId="0" applyNumberFormat="1" applyFont="1" applyFill="1" applyBorder="1" applyAlignment="1">
      <alignment horizontal="center" vertical="center" wrapText="1"/>
    </xf>
    <xf numFmtId="0" fontId="11" fillId="0" borderId="0" xfId="0" applyFont="1"/>
    <xf numFmtId="0" fontId="9" fillId="2" borderId="3" xfId="0" applyFont="1" applyFill="1" applyBorder="1" applyAlignment="1">
      <alignment horizontal="center" wrapText="1"/>
    </xf>
    <xf numFmtId="14" fontId="0" fillId="0" borderId="0" xfId="0" applyNumberFormat="1"/>
    <xf numFmtId="164" fontId="28" fillId="9" borderId="13" xfId="0" applyNumberFormat="1" applyFont="1" applyFill="1" applyBorder="1" applyAlignment="1">
      <alignment horizontal="center" vertical="center"/>
    </xf>
    <xf numFmtId="2" fontId="18"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2" fontId="19"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0" fontId="2" fillId="3" borderId="31" xfId="0" applyFont="1" applyFill="1" applyBorder="1" applyAlignment="1">
      <alignment horizontal="center" vertical="center" wrapText="1"/>
    </xf>
    <xf numFmtId="1" fontId="11" fillId="4" borderId="19" xfId="0" applyNumberFormat="1" applyFont="1" applyFill="1" applyBorder="1" applyAlignment="1">
      <alignment horizontal="center" vertical="center"/>
    </xf>
    <xf numFmtId="0" fontId="30" fillId="0" borderId="1" xfId="0" applyFont="1" applyBorder="1" applyAlignment="1">
      <alignment horizontal="center" vertical="center" wrapText="1"/>
    </xf>
    <xf numFmtId="0" fontId="2"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164" fontId="15" fillId="6" borderId="30" xfId="0" applyNumberFormat="1" applyFont="1" applyFill="1" applyBorder="1" applyAlignment="1">
      <alignment horizontal="center" vertical="center"/>
    </xf>
    <xf numFmtId="1" fontId="30" fillId="3" borderId="1" xfId="0" applyNumberFormat="1" applyFont="1" applyFill="1" applyBorder="1" applyAlignment="1">
      <alignment horizontal="center" vertical="center" wrapText="1"/>
    </xf>
    <xf numFmtId="1" fontId="22" fillId="0" borderId="8" xfId="0" applyNumberFormat="1" applyFont="1" applyBorder="1" applyAlignment="1">
      <alignment horizontal="center" vertical="center"/>
    </xf>
    <xf numFmtId="2" fontId="16" fillId="5" borderId="15" xfId="0" applyNumberFormat="1" applyFont="1" applyFill="1" applyBorder="1" applyAlignment="1">
      <alignment horizontal="center" wrapText="1"/>
    </xf>
    <xf numFmtId="2" fontId="19" fillId="5" borderId="16" xfId="0" applyNumberFormat="1" applyFont="1" applyFill="1" applyBorder="1" applyAlignment="1">
      <alignment horizontal="center" vertical="center" wrapText="1"/>
    </xf>
    <xf numFmtId="2" fontId="23" fillId="0" borderId="41" xfId="0" applyNumberFormat="1" applyFont="1" applyBorder="1" applyAlignment="1">
      <alignment horizontal="left" vertical="center" wrapText="1" indent="1"/>
    </xf>
    <xf numFmtId="2" fontId="23" fillId="0" borderId="39" xfId="0" applyNumberFormat="1" applyFont="1" applyBorder="1" applyAlignment="1">
      <alignment horizontal="left" vertical="center" wrapText="1" indent="1"/>
    </xf>
    <xf numFmtId="1" fontId="7" fillId="0" borderId="1" xfId="0" applyNumberFormat="1" applyFont="1" applyBorder="1" applyAlignment="1">
      <alignment horizontal="center" vertical="center"/>
    </xf>
    <xf numFmtId="2" fontId="22" fillId="0" borderId="1" xfId="0" applyNumberFormat="1" applyFont="1" applyBorder="1" applyAlignment="1">
      <alignment horizontal="center" vertical="center"/>
    </xf>
    <xf numFmtId="1" fontId="21" fillId="0" borderId="1" xfId="0" applyNumberFormat="1" applyFont="1" applyBorder="1" applyAlignment="1">
      <alignment horizontal="center" vertical="center"/>
    </xf>
    <xf numFmtId="2" fontId="21" fillId="4" borderId="1" xfId="0" applyNumberFormat="1" applyFont="1" applyFill="1" applyBorder="1" applyAlignment="1">
      <alignment horizontal="center" vertical="center"/>
    </xf>
    <xf numFmtId="2" fontId="22" fillId="4" borderId="1" xfId="0" applyNumberFormat="1" applyFont="1" applyFill="1" applyBorder="1" applyAlignment="1">
      <alignment horizontal="center" vertical="center"/>
    </xf>
    <xf numFmtId="1" fontId="21" fillId="4" borderId="1" xfId="0" applyNumberFormat="1" applyFont="1" applyFill="1" applyBorder="1" applyAlignment="1">
      <alignment horizontal="center" vertical="center"/>
    </xf>
    <xf numFmtId="1" fontId="22" fillId="4" borderId="8" xfId="0" applyNumberFormat="1" applyFont="1" applyFill="1" applyBorder="1" applyAlignment="1">
      <alignment horizontal="center" vertical="center"/>
    </xf>
    <xf numFmtId="1" fontId="11" fillId="0" borderId="10" xfId="0" applyNumberFormat="1" applyFont="1" applyBorder="1" applyAlignment="1">
      <alignment horizontal="center" vertical="center"/>
    </xf>
    <xf numFmtId="9" fontId="16" fillId="5" borderId="42" xfId="0" applyNumberFormat="1" applyFont="1" applyFill="1" applyBorder="1" applyAlignment="1">
      <alignment horizontal="center" wrapText="1"/>
    </xf>
    <xf numFmtId="9" fontId="19" fillId="5" borderId="43" xfId="0" applyNumberFormat="1" applyFont="1" applyFill="1" applyBorder="1" applyAlignment="1">
      <alignment horizontal="center" vertical="center" wrapText="1"/>
    </xf>
    <xf numFmtId="2" fontId="30" fillId="3" borderId="8" xfId="0" applyNumberFormat="1" applyFont="1" applyFill="1" applyBorder="1" applyAlignment="1">
      <alignment horizontal="center" vertical="center" wrapText="1"/>
    </xf>
    <xf numFmtId="0" fontId="30" fillId="0" borderId="8" xfId="0" applyFont="1" applyBorder="1" applyAlignment="1">
      <alignment horizontal="left" vertical="center" wrapText="1" indent="1"/>
    </xf>
    <xf numFmtId="1" fontId="30" fillId="3" borderId="17" xfId="0" applyNumberFormat="1" applyFont="1" applyFill="1" applyBorder="1" applyAlignment="1">
      <alignment horizontal="center" vertical="center" wrapText="1"/>
    </xf>
    <xf numFmtId="0" fontId="30" fillId="0" borderId="17" xfId="0" applyFont="1" applyBorder="1" applyAlignment="1">
      <alignment horizontal="left" vertical="center" wrapText="1" indent="1"/>
    </xf>
    <xf numFmtId="1" fontId="30" fillId="3" borderId="8" xfId="0" applyNumberFormat="1" applyFont="1" applyFill="1" applyBorder="1" applyAlignment="1">
      <alignment horizontal="center" vertical="center" wrapText="1"/>
    </xf>
    <xf numFmtId="2" fontId="30" fillId="0" borderId="17" xfId="0" applyNumberFormat="1" applyFont="1" applyBorder="1" applyAlignment="1">
      <alignment horizontal="left" vertical="center" wrapText="1" indent="1"/>
    </xf>
    <xf numFmtId="2" fontId="30" fillId="0" borderId="1" xfId="0" applyNumberFormat="1" applyFont="1" applyBorder="1" applyAlignment="1">
      <alignment horizontal="left" vertical="center" wrapText="1" indent="1"/>
    </xf>
    <xf numFmtId="2" fontId="30" fillId="0" borderId="8" xfId="0" applyNumberFormat="1" applyFont="1" applyBorder="1" applyAlignment="1">
      <alignment horizontal="left" vertical="center" wrapText="1" indent="1"/>
    </xf>
    <xf numFmtId="0" fontId="23" fillId="0" borderId="0" xfId="0" applyFont="1" applyAlignment="1">
      <alignment horizontal="center" vertical="center"/>
    </xf>
    <xf numFmtId="3" fontId="23" fillId="0" borderId="0" xfId="0" applyNumberFormat="1" applyFont="1" applyAlignment="1">
      <alignment horizontal="center" vertical="center"/>
    </xf>
    <xf numFmtId="164" fontId="32" fillId="9" borderId="1" xfId="0" applyNumberFormat="1" applyFont="1" applyFill="1" applyBorder="1" applyAlignment="1">
      <alignment horizontal="center" vertical="center"/>
    </xf>
    <xf numFmtId="0" fontId="23" fillId="0" borderId="0" xfId="0" applyFont="1" applyBorder="1" applyAlignment="1">
      <alignment horizontal="center" vertical="center"/>
    </xf>
    <xf numFmtId="2" fontId="9" fillId="7" borderId="14" xfId="0" applyNumberFormat="1" applyFont="1" applyFill="1" applyBorder="1" applyAlignment="1">
      <alignment horizontal="center" wrapText="1"/>
    </xf>
    <xf numFmtId="2" fontId="9" fillId="3" borderId="14" xfId="0" applyNumberFormat="1" applyFont="1" applyFill="1" applyBorder="1" applyAlignment="1">
      <alignment horizontal="center" wrapText="1"/>
    </xf>
    <xf numFmtId="1" fontId="9" fillId="3" borderId="14" xfId="0" applyNumberFormat="1" applyFont="1" applyFill="1" applyBorder="1" applyAlignment="1">
      <alignment horizontal="center" wrapText="1"/>
    </xf>
    <xf numFmtId="2" fontId="16" fillId="7" borderId="14" xfId="0" applyNumberFormat="1" applyFont="1" applyFill="1" applyBorder="1" applyAlignment="1">
      <alignment horizontal="center" wrapText="1"/>
    </xf>
    <xf numFmtId="1" fontId="16" fillId="7" borderId="45" xfId="0" applyNumberFormat="1" applyFont="1" applyFill="1" applyBorder="1" applyAlignment="1">
      <alignment horizontal="center" wrapText="1"/>
    </xf>
    <xf numFmtId="2" fontId="18" fillId="7" borderId="19" xfId="0" applyNumberFormat="1" applyFont="1" applyFill="1" applyBorder="1" applyAlignment="1">
      <alignment horizontal="center" vertical="center" wrapText="1"/>
    </xf>
    <xf numFmtId="2" fontId="18" fillId="3" borderId="19" xfId="0" applyNumberFormat="1" applyFont="1" applyFill="1" applyBorder="1" applyAlignment="1">
      <alignment horizontal="center" vertical="center" wrapText="1"/>
    </xf>
    <xf numFmtId="1" fontId="18" fillId="3" borderId="19" xfId="0" applyNumberFormat="1" applyFont="1" applyFill="1" applyBorder="1" applyAlignment="1">
      <alignment horizontal="center" vertical="center" wrapText="1"/>
    </xf>
    <xf numFmtId="2" fontId="19" fillId="7" borderId="19" xfId="0" applyNumberFormat="1" applyFont="1" applyFill="1" applyBorder="1" applyAlignment="1">
      <alignment horizontal="center" vertical="center" wrapText="1"/>
    </xf>
    <xf numFmtId="1" fontId="19" fillId="7" borderId="46" xfId="0" applyNumberFormat="1" applyFont="1" applyFill="1" applyBorder="1" applyAlignment="1">
      <alignment horizontal="center" vertical="center" wrapText="1"/>
    </xf>
    <xf numFmtId="0" fontId="0" fillId="0" borderId="0" xfId="0" applyAlignment="1">
      <alignment horizontal="left" vertical="center" indent="1"/>
    </xf>
    <xf numFmtId="2" fontId="30" fillId="3" borderId="1" xfId="0" applyNumberFormat="1" applyFont="1" applyFill="1" applyBorder="1" applyAlignment="1">
      <alignment horizontal="left" vertical="center" wrapText="1" indent="1"/>
    </xf>
    <xf numFmtId="0" fontId="2" fillId="0" borderId="0" xfId="0" applyFont="1" applyAlignment="1">
      <alignment horizontal="left" vertical="center" indent="1"/>
    </xf>
    <xf numFmtId="165" fontId="7" fillId="0" borderId="49" xfId="0" applyNumberFormat="1" applyFont="1" applyBorder="1" applyAlignment="1">
      <alignment horizontal="center" vertical="center"/>
    </xf>
    <xf numFmtId="1" fontId="11" fillId="0" borderId="48" xfId="0" applyNumberFormat="1" applyFont="1" applyBorder="1" applyAlignment="1">
      <alignment horizontal="center" vertical="center"/>
    </xf>
    <xf numFmtId="1" fontId="7" fillId="0" borderId="19" xfId="0" applyNumberFormat="1" applyFont="1" applyBorder="1" applyAlignment="1">
      <alignment horizontal="center" vertical="center"/>
    </xf>
    <xf numFmtId="2" fontId="21" fillId="4" borderId="19" xfId="0" applyNumberFormat="1" applyFont="1" applyFill="1" applyBorder="1" applyAlignment="1">
      <alignment horizontal="center" vertical="center"/>
    </xf>
    <xf numFmtId="2" fontId="22" fillId="4" borderId="19" xfId="0" applyNumberFormat="1" applyFont="1" applyFill="1" applyBorder="1" applyAlignment="1">
      <alignment horizontal="center" vertical="center"/>
    </xf>
    <xf numFmtId="1" fontId="21" fillId="4" borderId="19" xfId="0" applyNumberFormat="1" applyFont="1" applyFill="1" applyBorder="1" applyAlignment="1">
      <alignment horizontal="center" vertical="center"/>
    </xf>
    <xf numFmtId="1" fontId="22" fillId="4" borderId="11" xfId="0" applyNumberFormat="1" applyFont="1" applyFill="1" applyBorder="1" applyAlignment="1">
      <alignment horizontal="center" vertical="center"/>
    </xf>
    <xf numFmtId="1" fontId="16" fillId="5" borderId="4" xfId="0" applyNumberFormat="1" applyFont="1" applyFill="1" applyBorder="1" applyAlignment="1">
      <alignment horizontal="center" wrapText="1"/>
    </xf>
    <xf numFmtId="1" fontId="19" fillId="5" borderId="2" xfId="0" applyNumberFormat="1" applyFont="1" applyFill="1" applyBorder="1" applyAlignment="1">
      <alignment horizontal="center" vertical="center" wrapText="1"/>
    </xf>
    <xf numFmtId="1" fontId="11" fillId="0" borderId="19" xfId="0" applyNumberFormat="1" applyFont="1" applyBorder="1" applyAlignment="1">
      <alignment horizontal="center" vertical="center"/>
    </xf>
    <xf numFmtId="1" fontId="11" fillId="0" borderId="1" xfId="0" applyNumberFormat="1" applyFont="1" applyBorder="1" applyAlignment="1">
      <alignment horizontal="center" vertical="center"/>
    </xf>
    <xf numFmtId="1" fontId="12" fillId="0" borderId="19" xfId="0" applyNumberFormat="1" applyFont="1" applyBorder="1" applyAlignment="1">
      <alignment horizontal="center" vertical="center"/>
    </xf>
    <xf numFmtId="2" fontId="22" fillId="4" borderId="50" xfId="0" applyNumberFormat="1" applyFont="1" applyFill="1" applyBorder="1" applyAlignment="1">
      <alignment horizontal="center" vertical="center"/>
    </xf>
    <xf numFmtId="2" fontId="20" fillId="4" borderId="44" xfId="0" applyNumberFormat="1" applyFont="1" applyFill="1" applyBorder="1" applyAlignment="1">
      <alignment horizontal="center" vertical="center"/>
    </xf>
    <xf numFmtId="2" fontId="33" fillId="0" borderId="11" xfId="0" applyNumberFormat="1" applyFont="1" applyBorder="1" applyAlignment="1">
      <alignment horizontal="left" vertical="center" wrapText="1" indent="1"/>
    </xf>
    <xf numFmtId="0" fontId="2" fillId="5" borderId="1" xfId="0" applyFont="1" applyFill="1" applyBorder="1" applyAlignment="1">
      <alignment horizontal="left" vertical="center" indent="1"/>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1" fontId="12" fillId="4" borderId="19" xfId="0" applyNumberFormat="1" applyFont="1" applyFill="1" applyBorder="1" applyAlignment="1">
      <alignment horizontal="center" vertical="center"/>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5" xfId="0" applyNumberFormat="1" applyFont="1" applyBorder="1" applyAlignment="1">
      <alignment horizontal="center" vertical="center"/>
    </xf>
    <xf numFmtId="2" fontId="30" fillId="4" borderId="17" xfId="0" applyNumberFormat="1" applyFont="1" applyFill="1" applyBorder="1" applyAlignment="1">
      <alignment horizontal="left" vertical="center" wrapText="1" indent="1"/>
    </xf>
    <xf numFmtId="0" fontId="2" fillId="3" borderId="31" xfId="0" applyFont="1" applyFill="1" applyBorder="1" applyAlignment="1">
      <alignment horizontal="left" vertical="center" wrapText="1" indent="1"/>
    </xf>
    <xf numFmtId="0" fontId="0" fillId="0" borderId="0" xfId="0" applyAlignment="1">
      <alignment horizontal="left" wrapText="1" indent="1"/>
    </xf>
    <xf numFmtId="2" fontId="30" fillId="4" borderId="1" xfId="0" applyNumberFormat="1" applyFont="1" applyFill="1" applyBorder="1" applyAlignment="1">
      <alignment horizontal="left" vertical="center" wrapText="1" indent="1"/>
    </xf>
    <xf numFmtId="2" fontId="30" fillId="4" borderId="8" xfId="0" applyNumberFormat="1" applyFont="1" applyFill="1" applyBorder="1" applyAlignment="1">
      <alignment horizontal="left" vertical="center" wrapText="1" indent="1"/>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21" fontId="7" fillId="0" borderId="5" xfId="0" applyNumberFormat="1" applyFont="1" applyBorder="1" applyAlignment="1">
      <alignment horizontal="center" vertical="center"/>
    </xf>
    <xf numFmtId="2" fontId="27" fillId="3" borderId="51" xfId="0" applyNumberFormat="1" applyFont="1" applyFill="1" applyBorder="1" applyAlignment="1">
      <alignment horizontal="center" wrapText="1"/>
    </xf>
    <xf numFmtId="164" fontId="32" fillId="8" borderId="12" xfId="0" applyNumberFormat="1" applyFont="1" applyFill="1" applyBorder="1" applyAlignment="1">
      <alignment horizontal="center" vertical="center" wrapText="1"/>
    </xf>
    <xf numFmtId="164" fontId="32" fillId="8" borderId="9" xfId="0" applyNumberFormat="1" applyFont="1" applyFill="1" applyBorder="1" applyAlignment="1">
      <alignment horizontal="center" vertical="center" wrapText="1"/>
    </xf>
    <xf numFmtId="1" fontId="32" fillId="8" borderId="0" xfId="0" applyNumberFormat="1" applyFont="1" applyFill="1" applyBorder="1" applyAlignment="1">
      <alignment horizontal="center" vertical="center"/>
    </xf>
    <xf numFmtId="1" fontId="32" fillId="8" borderId="40" xfId="0" applyNumberFormat="1" applyFont="1" applyFill="1" applyBorder="1" applyAlignment="1">
      <alignment horizontal="center" vertical="center"/>
    </xf>
    <xf numFmtId="164" fontId="32" fillId="6" borderId="1" xfId="0" applyNumberFormat="1" applyFont="1" applyFill="1" applyBorder="1" applyAlignment="1">
      <alignment horizontal="center" vertical="center"/>
    </xf>
    <xf numFmtId="164" fontId="32" fillId="9" borderId="1" xfId="0" applyNumberFormat="1" applyFont="1" applyFill="1" applyBorder="1" applyAlignment="1">
      <alignment horizontal="center" vertical="center"/>
    </xf>
    <xf numFmtId="164" fontId="32" fillId="9" borderId="8" xfId="0" applyNumberFormat="1" applyFont="1" applyFill="1" applyBorder="1" applyAlignment="1">
      <alignment horizontal="center" vertical="center"/>
    </xf>
    <xf numFmtId="164" fontId="32" fillId="9" borderId="10" xfId="0" applyNumberFormat="1" applyFont="1" applyFill="1" applyBorder="1" applyAlignment="1">
      <alignment horizontal="center" vertical="center"/>
    </xf>
    <xf numFmtId="164" fontId="28" fillId="6" borderId="0" xfId="0" applyNumberFormat="1" applyFont="1" applyFill="1" applyBorder="1" applyAlignment="1">
      <alignment horizontal="center" vertical="center"/>
    </xf>
    <xf numFmtId="2" fontId="19" fillId="5" borderId="34" xfId="0" applyNumberFormat="1" applyFont="1" applyFill="1" applyBorder="1" applyAlignment="1">
      <alignment horizontal="left" wrapText="1" indent="1"/>
    </xf>
    <xf numFmtId="2" fontId="19" fillId="5" borderId="0" xfId="0" applyNumberFormat="1" applyFont="1" applyFill="1" applyBorder="1" applyAlignment="1">
      <alignment horizontal="left" wrapText="1" indent="1"/>
    </xf>
    <xf numFmtId="2" fontId="19" fillId="5" borderId="35" xfId="0" applyNumberFormat="1" applyFont="1" applyFill="1" applyBorder="1" applyAlignment="1">
      <alignment horizontal="left" wrapText="1" indent="1"/>
    </xf>
    <xf numFmtId="164" fontId="28" fillId="6" borderId="36" xfId="0" applyNumberFormat="1" applyFont="1" applyFill="1" applyBorder="1" applyAlignment="1">
      <alignment horizontal="center" vertical="center"/>
    </xf>
    <xf numFmtId="164" fontId="15" fillId="6" borderId="13" xfId="0" applyNumberFormat="1" applyFont="1" applyFill="1" applyBorder="1" applyAlignment="1">
      <alignment horizontal="center" vertical="center"/>
    </xf>
    <xf numFmtId="0" fontId="5" fillId="0" borderId="0" xfId="0" applyFont="1" applyAlignment="1">
      <alignment horizontal="center" vertical="top"/>
    </xf>
    <xf numFmtId="164" fontId="28" fillId="6" borderId="0" xfId="0" applyNumberFormat="1" applyFont="1" applyFill="1" applyAlignment="1">
      <alignment horizontal="center" vertical="center"/>
    </xf>
    <xf numFmtId="164" fontId="28" fillId="6" borderId="21" xfId="0" applyNumberFormat="1" applyFont="1" applyFill="1" applyBorder="1" applyAlignment="1">
      <alignment horizontal="center" vertical="center"/>
    </xf>
    <xf numFmtId="164" fontId="28" fillId="9" borderId="32" xfId="0" applyNumberFormat="1" applyFont="1" applyFill="1" applyBorder="1" applyAlignment="1">
      <alignment horizontal="center" vertical="center"/>
    </xf>
    <xf numFmtId="164" fontId="28" fillId="9" borderId="33" xfId="0" applyNumberFormat="1" applyFont="1" applyFill="1" applyBorder="1" applyAlignment="1">
      <alignment horizontal="center" vertical="center"/>
    </xf>
    <xf numFmtId="164" fontId="15" fillId="6" borderId="39" xfId="0" applyNumberFormat="1" applyFont="1" applyFill="1" applyBorder="1" applyAlignment="1">
      <alignment horizontal="center" vertical="center"/>
    </xf>
    <xf numFmtId="164" fontId="15" fillId="6" borderId="20" xfId="0" applyNumberFormat="1" applyFont="1" applyFill="1" applyBorder="1" applyAlignment="1">
      <alignment horizontal="center" vertical="center"/>
    </xf>
    <xf numFmtId="164" fontId="15" fillId="6" borderId="8" xfId="0" applyNumberFormat="1" applyFont="1" applyFill="1" applyBorder="1" applyAlignment="1">
      <alignment horizontal="center" vertical="center"/>
    </xf>
    <xf numFmtId="164" fontId="15" fillId="6" borderId="18" xfId="0" applyNumberFormat="1" applyFont="1" applyFill="1" applyBorder="1" applyAlignment="1">
      <alignment horizontal="center" vertical="center"/>
    </xf>
    <xf numFmtId="164" fontId="15" fillId="6" borderId="10" xfId="0" applyNumberFormat="1" applyFont="1" applyFill="1" applyBorder="1" applyAlignment="1">
      <alignment horizontal="center" vertical="center"/>
    </xf>
    <xf numFmtId="164" fontId="15" fillId="6" borderId="37" xfId="0" applyNumberFormat="1" applyFont="1" applyFill="1" applyBorder="1" applyAlignment="1">
      <alignment horizontal="center" vertical="center"/>
    </xf>
    <xf numFmtId="164" fontId="15" fillId="6" borderId="38" xfId="0" applyNumberFormat="1" applyFont="1" applyFill="1" applyBorder="1" applyAlignment="1">
      <alignment horizontal="center" vertical="center"/>
    </xf>
    <xf numFmtId="164" fontId="15" fillId="6" borderId="47" xfId="0" applyNumberFormat="1" applyFont="1" applyFill="1" applyBorder="1" applyAlignment="1">
      <alignment horizontal="center" vertical="center"/>
    </xf>
    <xf numFmtId="0" fontId="8" fillId="2" borderId="53" xfId="0" applyFont="1" applyFill="1" applyBorder="1" applyAlignment="1">
      <alignment horizontal="center" wrapText="1"/>
    </xf>
    <xf numFmtId="164" fontId="30" fillId="3" borderId="26" xfId="0" applyNumberFormat="1" applyFont="1" applyFill="1" applyBorder="1" applyAlignment="1">
      <alignment horizontal="center" vertical="center" wrapText="1"/>
    </xf>
    <xf numFmtId="1" fontId="30" fillId="3" borderId="26" xfId="0" applyNumberFormat="1" applyFont="1" applyFill="1" applyBorder="1" applyAlignment="1">
      <alignment horizontal="center" vertical="center" wrapText="1"/>
    </xf>
    <xf numFmtId="2" fontId="30" fillId="3" borderId="52" xfId="0" applyNumberFormat="1" applyFont="1" applyFill="1" applyBorder="1" applyAlignment="1">
      <alignment horizontal="center" vertical="center" wrapText="1"/>
    </xf>
    <xf numFmtId="2" fontId="30" fillId="3" borderId="26" xfId="0" applyNumberFormat="1" applyFont="1" applyFill="1" applyBorder="1" applyAlignment="1">
      <alignment horizontal="center" vertical="center" wrapText="1"/>
    </xf>
    <xf numFmtId="1" fontId="7" fillId="0" borderId="0" xfId="0" applyNumberFormat="1" applyFont="1" applyAlignment="1">
      <alignment horizontal="left" vertical="top"/>
    </xf>
  </cellXfs>
  <cellStyles count="1">
    <cellStyle name="Normal" xfId="0" builtinId="0"/>
  </cellStyles>
  <dxfs count="574">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colors>
    <mruColors>
      <color rgb="FF9E2E2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idrik/Dropbox/Arbeid/OUS/Proc/Excel/GX_SeqX%20-%20Notes%20-%20Ver4.0%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Hand notes scheme"/>
      <sheetName val="Equipment"/>
      <sheetName val="Categories"/>
      <sheetName val="Description"/>
      <sheetName val="Usage"/>
    </sheetNames>
    <sheetDataSet>
      <sheetData sheetId="0" refreshError="1"/>
      <sheetData sheetId="1" refreshError="1"/>
      <sheetData sheetId="2"/>
      <sheetData sheetId="3"/>
      <sheetData sheetId="4"/>
      <sheetData sheetId="5">
        <row r="3">
          <cell r="C3" t="str">
            <v>G1_Seq2</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E2" dT="2019-12-02T11:50:31.61" personId="{01489622-67B5-4CAB-9B8B-F09804CE9929}" id="{24570B84-A4A5-4FA1-8F50-23755B4FEC4B}">
    <text>Used for setting automatic timer
Also useful to estimate total wait duration and planning</text>
  </threadedComment>
  <threadedComment ref="F2" dT="2020-08-23T13:11:12.55" personId="{01489622-67B5-4CAB-9B8B-F09804CE9929}" id="{223A698D-C6FF-45E7-A81C-3C98E4AA577F}">
    <text>Folder no. for data export</text>
  </threadedComment>
  <threadedComment ref="X2" dT="2020-01-16T11:14:41.49" personId="{01489622-67B5-4CAB-9B8B-F09804CE9929}" id="{C354A7D6-B6F7-47C7-8100-C4E881C79697}">
    <text>Ven flow shown on Spectrum ultrasound monitor when unclamped and at corresponding baseline pump speed. Used primarily for documentation and bookkeeping when running the experiment.</text>
  </threadedComment>
  <threadedComment ref="AH2" dT="2020-08-23T17:09:38.38" personId="{01489622-67B5-4CAB-9B8B-F09804CE9929}" id="{937DED94-CFFB-4758-B72E-0EF048FF02AC}">
    <text>Mixed venous oxygen saturation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B3" dT="2019-12-02T11:51:07.26" personId="{01489622-67B5-4CAB-9B8B-F09804CE9929}" id="{49765626-446A-4F50-9BB3-8A7D82610262}">
    <text>Use [Control]+[Colon] to insert current timestamp</text>
  </threadedComment>
  <threadedComment ref="K3" dT="2020-08-23T17:05:57.58" personId="{01489622-67B5-4CAB-9B8B-F09804CE9929}" id="{88748597-07A2-47A8-864E-A6F8270C42CE}">
    <text>Mixed venous oxygen saturation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C12" dT="2020-07-10T07:34:29.56" personId="{01489622-67B5-4CAB-9B8B-F09804CE9929}" id="{72CEC2E4-9845-4F0B-B33C-C0F30A34EE09}">
    <text>See Events timer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284"/>
  <sheetViews>
    <sheetView showGridLines="0" tabSelected="1" zoomScale="70" zoomScaleNormal="70" workbookViewId="0">
      <pane ySplit="3" topLeftCell="A4" activePane="bottomLeft" state="frozen"/>
      <selection activeCell="D1" sqref="D1"/>
      <selection pane="bottomLeft" activeCell="D5" sqref="D5"/>
    </sheetView>
  </sheetViews>
  <sheetFormatPr defaultColWidth="8.88671875" defaultRowHeight="31.95" customHeight="1" x14ac:dyDescent="0.3"/>
  <cols>
    <col min="1" max="1" width="16.109375" style="14" bestFit="1" customWidth="1"/>
    <col min="2" max="2" width="12.44140625" style="14" bestFit="1" customWidth="1"/>
    <col min="3" max="3" width="8.88671875" style="27" bestFit="1" customWidth="1"/>
    <col min="4" max="4" width="4.5546875" style="27" bestFit="1" customWidth="1"/>
    <col min="5" max="5" width="7.109375" style="27" customWidth="1"/>
    <col min="6" max="6" width="6.21875" style="27" bestFit="1" customWidth="1"/>
    <col min="7" max="7" width="5.109375" style="56" customWidth="1"/>
    <col min="8" max="8" width="24.33203125" style="20" bestFit="1" customWidth="1"/>
    <col min="9" max="9" width="23.33203125" style="20" bestFit="1" customWidth="1"/>
    <col min="10" max="10" width="15.33203125" style="57" bestFit="1" customWidth="1"/>
    <col min="11" max="11" width="7.109375" style="56" bestFit="1" customWidth="1"/>
    <col min="12" max="12" width="8.5546875" style="58" customWidth="1"/>
    <col min="13" max="13" width="10.21875" style="19" bestFit="1" customWidth="1"/>
    <col min="14" max="14" width="12.6640625" style="19" customWidth="1"/>
    <col min="15" max="15" width="23.21875" style="19" bestFit="1" customWidth="1"/>
    <col min="16" max="16" width="10.109375" style="56" bestFit="1" customWidth="1"/>
    <col min="17" max="17" width="10.109375" style="59" bestFit="1" customWidth="1"/>
    <col min="18" max="18" width="9.88671875" style="15" bestFit="1" customWidth="1"/>
    <col min="19" max="19" width="10.5546875" style="15" bestFit="1" customWidth="1"/>
    <col min="20" max="20" width="8.6640625" style="58" customWidth="1"/>
    <col min="21" max="21" width="11" style="15" bestFit="1" customWidth="1"/>
    <col min="22" max="22" width="6.88671875" style="60" bestFit="1" customWidth="1"/>
    <col min="23" max="23" width="7.44140625" style="60" bestFit="1" customWidth="1"/>
    <col min="24" max="24" width="9.109375" style="61" customWidth="1"/>
    <col min="25" max="27" width="7.88671875" style="62" bestFit="1" customWidth="1"/>
    <col min="28" max="29" width="9.109375" style="62" bestFit="1" customWidth="1"/>
    <col min="30" max="31" width="9" style="62" customWidth="1"/>
    <col min="32" max="32" width="8.77734375" style="62" customWidth="1"/>
    <col min="33" max="33" width="8.5546875" style="63" bestFit="1" customWidth="1"/>
    <col min="34" max="34" width="6.33203125" style="64" bestFit="1" customWidth="1"/>
    <col min="35" max="35" width="31.109375" style="65" bestFit="1" customWidth="1"/>
    <col min="36" max="36" width="28.88671875" style="65" bestFit="1" customWidth="1"/>
    <col min="37" max="37" width="16.109375" style="66" bestFit="1" customWidth="1"/>
    <col min="38" max="38" width="25.21875" style="66" bestFit="1" customWidth="1"/>
    <col min="39" max="16384" width="8.88671875" style="13"/>
  </cols>
  <sheetData>
    <row r="1" spans="1:38" s="153" customFormat="1" ht="13.8" x14ac:dyDescent="0.3">
      <c r="A1" s="150"/>
      <c r="B1" s="150"/>
      <c r="C1" s="151"/>
      <c r="D1" s="151"/>
      <c r="E1" s="151"/>
      <c r="F1" s="151"/>
      <c r="G1" s="151"/>
      <c r="H1" s="151"/>
      <c r="I1" s="151"/>
      <c r="J1" s="202" t="s">
        <v>64</v>
      </c>
      <c r="K1" s="202"/>
      <c r="L1" s="202"/>
      <c r="M1" s="202"/>
      <c r="N1" s="202"/>
      <c r="O1" s="202"/>
      <c r="P1" s="202"/>
      <c r="Q1" s="203"/>
      <c r="R1" s="204" t="s">
        <v>202</v>
      </c>
      <c r="S1" s="204"/>
      <c r="T1" s="206" t="s">
        <v>134</v>
      </c>
      <c r="U1" s="207"/>
      <c r="V1" s="204" t="s">
        <v>29</v>
      </c>
      <c r="W1" s="204"/>
      <c r="X1" s="152" t="s">
        <v>201</v>
      </c>
      <c r="Y1" s="204" t="s">
        <v>127</v>
      </c>
      <c r="Z1" s="204"/>
      <c r="AA1" s="204"/>
      <c r="AB1" s="204"/>
      <c r="AC1" s="204"/>
      <c r="AD1" s="204"/>
      <c r="AE1" s="204"/>
      <c r="AF1" s="204"/>
      <c r="AG1" s="205" t="s">
        <v>66</v>
      </c>
      <c r="AH1" s="206"/>
      <c r="AI1" s="200" t="s">
        <v>67</v>
      </c>
      <c r="AJ1" s="201"/>
      <c r="AK1" s="201"/>
      <c r="AL1" s="201"/>
    </row>
    <row r="2" spans="1:38" s="17" customFormat="1" ht="34.799999999999997" customHeight="1" x14ac:dyDescent="0.45">
      <c r="A2" s="113" t="s">
        <v>21</v>
      </c>
      <c r="B2" s="29" t="s">
        <v>23</v>
      </c>
      <c r="C2" s="28" t="s">
        <v>26</v>
      </c>
      <c r="D2" s="28" t="s">
        <v>260</v>
      </c>
      <c r="E2" s="28" t="s">
        <v>68</v>
      </c>
      <c r="F2" s="28" t="s">
        <v>344</v>
      </c>
      <c r="G2" s="29" t="s">
        <v>41</v>
      </c>
      <c r="H2" s="29" t="s">
        <v>218</v>
      </c>
      <c r="I2" s="30" t="s">
        <v>13</v>
      </c>
      <c r="J2" s="31" t="s">
        <v>69</v>
      </c>
      <c r="K2" s="32" t="s">
        <v>18</v>
      </c>
      <c r="L2" s="33" t="s">
        <v>48</v>
      </c>
      <c r="M2" s="34" t="s">
        <v>354</v>
      </c>
      <c r="N2" s="34" t="s">
        <v>158</v>
      </c>
      <c r="O2" s="33" t="s">
        <v>49</v>
      </c>
      <c r="P2" s="174" t="s">
        <v>70</v>
      </c>
      <c r="Q2" s="140" t="s">
        <v>355</v>
      </c>
      <c r="R2" s="156" t="s">
        <v>19</v>
      </c>
      <c r="S2" s="156" t="s">
        <v>20</v>
      </c>
      <c r="T2" s="154" t="s">
        <v>50</v>
      </c>
      <c r="U2" s="154" t="s">
        <v>257</v>
      </c>
      <c r="V2" s="155" t="s">
        <v>71</v>
      </c>
      <c r="W2" s="155" t="s">
        <v>17</v>
      </c>
      <c r="X2" s="154" t="s">
        <v>72</v>
      </c>
      <c r="Y2" s="156" t="s">
        <v>362</v>
      </c>
      <c r="Z2" s="156" t="s">
        <v>363</v>
      </c>
      <c r="AA2" s="156" t="s">
        <v>364</v>
      </c>
      <c r="AB2" s="156" t="s">
        <v>365</v>
      </c>
      <c r="AC2" s="156" t="s">
        <v>356</v>
      </c>
      <c r="AD2" s="156" t="s">
        <v>357</v>
      </c>
      <c r="AE2" s="156" t="s">
        <v>73</v>
      </c>
      <c r="AF2" s="156" t="s">
        <v>74</v>
      </c>
      <c r="AG2" s="157" t="s">
        <v>75</v>
      </c>
      <c r="AH2" s="158" t="s">
        <v>361</v>
      </c>
      <c r="AI2" s="128" t="s">
        <v>76</v>
      </c>
      <c r="AJ2" s="34" t="s">
        <v>77</v>
      </c>
      <c r="AK2" s="34" t="s">
        <v>78</v>
      </c>
      <c r="AL2" s="34" t="s">
        <v>209</v>
      </c>
    </row>
    <row r="3" spans="1:38" s="18" customFormat="1" ht="18" thickBot="1" x14ac:dyDescent="0.35">
      <c r="A3" s="35" t="s">
        <v>22</v>
      </c>
      <c r="B3" s="35" t="s">
        <v>24</v>
      </c>
      <c r="C3" s="35" t="s">
        <v>27</v>
      </c>
      <c r="D3" s="35" t="s">
        <v>79</v>
      </c>
      <c r="E3" s="35" t="s">
        <v>27</v>
      </c>
      <c r="F3" s="35" t="s">
        <v>79</v>
      </c>
      <c r="G3" s="36" t="s">
        <v>79</v>
      </c>
      <c r="H3" s="36"/>
      <c r="I3" s="37"/>
      <c r="J3" s="36" t="s">
        <v>25</v>
      </c>
      <c r="K3" s="38" t="s">
        <v>14</v>
      </c>
      <c r="L3" s="39"/>
      <c r="M3" s="40" t="s">
        <v>47</v>
      </c>
      <c r="N3" s="40"/>
      <c r="O3" s="39"/>
      <c r="P3" s="175" t="s">
        <v>157</v>
      </c>
      <c r="Q3" s="141" t="s">
        <v>80</v>
      </c>
      <c r="R3" s="161" t="s">
        <v>15</v>
      </c>
      <c r="S3" s="161" t="s">
        <v>15</v>
      </c>
      <c r="T3" s="159" t="s">
        <v>47</v>
      </c>
      <c r="U3" s="159" t="s">
        <v>47</v>
      </c>
      <c r="V3" s="160" t="s">
        <v>80</v>
      </c>
      <c r="W3" s="160" t="s">
        <v>16</v>
      </c>
      <c r="X3" s="159" t="s">
        <v>80</v>
      </c>
      <c r="Y3" s="161" t="s">
        <v>15</v>
      </c>
      <c r="Z3" s="161" t="s">
        <v>15</v>
      </c>
      <c r="AA3" s="161" t="s">
        <v>15</v>
      </c>
      <c r="AB3" s="161" t="s">
        <v>15</v>
      </c>
      <c r="AC3" s="161" t="s">
        <v>15</v>
      </c>
      <c r="AD3" s="161" t="s">
        <v>15</v>
      </c>
      <c r="AE3" s="161" t="s">
        <v>81</v>
      </c>
      <c r="AF3" s="161" t="s">
        <v>15</v>
      </c>
      <c r="AG3" s="162" t="s">
        <v>80</v>
      </c>
      <c r="AH3" s="163" t="s">
        <v>157</v>
      </c>
      <c r="AI3" s="129"/>
      <c r="AJ3" s="41"/>
      <c r="AK3" s="41"/>
      <c r="AL3" s="41"/>
    </row>
    <row r="4" spans="1:38" ht="31.95" customHeight="1" x14ac:dyDescent="0.3">
      <c r="A4" s="167">
        <v>44062</v>
      </c>
      <c r="B4" s="184">
        <v>0.55179398148148151</v>
      </c>
      <c r="C4" s="48"/>
      <c r="D4" s="48"/>
      <c r="E4" s="48" t="str">
        <f>IF(I4=Categories!$E$4,VLOOKUP(H4,Categories!$A$4:$C$13,3,1),VLOOKUP(I4,Categories!$E$4:$G$24,3,1))</f>
        <v>-</v>
      </c>
      <c r="F4" s="48"/>
      <c r="G4" s="43" t="s">
        <v>0</v>
      </c>
      <c r="H4" s="49" t="s">
        <v>0</v>
      </c>
      <c r="I4" s="49" t="s">
        <v>213</v>
      </c>
      <c r="J4" s="51"/>
      <c r="K4" s="185">
        <v>3100</v>
      </c>
      <c r="L4" s="52" t="s">
        <v>0</v>
      </c>
      <c r="M4" s="53" t="str">
        <f>IFERROR(VLOOKUP(VLOOKUP(O4,O4,1,1),Categories!$K$4:$V$17,2+VLOOKUP(L4,L4,1,1)),"-"  )</f>
        <v>-</v>
      </c>
      <c r="N4" s="53" t="str">
        <f>IFERROR(VLOOKUP(VLOOKUP(O4,O4,1,1),Categories!$K$3:$V$17,7+VLOOKUP(L4,L4,1,1)),"-")</f>
        <v>-</v>
      </c>
      <c r="O4" s="54" t="s">
        <v>0</v>
      </c>
      <c r="P4" s="176" t="s">
        <v>0</v>
      </c>
      <c r="Q4" s="180" t="s">
        <v>0</v>
      </c>
      <c r="R4" s="132"/>
      <c r="S4" s="132"/>
      <c r="T4" s="139"/>
      <c r="U4" s="132"/>
      <c r="V4" s="135"/>
      <c r="W4" s="135"/>
      <c r="X4" s="171"/>
      <c r="Y4" s="137"/>
      <c r="Z4" s="137"/>
      <c r="AA4" s="137"/>
      <c r="AB4" s="137"/>
      <c r="AC4" s="137"/>
      <c r="AD4" s="137"/>
      <c r="AE4" s="137"/>
      <c r="AF4" s="137"/>
      <c r="AG4" s="136"/>
      <c r="AH4" s="138"/>
      <c r="AI4" s="131" t="s">
        <v>340</v>
      </c>
      <c r="AJ4" s="47" t="s">
        <v>271</v>
      </c>
      <c r="AK4" s="55"/>
      <c r="AL4" s="55"/>
    </row>
    <row r="5" spans="1:38" ht="31.95" customHeight="1" x14ac:dyDescent="0.3">
      <c r="A5" s="167">
        <v>44062</v>
      </c>
      <c r="B5" s="184">
        <v>0.55180555555555555</v>
      </c>
      <c r="C5" s="48"/>
      <c r="D5" s="48"/>
      <c r="E5" s="48">
        <f>IF(I5=Categories!$E$4,VLOOKUP(H5,Categories!$A$4:$C$13,3,1),VLOOKUP(I5,Categories!$E$4:$G$24,3,1))</f>
        <v>120</v>
      </c>
      <c r="F5" s="48"/>
      <c r="G5" s="43">
        <v>1</v>
      </c>
      <c r="H5" s="49" t="s">
        <v>44</v>
      </c>
      <c r="I5" s="50" t="s">
        <v>0</v>
      </c>
      <c r="J5" s="51"/>
      <c r="K5" s="121">
        <v>3100</v>
      </c>
      <c r="L5" s="52" t="s">
        <v>0</v>
      </c>
      <c r="M5" s="53" t="str">
        <f>IFERROR(VLOOKUP(VLOOKUP(O5,O5,1,1),Categories!$K$4:$V$17,2+VLOOKUP(L5,L5,1,1)),"-"  )</f>
        <v>-</v>
      </c>
      <c r="N5" s="53" t="str">
        <f>IFERROR(VLOOKUP(VLOOKUP(O5,O5,1,1),Categories!$K$3:$V$17,7+VLOOKUP(L5,L5,1,1)),"-")</f>
        <v>-</v>
      </c>
      <c r="O5" s="54" t="s">
        <v>0</v>
      </c>
      <c r="P5" s="176" t="s">
        <v>0</v>
      </c>
      <c r="Q5" s="180" t="s">
        <v>0</v>
      </c>
      <c r="R5" s="169"/>
      <c r="S5" s="169"/>
      <c r="T5" s="168"/>
      <c r="U5" s="169"/>
      <c r="V5" s="170">
        <v>5.3</v>
      </c>
      <c r="W5" s="170">
        <v>5.5</v>
      </c>
      <c r="X5" s="171">
        <v>7.19</v>
      </c>
      <c r="Y5" s="172"/>
      <c r="Z5" s="172"/>
      <c r="AA5" s="172"/>
      <c r="AB5" s="172"/>
      <c r="AC5" s="172"/>
      <c r="AD5" s="172"/>
      <c r="AE5" s="172"/>
      <c r="AF5" s="172"/>
      <c r="AG5" s="171"/>
      <c r="AH5" s="173"/>
      <c r="AI5" s="131" t="s">
        <v>234</v>
      </c>
      <c r="AJ5" s="55" t="s">
        <v>258</v>
      </c>
      <c r="AK5" s="55"/>
      <c r="AL5" s="55" t="s">
        <v>277</v>
      </c>
    </row>
    <row r="6" spans="1:38" ht="31.95" customHeight="1" x14ac:dyDescent="0.3">
      <c r="A6" s="167">
        <v>44062</v>
      </c>
      <c r="B6" s="184">
        <v>0.55327546296296293</v>
      </c>
      <c r="C6" s="48"/>
      <c r="D6" s="48"/>
      <c r="E6" s="48">
        <f>IF(I6=Categories!$E$4,VLOOKUP(H6,Categories!$A$4:$C$13,3,1),VLOOKUP(I6,Categories!$E$4:$G$24,3,1))</f>
        <v>45</v>
      </c>
      <c r="F6" s="48"/>
      <c r="G6" s="43">
        <v>1</v>
      </c>
      <c r="H6" s="49" t="s">
        <v>224</v>
      </c>
      <c r="I6" s="50" t="s">
        <v>2</v>
      </c>
      <c r="J6" s="51"/>
      <c r="K6" s="121">
        <v>2800</v>
      </c>
      <c r="L6" s="52" t="s">
        <v>0</v>
      </c>
      <c r="M6" s="53" t="str">
        <f>IFERROR(VLOOKUP(VLOOKUP(O6,O6,1,1),Categories!$K$4:$V$17,2+VLOOKUP(L6,L6,1,1)),"-"  )</f>
        <v>-</v>
      </c>
      <c r="N6" s="53" t="str">
        <f>IFERROR(VLOOKUP(VLOOKUP(O6,O6,1,1),Categories!$K$3:$V$17,7+VLOOKUP(L6,L6,1,1)),"-")</f>
        <v>-</v>
      </c>
      <c r="O6" s="54" t="s">
        <v>0</v>
      </c>
      <c r="P6" s="176" t="s">
        <v>0</v>
      </c>
      <c r="Q6" s="180" t="s">
        <v>0</v>
      </c>
      <c r="R6" s="169"/>
      <c r="S6" s="169"/>
      <c r="T6" s="168"/>
      <c r="U6" s="169"/>
      <c r="V6" s="170"/>
      <c r="W6" s="170"/>
      <c r="X6" s="171"/>
      <c r="Y6" s="172"/>
      <c r="Z6" s="172"/>
      <c r="AA6" s="172"/>
      <c r="AB6" s="172"/>
      <c r="AC6" s="172"/>
      <c r="AD6" s="172"/>
      <c r="AE6" s="172"/>
      <c r="AF6" s="172"/>
      <c r="AG6" s="171"/>
      <c r="AH6" s="173"/>
      <c r="AI6" s="131"/>
      <c r="AJ6" s="55"/>
      <c r="AK6" s="55"/>
      <c r="AL6" s="55" t="s">
        <v>280</v>
      </c>
    </row>
    <row r="7" spans="1:38" ht="31.95" customHeight="1" x14ac:dyDescent="0.3">
      <c r="A7" s="167">
        <v>44062</v>
      </c>
      <c r="B7" s="184">
        <v>0.55387731481481484</v>
      </c>
      <c r="C7" s="48"/>
      <c r="D7" s="48"/>
      <c r="E7" s="48">
        <f>IF(I7=Categories!$E$4,VLOOKUP(H7,Categories!$A$4:$C$13,3,1),VLOOKUP(I7,Categories!$E$4:$G$24,3,1))</f>
        <v>120</v>
      </c>
      <c r="F7" s="48"/>
      <c r="G7" s="43">
        <v>1</v>
      </c>
      <c r="H7" s="49" t="s">
        <v>1</v>
      </c>
      <c r="I7" s="50" t="s">
        <v>0</v>
      </c>
      <c r="J7" s="51"/>
      <c r="K7" s="121">
        <v>2800</v>
      </c>
      <c r="L7" s="52" t="s">
        <v>0</v>
      </c>
      <c r="M7" s="53" t="str">
        <f>IFERROR(VLOOKUP(VLOOKUP(O7,O7,1,1),Categories!$K$4:$V$17,2+VLOOKUP(L7,L7,1,1)),"-"  )</f>
        <v>-</v>
      </c>
      <c r="N7" s="53" t="str">
        <f>IFERROR(VLOOKUP(VLOOKUP(O7,O7,1,1),Categories!$K$3:$V$17,7+VLOOKUP(L7,L7,1,1)),"-")</f>
        <v>-</v>
      </c>
      <c r="O7" s="54" t="s">
        <v>0</v>
      </c>
      <c r="P7" s="176" t="s">
        <v>0</v>
      </c>
      <c r="Q7" s="180" t="s">
        <v>0</v>
      </c>
      <c r="R7" s="169"/>
      <c r="S7" s="169"/>
      <c r="T7" s="168"/>
      <c r="U7" s="169"/>
      <c r="V7" s="170">
        <v>4.4000000000000004</v>
      </c>
      <c r="W7" s="170">
        <v>4.0999999999999996</v>
      </c>
      <c r="X7" s="171">
        <v>6.43</v>
      </c>
      <c r="Y7" s="172"/>
      <c r="Z7" s="172"/>
      <c r="AA7" s="172"/>
      <c r="AB7" s="172"/>
      <c r="AC7" s="172"/>
      <c r="AD7" s="172"/>
      <c r="AE7" s="172"/>
      <c r="AF7" s="172"/>
      <c r="AG7" s="171"/>
      <c r="AH7" s="173"/>
      <c r="AI7" s="131"/>
      <c r="AJ7" s="55"/>
      <c r="AK7" s="55"/>
      <c r="AL7" s="55" t="s">
        <v>276</v>
      </c>
    </row>
    <row r="8" spans="1:38" ht="31.95" customHeight="1" x14ac:dyDescent="0.3">
      <c r="A8" s="167">
        <v>44062</v>
      </c>
      <c r="B8" s="184">
        <v>0.5553703703703704</v>
      </c>
      <c r="C8" s="48"/>
      <c r="D8" s="48"/>
      <c r="E8" s="48">
        <f>IF(I8=Categories!$E$4,VLOOKUP(H8,Categories!$A$4:$C$13,3,1),VLOOKUP(I8,Categories!$E$4:$G$24,3,1))</f>
        <v>45</v>
      </c>
      <c r="F8" s="48"/>
      <c r="G8" s="43">
        <v>1</v>
      </c>
      <c r="H8" s="49" t="s">
        <v>224</v>
      </c>
      <c r="I8" s="50" t="s">
        <v>2</v>
      </c>
      <c r="J8" s="51"/>
      <c r="K8" s="121">
        <v>2500</v>
      </c>
      <c r="L8" s="52" t="s">
        <v>0</v>
      </c>
      <c r="M8" s="53" t="str">
        <f>IFERROR(VLOOKUP(VLOOKUP(O8,O8,1,1),Categories!$K$4:$V$17,2+VLOOKUP(L8,L8,1,1)),"-"  )</f>
        <v>-</v>
      </c>
      <c r="N8" s="53" t="str">
        <f>IFERROR(VLOOKUP(VLOOKUP(O8,O8,1,1),Categories!$K$3:$V$17,7+VLOOKUP(L8,L8,1,1)),"-")</f>
        <v>-</v>
      </c>
      <c r="O8" s="54" t="s">
        <v>0</v>
      </c>
      <c r="P8" s="176" t="s">
        <v>0</v>
      </c>
      <c r="Q8" s="180" t="s">
        <v>0</v>
      </c>
      <c r="R8" s="169"/>
      <c r="S8" s="169"/>
      <c r="T8" s="168"/>
      <c r="U8" s="169"/>
      <c r="V8" s="170"/>
      <c r="W8" s="170"/>
      <c r="X8" s="171"/>
      <c r="Y8" s="172"/>
      <c r="Z8" s="172"/>
      <c r="AA8" s="172"/>
      <c r="AB8" s="172"/>
      <c r="AC8" s="172"/>
      <c r="AD8" s="172"/>
      <c r="AE8" s="172"/>
      <c r="AF8" s="172"/>
      <c r="AG8" s="171"/>
      <c r="AH8" s="173"/>
      <c r="AI8" s="131"/>
      <c r="AJ8" s="55"/>
      <c r="AK8" s="55"/>
      <c r="AL8" s="55" t="s">
        <v>280</v>
      </c>
    </row>
    <row r="9" spans="1:38" ht="31.95" customHeight="1" x14ac:dyDescent="0.3">
      <c r="A9" s="167">
        <v>44062</v>
      </c>
      <c r="B9" s="184">
        <v>0.5559722222222222</v>
      </c>
      <c r="C9" s="48"/>
      <c r="D9" s="48"/>
      <c r="E9" s="48">
        <f>IF(I9=Categories!$E$4,VLOOKUP(H9,Categories!$A$4:$C$13,3,1),VLOOKUP(I9,Categories!$E$4:$G$24,3,1))</f>
        <v>120</v>
      </c>
      <c r="F9" s="48"/>
      <c r="G9" s="43">
        <v>1</v>
      </c>
      <c r="H9" s="49" t="s">
        <v>44</v>
      </c>
      <c r="I9" s="50" t="s">
        <v>0</v>
      </c>
      <c r="J9" s="51"/>
      <c r="K9" s="121">
        <v>2500</v>
      </c>
      <c r="L9" s="52" t="s">
        <v>0</v>
      </c>
      <c r="M9" s="53" t="str">
        <f>IFERROR(VLOOKUP(VLOOKUP(O9,O9,1,1),Categories!$K$4:$V$17,2+VLOOKUP(L9,L9,1,1)),"-"  )</f>
        <v>-</v>
      </c>
      <c r="N9" s="53" t="str">
        <f>IFERROR(VLOOKUP(VLOOKUP(O9,O9,1,1),Categories!$K$3:$V$17,7+VLOOKUP(L9,L9,1,1)),"-")</f>
        <v>-</v>
      </c>
      <c r="O9" s="54" t="s">
        <v>0</v>
      </c>
      <c r="P9" s="176" t="s">
        <v>0</v>
      </c>
      <c r="Q9" s="180" t="s">
        <v>0</v>
      </c>
      <c r="R9" s="169"/>
      <c r="S9" s="169"/>
      <c r="T9" s="168"/>
      <c r="U9" s="132"/>
      <c r="V9" s="170">
        <v>3.9</v>
      </c>
      <c r="W9" s="170">
        <v>2.9</v>
      </c>
      <c r="X9" s="171">
        <v>5.68</v>
      </c>
      <c r="Y9" s="172"/>
      <c r="Z9" s="172"/>
      <c r="AA9" s="172"/>
      <c r="AB9" s="172"/>
      <c r="AC9" s="172"/>
      <c r="AD9" s="172"/>
      <c r="AE9" s="172"/>
      <c r="AF9" s="172"/>
      <c r="AG9" s="171"/>
      <c r="AH9" s="173"/>
      <c r="AI9" s="131"/>
      <c r="AJ9" s="55"/>
      <c r="AK9" s="55"/>
      <c r="AL9" s="55" t="s">
        <v>278</v>
      </c>
    </row>
    <row r="10" spans="1:38" ht="31.95" customHeight="1" x14ac:dyDescent="0.3">
      <c r="A10" s="167">
        <v>44062</v>
      </c>
      <c r="B10" s="184">
        <v>0.55755787037037041</v>
      </c>
      <c r="C10" s="48"/>
      <c r="D10" s="48"/>
      <c r="E10" s="48">
        <f>IF(I10=Categories!$E$4,VLOOKUP(H10,Categories!$A$4:$C$13,3,1),VLOOKUP(I10,Categories!$E$4:$G$24,3,1))</f>
        <v>45</v>
      </c>
      <c r="F10" s="48"/>
      <c r="G10" s="43">
        <v>1</v>
      </c>
      <c r="H10" s="49" t="s">
        <v>224</v>
      </c>
      <c r="I10" s="50" t="s">
        <v>2</v>
      </c>
      <c r="J10" s="51"/>
      <c r="K10" s="121">
        <v>2200</v>
      </c>
      <c r="L10" s="52" t="s">
        <v>0</v>
      </c>
      <c r="M10" s="53" t="str">
        <f>IFERROR(VLOOKUP(VLOOKUP(O10,O10,1,1),Categories!$K$4:$V$17,2+VLOOKUP(L10,L10,1,1)),"-"  )</f>
        <v>-</v>
      </c>
      <c r="N10" s="53" t="str">
        <f>IFERROR(VLOOKUP(VLOOKUP(O10,O10,1,1),Categories!$K$3:$V$17,7+VLOOKUP(L10,L10,1,1)),"-")</f>
        <v>-</v>
      </c>
      <c r="O10" s="54" t="s">
        <v>0</v>
      </c>
      <c r="P10" s="176" t="s">
        <v>0</v>
      </c>
      <c r="Q10" s="180" t="s">
        <v>0</v>
      </c>
      <c r="R10" s="169"/>
      <c r="S10" s="169"/>
      <c r="T10" s="168"/>
      <c r="U10" s="132"/>
      <c r="V10" s="170"/>
      <c r="W10" s="170"/>
      <c r="X10" s="171"/>
      <c r="Y10" s="172"/>
      <c r="Z10" s="172"/>
      <c r="AA10" s="172"/>
      <c r="AB10" s="172"/>
      <c r="AC10" s="172"/>
      <c r="AD10" s="172"/>
      <c r="AE10" s="172"/>
      <c r="AF10" s="172"/>
      <c r="AG10" s="171"/>
      <c r="AH10" s="173"/>
      <c r="AI10" s="131"/>
      <c r="AJ10" s="55"/>
      <c r="AK10" s="55"/>
      <c r="AL10" s="55" t="s">
        <v>280</v>
      </c>
    </row>
    <row r="11" spans="1:38" ht="31.95" customHeight="1" x14ac:dyDescent="0.3">
      <c r="A11" s="167">
        <v>44062</v>
      </c>
      <c r="B11" s="184">
        <v>0.55815972222222221</v>
      </c>
      <c r="C11" s="48"/>
      <c r="D11" s="48"/>
      <c r="E11" s="48">
        <f>IF(I11=Categories!$E$4,VLOOKUP(H11,Categories!$A$4:$C$13,3,1),VLOOKUP(I11,Categories!$E$4:$G$24,3,1))</f>
        <v>120</v>
      </c>
      <c r="F11" s="48"/>
      <c r="G11" s="43">
        <v>1</v>
      </c>
      <c r="H11" s="49" t="s">
        <v>44</v>
      </c>
      <c r="I11" s="50" t="s">
        <v>0</v>
      </c>
      <c r="J11" s="51"/>
      <c r="K11" s="121">
        <v>2200</v>
      </c>
      <c r="L11" s="52" t="s">
        <v>0</v>
      </c>
      <c r="M11" s="53" t="str">
        <f>IFERROR(VLOOKUP(VLOOKUP(O11,O11,1,1),Categories!$K$4:$V$17,2+VLOOKUP(L11,L11,1,1)),"-"  )</f>
        <v>-</v>
      </c>
      <c r="N11" s="53" t="str">
        <f>IFERROR(VLOOKUP(VLOOKUP(O11,O11,1,1),Categories!$K$3:$V$17,7+VLOOKUP(L11,L11,1,1)),"-")</f>
        <v>-</v>
      </c>
      <c r="O11" s="54" t="s">
        <v>0</v>
      </c>
      <c r="P11" s="176" t="s">
        <v>0</v>
      </c>
      <c r="Q11" s="180" t="s">
        <v>0</v>
      </c>
      <c r="R11" s="169"/>
      <c r="S11" s="169"/>
      <c r="T11" s="168"/>
      <c r="U11" s="132"/>
      <c r="V11" s="170">
        <v>3.3</v>
      </c>
      <c r="W11" s="170">
        <v>2.1</v>
      </c>
      <c r="X11" s="171">
        <v>4.93</v>
      </c>
      <c r="Y11" s="172"/>
      <c r="Z11" s="172"/>
      <c r="AA11" s="172"/>
      <c r="AB11" s="172"/>
      <c r="AC11" s="172"/>
      <c r="AD11" s="172"/>
      <c r="AE11" s="172"/>
      <c r="AF11" s="172"/>
      <c r="AG11" s="171"/>
      <c r="AH11" s="173"/>
      <c r="AI11" s="131"/>
      <c r="AJ11" s="55"/>
      <c r="AK11" s="55"/>
      <c r="AL11" s="55" t="s">
        <v>279</v>
      </c>
    </row>
    <row r="12" spans="1:38" ht="31.95" customHeight="1" x14ac:dyDescent="0.3">
      <c r="A12" s="167">
        <v>44062</v>
      </c>
      <c r="B12" s="184">
        <v>0.55965277777777778</v>
      </c>
      <c r="C12" s="48"/>
      <c r="D12" s="48"/>
      <c r="E12" s="48" t="str">
        <f>IF(I12=Categories!$E$4,VLOOKUP(H12,Categories!$A$4:$C$13,3,1),VLOOKUP(I12,Categories!$E$4:$G$24,3,1))</f>
        <v>-</v>
      </c>
      <c r="F12" s="48"/>
      <c r="G12" s="43" t="s">
        <v>0</v>
      </c>
      <c r="H12" s="49" t="s">
        <v>224</v>
      </c>
      <c r="I12" s="50" t="s">
        <v>62</v>
      </c>
      <c r="J12" s="51"/>
      <c r="K12" s="121">
        <v>2200</v>
      </c>
      <c r="L12" s="52">
        <v>1</v>
      </c>
      <c r="M12" s="53">
        <v>0.99</v>
      </c>
      <c r="N12" s="53" t="s">
        <v>171</v>
      </c>
      <c r="O12" s="54" t="s">
        <v>197</v>
      </c>
      <c r="P12" s="176" t="s">
        <v>0</v>
      </c>
      <c r="Q12" s="180" t="s">
        <v>0</v>
      </c>
      <c r="R12" s="169"/>
      <c r="S12" s="169"/>
      <c r="T12" s="168"/>
      <c r="U12" s="169"/>
      <c r="V12" s="170"/>
      <c r="W12" s="170"/>
      <c r="X12" s="171"/>
      <c r="Y12" s="172"/>
      <c r="Z12" s="172"/>
      <c r="AA12" s="172"/>
      <c r="AB12" s="172"/>
      <c r="AC12" s="172"/>
      <c r="AD12" s="172"/>
      <c r="AE12" s="172"/>
      <c r="AF12" s="172"/>
      <c r="AG12" s="171"/>
      <c r="AH12" s="173"/>
      <c r="AI12" s="131"/>
      <c r="AJ12" s="55" t="s">
        <v>281</v>
      </c>
      <c r="AK12" s="55"/>
      <c r="AL12" s="55"/>
    </row>
    <row r="13" spans="1:38" ht="31.95" customHeight="1" x14ac:dyDescent="0.3">
      <c r="A13" s="167">
        <v>44062</v>
      </c>
      <c r="B13" s="184">
        <v>0.56125000000000003</v>
      </c>
      <c r="C13" s="48"/>
      <c r="D13" s="48"/>
      <c r="E13" s="48">
        <f>IF(I13=Categories!$E$4,VLOOKUP(H13,Categories!$A$4:$C$13,3,1),VLOOKUP(I13,Categories!$E$4:$G$24,3,1))</f>
        <v>120</v>
      </c>
      <c r="F13" s="48"/>
      <c r="G13" s="43">
        <v>2</v>
      </c>
      <c r="H13" s="49" t="s">
        <v>44</v>
      </c>
      <c r="I13" s="50" t="s">
        <v>0</v>
      </c>
      <c r="J13" s="51"/>
      <c r="K13" s="121">
        <v>2200</v>
      </c>
      <c r="L13" s="52">
        <v>1</v>
      </c>
      <c r="M13" s="53">
        <v>0.99</v>
      </c>
      <c r="N13" s="53" t="s">
        <v>171</v>
      </c>
      <c r="O13" s="54" t="s">
        <v>197</v>
      </c>
      <c r="P13" s="176" t="s">
        <v>0</v>
      </c>
      <c r="Q13" s="180" t="s">
        <v>0</v>
      </c>
      <c r="R13" s="169"/>
      <c r="S13" s="169"/>
      <c r="T13" s="168"/>
      <c r="U13" s="169"/>
      <c r="V13" s="170">
        <v>3.3</v>
      </c>
      <c r="W13" s="170">
        <v>2.1</v>
      </c>
      <c r="X13" s="171">
        <v>4.9000000000000004</v>
      </c>
      <c r="Y13" s="172"/>
      <c r="Z13" s="172"/>
      <c r="AA13" s="172"/>
      <c r="AB13" s="172"/>
      <c r="AC13" s="172"/>
      <c r="AD13" s="172"/>
      <c r="AE13" s="172"/>
      <c r="AF13" s="172"/>
      <c r="AG13" s="171"/>
      <c r="AH13" s="173"/>
      <c r="AI13" s="131"/>
      <c r="AJ13" s="55" t="s">
        <v>282</v>
      </c>
      <c r="AK13" s="55"/>
      <c r="AL13" s="55"/>
    </row>
    <row r="14" spans="1:38" ht="31.95" customHeight="1" x14ac:dyDescent="0.3">
      <c r="A14" s="167">
        <v>44062</v>
      </c>
      <c r="B14" s="184">
        <v>0.56270833333333337</v>
      </c>
      <c r="C14" s="48"/>
      <c r="D14" s="48"/>
      <c r="E14" s="48">
        <f>IF(I14=Categories!$E$4,VLOOKUP(H14,Categories!$A$4:$C$13,3,1),VLOOKUP(I14,Categories!$E$4:$G$24,3,1))</f>
        <v>45</v>
      </c>
      <c r="F14" s="48"/>
      <c r="G14" s="43">
        <v>2</v>
      </c>
      <c r="H14" s="49" t="s">
        <v>224</v>
      </c>
      <c r="I14" s="50" t="s">
        <v>230</v>
      </c>
      <c r="J14" s="51"/>
      <c r="K14" s="121">
        <v>2200</v>
      </c>
      <c r="L14" s="52">
        <v>2</v>
      </c>
      <c r="M14" s="53">
        <v>4</v>
      </c>
      <c r="N14" s="53" t="s">
        <v>198</v>
      </c>
      <c r="O14" s="54" t="s">
        <v>197</v>
      </c>
      <c r="P14" s="176" t="s">
        <v>0</v>
      </c>
      <c r="Q14" s="180" t="s">
        <v>0</v>
      </c>
      <c r="R14" s="169"/>
      <c r="S14" s="169"/>
      <c r="T14" s="168"/>
      <c r="U14" s="169"/>
      <c r="V14" s="170"/>
      <c r="W14" s="170"/>
      <c r="X14" s="171"/>
      <c r="Y14" s="172"/>
      <c r="Z14" s="172"/>
      <c r="AA14" s="172"/>
      <c r="AB14" s="172"/>
      <c r="AC14" s="172"/>
      <c r="AD14" s="172"/>
      <c r="AE14" s="172"/>
      <c r="AF14" s="172"/>
      <c r="AG14" s="171"/>
      <c r="AH14" s="173"/>
      <c r="AI14" s="131"/>
      <c r="AJ14" s="55"/>
      <c r="AK14" s="55"/>
      <c r="AL14" s="55"/>
    </row>
    <row r="15" spans="1:38" ht="31.95" customHeight="1" x14ac:dyDescent="0.3">
      <c r="A15" s="12">
        <v>44062</v>
      </c>
      <c r="B15" s="183">
        <v>0.56322916666666667</v>
      </c>
      <c r="C15" s="48"/>
      <c r="D15" s="48"/>
      <c r="E15" s="48">
        <f>IF(I15=Categories!$E$4,VLOOKUP(H15,Categories!$A$4:$C$13,3,1),VLOOKUP(I15,Categories!$E$4:$G$24,3,1))</f>
        <v>120</v>
      </c>
      <c r="F15" s="48"/>
      <c r="G15" s="43">
        <v>2</v>
      </c>
      <c r="H15" s="49" t="s">
        <v>44</v>
      </c>
      <c r="I15" s="44" t="s">
        <v>0</v>
      </c>
      <c r="J15" s="51"/>
      <c r="K15" s="121">
        <v>2200</v>
      </c>
      <c r="L15" s="52">
        <v>2</v>
      </c>
      <c r="M15" s="53">
        <v>4</v>
      </c>
      <c r="N15" s="53" t="s">
        <v>198</v>
      </c>
      <c r="O15" s="54" t="s">
        <v>197</v>
      </c>
      <c r="P15" s="176" t="s">
        <v>0</v>
      </c>
      <c r="Q15" s="180" t="s">
        <v>0</v>
      </c>
      <c r="R15" s="132"/>
      <c r="S15" s="132"/>
      <c r="T15" s="139"/>
      <c r="U15" s="169"/>
      <c r="V15" s="135">
        <v>3.4</v>
      </c>
      <c r="W15" s="135">
        <v>2.1</v>
      </c>
      <c r="X15" s="136">
        <v>4.9000000000000004</v>
      </c>
      <c r="Y15" s="137"/>
      <c r="Z15" s="137"/>
      <c r="AA15" s="137"/>
      <c r="AB15" s="137"/>
      <c r="AC15" s="137"/>
      <c r="AD15" s="137"/>
      <c r="AE15" s="137"/>
      <c r="AF15" s="137"/>
      <c r="AG15" s="136"/>
      <c r="AH15" s="138"/>
      <c r="AI15" s="131"/>
      <c r="AJ15" s="47"/>
      <c r="AK15" s="55"/>
      <c r="AL15" s="55"/>
    </row>
    <row r="16" spans="1:38" ht="31.95" customHeight="1" x14ac:dyDescent="0.3">
      <c r="A16" s="12">
        <v>44062</v>
      </c>
      <c r="B16" s="183">
        <v>0.56545138888888891</v>
      </c>
      <c r="C16" s="48"/>
      <c r="D16" s="48"/>
      <c r="E16" s="48">
        <f>IF(I16=Categories!$E$4,VLOOKUP(H16,Categories!$A$4:$C$13,3,1),VLOOKUP(I16,Categories!$E$4:$G$24,3,1))</f>
        <v>45</v>
      </c>
      <c r="F16" s="48"/>
      <c r="G16" s="43">
        <v>2</v>
      </c>
      <c r="H16" s="49" t="s">
        <v>224</v>
      </c>
      <c r="I16" s="50" t="s">
        <v>230</v>
      </c>
      <c r="J16" s="51"/>
      <c r="K16" s="121">
        <v>2200</v>
      </c>
      <c r="L16" s="52">
        <v>3</v>
      </c>
      <c r="M16" s="53">
        <v>4.6399999999999997</v>
      </c>
      <c r="N16" s="53" t="s">
        <v>259</v>
      </c>
      <c r="O16" s="54" t="s">
        <v>197</v>
      </c>
      <c r="P16" s="176" t="s">
        <v>0</v>
      </c>
      <c r="Q16" s="180" t="s">
        <v>0</v>
      </c>
      <c r="R16" s="132"/>
      <c r="S16" s="132"/>
      <c r="T16" s="139"/>
      <c r="U16" s="169"/>
      <c r="V16" s="135"/>
      <c r="W16" s="135"/>
      <c r="X16" s="136"/>
      <c r="Y16" s="137"/>
      <c r="Z16" s="137"/>
      <c r="AA16" s="137"/>
      <c r="AB16" s="137"/>
      <c r="AC16" s="137"/>
      <c r="AD16" s="137"/>
      <c r="AE16" s="137"/>
      <c r="AF16" s="137"/>
      <c r="AG16" s="136"/>
      <c r="AH16" s="138"/>
      <c r="AI16" s="131"/>
      <c r="AJ16" s="47"/>
      <c r="AK16" s="55"/>
      <c r="AL16" s="55"/>
    </row>
    <row r="17" spans="1:38" ht="31.95" customHeight="1" x14ac:dyDescent="0.3">
      <c r="A17" s="12">
        <v>44062</v>
      </c>
      <c r="B17" s="183">
        <v>0.5659953703703704</v>
      </c>
      <c r="C17" s="48"/>
      <c r="D17" s="48"/>
      <c r="E17" s="48">
        <f>IF(I17=Categories!$E$4,VLOOKUP(H17,Categories!$A$4:$C$13,3,1),VLOOKUP(I17,Categories!$E$4:$G$24,3,1))</f>
        <v>120</v>
      </c>
      <c r="F17" s="48"/>
      <c r="G17" s="43">
        <v>2</v>
      </c>
      <c r="H17" s="49" t="s">
        <v>44</v>
      </c>
      <c r="I17" s="44" t="s">
        <v>0</v>
      </c>
      <c r="J17" s="51"/>
      <c r="K17" s="121">
        <v>2200</v>
      </c>
      <c r="L17" s="52">
        <v>3</v>
      </c>
      <c r="M17" s="53">
        <v>4.6399999999999997</v>
      </c>
      <c r="N17" s="53" t="s">
        <v>259</v>
      </c>
      <c r="O17" s="54" t="s">
        <v>197</v>
      </c>
      <c r="P17" s="176" t="s">
        <v>0</v>
      </c>
      <c r="Q17" s="180" t="s">
        <v>0</v>
      </c>
      <c r="R17" s="132"/>
      <c r="S17" s="132"/>
      <c r="T17" s="139"/>
      <c r="U17" s="169"/>
      <c r="V17" s="135">
        <v>3.3</v>
      </c>
      <c r="W17" s="135">
        <v>2.1</v>
      </c>
      <c r="X17" s="136">
        <v>4.9000000000000004</v>
      </c>
      <c r="Y17" s="137"/>
      <c r="Z17" s="137"/>
      <c r="AA17" s="137"/>
      <c r="AB17" s="137"/>
      <c r="AC17" s="137"/>
      <c r="AD17" s="137"/>
      <c r="AE17" s="137"/>
      <c r="AF17" s="137"/>
      <c r="AG17" s="136"/>
      <c r="AH17" s="138"/>
      <c r="AI17" s="131"/>
      <c r="AJ17" s="47"/>
      <c r="AK17" s="55"/>
      <c r="AL17" s="55"/>
    </row>
    <row r="18" spans="1:38" ht="31.95" customHeight="1" x14ac:dyDescent="0.3">
      <c r="A18" s="12">
        <v>44062</v>
      </c>
      <c r="B18" s="183">
        <v>0.56773148148148145</v>
      </c>
      <c r="C18" s="48"/>
      <c r="D18" s="48"/>
      <c r="E18" s="48">
        <f>IF(I18=Categories!$E$4,VLOOKUP(H18,Categories!$A$4:$C$13,3,1),VLOOKUP(I18,Categories!$E$4:$G$24,3,1))</f>
        <v>45</v>
      </c>
      <c r="F18" s="48"/>
      <c r="G18" s="43">
        <v>2</v>
      </c>
      <c r="H18" s="49" t="s">
        <v>224</v>
      </c>
      <c r="I18" s="50" t="s">
        <v>231</v>
      </c>
      <c r="J18" s="51"/>
      <c r="K18" s="121">
        <v>2200</v>
      </c>
      <c r="L18" s="52">
        <v>1</v>
      </c>
      <c r="M18" s="53">
        <v>0.99</v>
      </c>
      <c r="N18" s="53" t="s">
        <v>171</v>
      </c>
      <c r="O18" s="54" t="s">
        <v>197</v>
      </c>
      <c r="P18" s="176" t="s">
        <v>0</v>
      </c>
      <c r="Q18" s="180" t="s">
        <v>0</v>
      </c>
      <c r="R18" s="132"/>
      <c r="S18" s="132"/>
      <c r="T18" s="139"/>
      <c r="U18" s="169"/>
      <c r="V18" s="135"/>
      <c r="W18" s="135"/>
      <c r="X18" s="136"/>
      <c r="Y18" s="137"/>
      <c r="Z18" s="137"/>
      <c r="AA18" s="137"/>
      <c r="AB18" s="137"/>
      <c r="AC18" s="137"/>
      <c r="AD18" s="137"/>
      <c r="AE18" s="137"/>
      <c r="AF18" s="137"/>
      <c r="AG18" s="136"/>
      <c r="AH18" s="138"/>
      <c r="AI18" s="131"/>
      <c r="AJ18" s="47"/>
      <c r="AK18" s="55"/>
      <c r="AL18" s="55"/>
    </row>
    <row r="19" spans="1:38" ht="31.95" customHeight="1" x14ac:dyDescent="0.3">
      <c r="A19" s="12">
        <v>44062</v>
      </c>
      <c r="B19" s="183">
        <v>0.56839120370370366</v>
      </c>
      <c r="C19" s="48"/>
      <c r="D19" s="48"/>
      <c r="E19" s="48">
        <f>IF(I19=Categories!$E$4,VLOOKUP(H19,Categories!$A$4:$C$13,3,1),VLOOKUP(I19,Categories!$E$4:$G$24,3,1))</f>
        <v>120</v>
      </c>
      <c r="F19" s="48"/>
      <c r="G19" s="43">
        <v>2</v>
      </c>
      <c r="H19" s="49" t="s">
        <v>228</v>
      </c>
      <c r="I19" s="44" t="s">
        <v>0</v>
      </c>
      <c r="J19" s="51"/>
      <c r="K19" s="121">
        <v>2200</v>
      </c>
      <c r="L19" s="52">
        <v>1</v>
      </c>
      <c r="M19" s="53">
        <v>0.99</v>
      </c>
      <c r="N19" s="53" t="s">
        <v>171</v>
      </c>
      <c r="O19" s="54" t="s">
        <v>197</v>
      </c>
      <c r="P19" s="176" t="s">
        <v>0</v>
      </c>
      <c r="Q19" s="180" t="s">
        <v>0</v>
      </c>
      <c r="R19" s="132"/>
      <c r="S19" s="132"/>
      <c r="T19" s="139"/>
      <c r="U19" s="169"/>
      <c r="V19" s="135">
        <v>3.3</v>
      </c>
      <c r="W19" s="135">
        <v>2.1</v>
      </c>
      <c r="X19" s="136">
        <v>4.8899999999999997</v>
      </c>
      <c r="Y19" s="137"/>
      <c r="Z19" s="137"/>
      <c r="AA19" s="137"/>
      <c r="AB19" s="137"/>
      <c r="AC19" s="137"/>
      <c r="AD19" s="137"/>
      <c r="AE19" s="137"/>
      <c r="AF19" s="137"/>
      <c r="AG19" s="136"/>
      <c r="AH19" s="138"/>
      <c r="AI19" s="131"/>
      <c r="AJ19" s="47"/>
      <c r="AK19" s="55"/>
      <c r="AL19" s="55"/>
    </row>
    <row r="20" spans="1:38" ht="31.95" customHeight="1" x14ac:dyDescent="0.3">
      <c r="A20" s="12">
        <v>44062</v>
      </c>
      <c r="B20" s="183">
        <v>0.56981481481481489</v>
      </c>
      <c r="C20" s="48"/>
      <c r="D20" s="48"/>
      <c r="E20" s="48">
        <f>IF(I20=Categories!$E$4,VLOOKUP(H20,Categories!$A$4:$C$13,3,1),VLOOKUP(I20,Categories!$E$4:$G$24,3,1))</f>
        <v>45</v>
      </c>
      <c r="F20" s="48"/>
      <c r="G20" s="43" t="s">
        <v>0</v>
      </c>
      <c r="H20" s="49" t="s">
        <v>224</v>
      </c>
      <c r="I20" s="50" t="s">
        <v>2</v>
      </c>
      <c r="J20" s="51"/>
      <c r="K20" s="121">
        <v>2500</v>
      </c>
      <c r="L20" s="52">
        <v>1</v>
      </c>
      <c r="M20" s="53">
        <v>0.99</v>
      </c>
      <c r="N20" s="53" t="s">
        <v>171</v>
      </c>
      <c r="O20" s="54" t="s">
        <v>197</v>
      </c>
      <c r="P20" s="176" t="s">
        <v>0</v>
      </c>
      <c r="Q20" s="180" t="s">
        <v>0</v>
      </c>
      <c r="R20" s="132"/>
      <c r="S20" s="132"/>
      <c r="T20" s="139"/>
      <c r="U20" s="169"/>
      <c r="V20" s="135"/>
      <c r="W20" s="135"/>
      <c r="X20" s="136"/>
      <c r="Y20" s="137"/>
      <c r="Z20" s="137"/>
      <c r="AA20" s="137"/>
      <c r="AB20" s="137"/>
      <c r="AC20" s="137"/>
      <c r="AD20" s="137"/>
      <c r="AE20" s="137"/>
      <c r="AF20" s="137"/>
      <c r="AG20" s="136"/>
      <c r="AH20" s="138"/>
      <c r="AI20" s="131" t="s">
        <v>234</v>
      </c>
      <c r="AJ20" s="55" t="s">
        <v>283</v>
      </c>
      <c r="AK20" s="55"/>
      <c r="AL20" s="55"/>
    </row>
    <row r="21" spans="1:38" ht="31.95" customHeight="1" x14ac:dyDescent="0.3">
      <c r="A21" s="167">
        <v>44062</v>
      </c>
      <c r="B21" s="186">
        <v>0.57275462962962964</v>
      </c>
      <c r="C21" s="48"/>
      <c r="D21" s="48"/>
      <c r="E21" s="48">
        <f>IF(I21=Categories!$E$4,VLOOKUP(H21,Categories!$A$4:$C$13,3,1),VLOOKUP(I21,Categories!$E$4:$G$24,3,1))</f>
        <v>120</v>
      </c>
      <c r="F21" s="48"/>
      <c r="G21" s="43">
        <v>3</v>
      </c>
      <c r="H21" s="49" t="s">
        <v>44</v>
      </c>
      <c r="I21" s="50" t="s">
        <v>0</v>
      </c>
      <c r="J21" s="51"/>
      <c r="K21" s="121">
        <v>2500</v>
      </c>
      <c r="L21" s="52">
        <v>1</v>
      </c>
      <c r="M21" s="53">
        <v>0.99</v>
      </c>
      <c r="N21" s="53" t="s">
        <v>171</v>
      </c>
      <c r="O21" s="54" t="s">
        <v>197</v>
      </c>
      <c r="P21" s="176" t="s">
        <v>0</v>
      </c>
      <c r="Q21" s="180" t="s">
        <v>0</v>
      </c>
      <c r="R21" s="169"/>
      <c r="S21" s="169"/>
      <c r="T21" s="168"/>
      <c r="U21" s="169"/>
      <c r="V21" s="170">
        <v>3.9</v>
      </c>
      <c r="W21" s="170">
        <v>2.9</v>
      </c>
      <c r="X21" s="171">
        <v>5.62</v>
      </c>
      <c r="Y21" s="172"/>
      <c r="Z21" s="172"/>
      <c r="AA21" s="172"/>
      <c r="AB21" s="172"/>
      <c r="AC21" s="172"/>
      <c r="AD21" s="172"/>
      <c r="AE21" s="172"/>
      <c r="AF21" s="172"/>
      <c r="AG21" s="171"/>
      <c r="AH21" s="173"/>
      <c r="AI21" s="131"/>
      <c r="AJ21" s="55"/>
      <c r="AK21" s="55"/>
      <c r="AL21" s="55"/>
    </row>
    <row r="22" spans="1:38" ht="31.95" customHeight="1" x14ac:dyDescent="0.3">
      <c r="A22" s="167">
        <v>44062</v>
      </c>
      <c r="B22" s="186">
        <v>0.57417824074074075</v>
      </c>
      <c r="C22" s="48"/>
      <c r="D22" s="48"/>
      <c r="E22" s="48">
        <f>IF(I22=Categories!$E$4,VLOOKUP(H22,Categories!$A$4:$C$13,3,1),VLOOKUP(I22,Categories!$E$4:$G$24,3,1))</f>
        <v>45</v>
      </c>
      <c r="F22" s="48"/>
      <c r="G22" s="43">
        <v>3</v>
      </c>
      <c r="H22" s="49" t="s">
        <v>224</v>
      </c>
      <c r="I22" s="50" t="s">
        <v>230</v>
      </c>
      <c r="J22" s="51"/>
      <c r="K22" s="121">
        <v>2500</v>
      </c>
      <c r="L22" s="52">
        <v>2</v>
      </c>
      <c r="M22" s="53">
        <v>4</v>
      </c>
      <c r="N22" s="53" t="s">
        <v>198</v>
      </c>
      <c r="O22" s="54" t="s">
        <v>197</v>
      </c>
      <c r="P22" s="176" t="s">
        <v>0</v>
      </c>
      <c r="Q22" s="180" t="s">
        <v>0</v>
      </c>
      <c r="R22" s="169"/>
      <c r="S22" s="169"/>
      <c r="T22" s="168"/>
      <c r="U22" s="169"/>
      <c r="V22" s="170"/>
      <c r="W22" s="170"/>
      <c r="X22" s="171"/>
      <c r="Y22" s="172"/>
      <c r="Z22" s="172"/>
      <c r="AA22" s="172"/>
      <c r="AB22" s="172"/>
      <c r="AC22" s="172"/>
      <c r="AD22" s="172"/>
      <c r="AE22" s="172"/>
      <c r="AF22" s="172"/>
      <c r="AG22" s="171"/>
      <c r="AH22" s="173"/>
      <c r="AI22" s="131"/>
      <c r="AJ22" s="55" t="s">
        <v>286</v>
      </c>
      <c r="AK22" s="55"/>
      <c r="AL22" s="55"/>
    </row>
    <row r="23" spans="1:38" ht="31.95" customHeight="1" x14ac:dyDescent="0.3">
      <c r="A23" s="12">
        <v>44062</v>
      </c>
      <c r="B23" s="187">
        <v>0.57471064814814821</v>
      </c>
      <c r="C23" s="48"/>
      <c r="D23" s="48"/>
      <c r="E23" s="48">
        <f>IF(I23=Categories!$E$4,VLOOKUP(H23,Categories!$A$4:$C$13,3,1),VLOOKUP(I23,Categories!$E$4:$G$24,3,1))</f>
        <v>120</v>
      </c>
      <c r="F23" s="48"/>
      <c r="G23" s="43">
        <v>3</v>
      </c>
      <c r="H23" s="49" t="s">
        <v>44</v>
      </c>
      <c r="I23" s="44" t="s">
        <v>0</v>
      </c>
      <c r="J23" s="51"/>
      <c r="K23" s="121">
        <v>2500</v>
      </c>
      <c r="L23" s="52">
        <v>2</v>
      </c>
      <c r="M23" s="53">
        <v>4</v>
      </c>
      <c r="N23" s="53" t="s">
        <v>198</v>
      </c>
      <c r="O23" s="54" t="s">
        <v>197</v>
      </c>
      <c r="P23" s="176" t="s">
        <v>0</v>
      </c>
      <c r="Q23" s="180" t="s">
        <v>0</v>
      </c>
      <c r="R23" s="132"/>
      <c r="S23" s="132"/>
      <c r="T23" s="139"/>
      <c r="U23" s="169"/>
      <c r="V23" s="135">
        <v>3.9</v>
      </c>
      <c r="W23" s="135">
        <v>2.9</v>
      </c>
      <c r="X23" s="136">
        <v>5.62</v>
      </c>
      <c r="Y23" s="137"/>
      <c r="Z23" s="137"/>
      <c r="AA23" s="137"/>
      <c r="AB23" s="137"/>
      <c r="AC23" s="137"/>
      <c r="AD23" s="137"/>
      <c r="AE23" s="137"/>
      <c r="AF23" s="137"/>
      <c r="AG23" s="136"/>
      <c r="AH23" s="138"/>
      <c r="AI23" s="131"/>
      <c r="AJ23" s="55"/>
      <c r="AK23" s="55"/>
      <c r="AL23" s="55"/>
    </row>
    <row r="24" spans="1:38" ht="31.95" customHeight="1" x14ac:dyDescent="0.3">
      <c r="A24" s="12">
        <v>44062</v>
      </c>
      <c r="B24" s="187">
        <v>0.5761574074074074</v>
      </c>
      <c r="C24" s="48"/>
      <c r="D24" s="48"/>
      <c r="E24" s="48">
        <f>IF(I24=Categories!$E$4,VLOOKUP(H24,Categories!$A$4:$C$13,3,1),VLOOKUP(I24,Categories!$E$4:$G$24,3,1))</f>
        <v>45</v>
      </c>
      <c r="F24" s="48"/>
      <c r="G24" s="43">
        <v>3</v>
      </c>
      <c r="H24" s="49" t="s">
        <v>224</v>
      </c>
      <c r="I24" s="50" t="s">
        <v>230</v>
      </c>
      <c r="J24" s="51"/>
      <c r="K24" s="121">
        <v>2500</v>
      </c>
      <c r="L24" s="52">
        <v>3</v>
      </c>
      <c r="M24" s="53">
        <v>4.6399999999999997</v>
      </c>
      <c r="N24" s="53" t="s">
        <v>259</v>
      </c>
      <c r="O24" s="54" t="s">
        <v>197</v>
      </c>
      <c r="P24" s="176" t="s">
        <v>0</v>
      </c>
      <c r="Q24" s="180" t="s">
        <v>0</v>
      </c>
      <c r="R24" s="132"/>
      <c r="S24" s="132"/>
      <c r="T24" s="139"/>
      <c r="U24" s="169"/>
      <c r="V24" s="135"/>
      <c r="W24" s="135"/>
      <c r="X24" s="136"/>
      <c r="Y24" s="137"/>
      <c r="Z24" s="137"/>
      <c r="AA24" s="137"/>
      <c r="AB24" s="137"/>
      <c r="AC24" s="137"/>
      <c r="AD24" s="137"/>
      <c r="AE24" s="137"/>
      <c r="AF24" s="137"/>
      <c r="AG24" s="136"/>
      <c r="AH24" s="138"/>
      <c r="AI24" s="131"/>
      <c r="AJ24" s="47"/>
      <c r="AK24" s="55"/>
      <c r="AL24" s="55"/>
    </row>
    <row r="25" spans="1:38" ht="31.95" customHeight="1" x14ac:dyDescent="0.3">
      <c r="A25" s="12">
        <v>44062</v>
      </c>
      <c r="B25" s="187">
        <v>0.57674768518518515</v>
      </c>
      <c r="C25" s="48"/>
      <c r="D25" s="48"/>
      <c r="E25" s="48">
        <f>IF(I25=Categories!$E$4,VLOOKUP(H25,Categories!$A$4:$C$13,3,1),VLOOKUP(I25,Categories!$E$4:$G$24,3,1))</f>
        <v>120</v>
      </c>
      <c r="F25" s="48"/>
      <c r="G25" s="43">
        <v>3</v>
      </c>
      <c r="H25" s="49" t="s">
        <v>44</v>
      </c>
      <c r="I25" s="44" t="s">
        <v>0</v>
      </c>
      <c r="J25" s="51"/>
      <c r="K25" s="121">
        <v>2500</v>
      </c>
      <c r="L25" s="52">
        <v>3</v>
      </c>
      <c r="M25" s="53">
        <v>4.6399999999999997</v>
      </c>
      <c r="N25" s="53" t="s">
        <v>259</v>
      </c>
      <c r="O25" s="54" t="s">
        <v>197</v>
      </c>
      <c r="P25" s="176" t="s">
        <v>0</v>
      </c>
      <c r="Q25" s="180" t="s">
        <v>0</v>
      </c>
      <c r="R25" s="132"/>
      <c r="S25" s="132"/>
      <c r="T25" s="139"/>
      <c r="U25" s="169"/>
      <c r="V25" s="135">
        <v>4</v>
      </c>
      <c r="W25" s="135">
        <v>2.9</v>
      </c>
      <c r="X25" s="136">
        <v>5.62</v>
      </c>
      <c r="Y25" s="137"/>
      <c r="Z25" s="137"/>
      <c r="AA25" s="137"/>
      <c r="AB25" s="137"/>
      <c r="AC25" s="137"/>
      <c r="AD25" s="137"/>
      <c r="AE25" s="137"/>
      <c r="AF25" s="137"/>
      <c r="AG25" s="136"/>
      <c r="AH25" s="138"/>
      <c r="AI25" s="131"/>
      <c r="AJ25" s="47"/>
      <c r="AK25" s="55"/>
      <c r="AL25" s="55"/>
    </row>
    <row r="26" spans="1:38" ht="31.95" customHeight="1" x14ac:dyDescent="0.3">
      <c r="A26" s="12">
        <v>44062</v>
      </c>
      <c r="B26" s="187">
        <v>0.57857638888888896</v>
      </c>
      <c r="C26" s="48"/>
      <c r="D26" s="48"/>
      <c r="E26" s="48">
        <f>IF(I26=Categories!$E$4,VLOOKUP(H26,Categories!$A$4:$C$13,3,1),VLOOKUP(I26,Categories!$E$4:$G$24,3,1))</f>
        <v>45</v>
      </c>
      <c r="F26" s="48"/>
      <c r="G26" s="43">
        <v>3</v>
      </c>
      <c r="H26" s="49" t="s">
        <v>224</v>
      </c>
      <c r="I26" s="50" t="s">
        <v>231</v>
      </c>
      <c r="J26" s="51"/>
      <c r="K26" s="121">
        <v>2500</v>
      </c>
      <c r="L26" s="52">
        <v>1</v>
      </c>
      <c r="M26" s="53">
        <v>0.99</v>
      </c>
      <c r="N26" s="53" t="s">
        <v>171</v>
      </c>
      <c r="O26" s="54" t="s">
        <v>197</v>
      </c>
      <c r="P26" s="176" t="s">
        <v>0</v>
      </c>
      <c r="Q26" s="180" t="s">
        <v>0</v>
      </c>
      <c r="R26" s="132"/>
      <c r="S26" s="132"/>
      <c r="T26" s="139"/>
      <c r="U26" s="169"/>
      <c r="V26" s="135"/>
      <c r="W26" s="135"/>
      <c r="X26" s="136"/>
      <c r="Y26" s="137"/>
      <c r="Z26" s="137"/>
      <c r="AA26" s="137"/>
      <c r="AB26" s="137"/>
      <c r="AC26" s="137"/>
      <c r="AD26" s="137"/>
      <c r="AE26" s="137"/>
      <c r="AF26" s="137"/>
      <c r="AG26" s="136"/>
      <c r="AH26" s="138"/>
      <c r="AI26" s="131"/>
      <c r="AJ26" s="47"/>
      <c r="AK26" s="55"/>
      <c r="AL26" s="55"/>
    </row>
    <row r="27" spans="1:38" ht="31.95" customHeight="1" x14ac:dyDescent="0.3">
      <c r="A27" s="12">
        <v>44062</v>
      </c>
      <c r="B27" s="187">
        <v>0.57914351851851853</v>
      </c>
      <c r="C27" s="48"/>
      <c r="D27" s="48"/>
      <c r="E27" s="48">
        <f>IF(I27=Categories!$E$4,VLOOKUP(H27,Categories!$A$4:$C$13,3,1),VLOOKUP(I27,Categories!$E$4:$G$24,3,1))</f>
        <v>120</v>
      </c>
      <c r="F27" s="48"/>
      <c r="G27" s="43">
        <v>3</v>
      </c>
      <c r="H27" s="49" t="s">
        <v>228</v>
      </c>
      <c r="I27" s="44" t="s">
        <v>0</v>
      </c>
      <c r="J27" s="51"/>
      <c r="K27" s="121">
        <v>2500</v>
      </c>
      <c r="L27" s="52">
        <v>1</v>
      </c>
      <c r="M27" s="53">
        <v>0.99</v>
      </c>
      <c r="N27" s="53" t="s">
        <v>171</v>
      </c>
      <c r="O27" s="54" t="s">
        <v>197</v>
      </c>
      <c r="P27" s="176" t="s">
        <v>0</v>
      </c>
      <c r="Q27" s="180" t="s">
        <v>0</v>
      </c>
      <c r="R27" s="132"/>
      <c r="S27" s="132"/>
      <c r="T27" s="139"/>
      <c r="U27" s="169"/>
      <c r="V27" s="135">
        <v>4</v>
      </c>
      <c r="W27" s="135">
        <v>2.9</v>
      </c>
      <c r="X27" s="136">
        <v>5.63</v>
      </c>
      <c r="Y27" s="137"/>
      <c r="Z27" s="137"/>
      <c r="AA27" s="137"/>
      <c r="AB27" s="137"/>
      <c r="AC27" s="137"/>
      <c r="AD27" s="137"/>
      <c r="AE27" s="137"/>
      <c r="AF27" s="137"/>
      <c r="AG27" s="136"/>
      <c r="AH27" s="138"/>
      <c r="AI27" s="131"/>
      <c r="AJ27" s="47"/>
      <c r="AK27" s="55"/>
      <c r="AL27" s="55"/>
    </row>
    <row r="28" spans="1:38" ht="31.95" customHeight="1" x14ac:dyDescent="0.3">
      <c r="A28" s="12">
        <v>44062</v>
      </c>
      <c r="B28" s="187">
        <v>0.58072916666666663</v>
      </c>
      <c r="C28" s="48"/>
      <c r="D28" s="48"/>
      <c r="E28" s="48">
        <f>IF(I28=Categories!$E$4,VLOOKUP(H28,Categories!$A$4:$C$13,3,1),VLOOKUP(I28,Categories!$E$4:$G$24,3,1))</f>
        <v>45</v>
      </c>
      <c r="F28" s="48"/>
      <c r="G28" s="43" t="s">
        <v>0</v>
      </c>
      <c r="H28" s="49" t="s">
        <v>224</v>
      </c>
      <c r="I28" s="50" t="s">
        <v>2</v>
      </c>
      <c r="J28" s="51"/>
      <c r="K28" s="121">
        <v>2800</v>
      </c>
      <c r="L28" s="52">
        <v>1</v>
      </c>
      <c r="M28" s="53">
        <v>0.99</v>
      </c>
      <c r="N28" s="53" t="s">
        <v>171</v>
      </c>
      <c r="O28" s="54" t="s">
        <v>197</v>
      </c>
      <c r="P28" s="176" t="s">
        <v>0</v>
      </c>
      <c r="Q28" s="180" t="s">
        <v>0</v>
      </c>
      <c r="R28" s="132"/>
      <c r="S28" s="132"/>
      <c r="T28" s="139"/>
      <c r="U28" s="169"/>
      <c r="V28" s="135"/>
      <c r="W28" s="135"/>
      <c r="X28" s="136"/>
      <c r="Y28" s="137"/>
      <c r="Z28" s="137"/>
      <c r="AA28" s="137"/>
      <c r="AB28" s="137"/>
      <c r="AC28" s="137"/>
      <c r="AD28" s="137"/>
      <c r="AE28" s="137"/>
      <c r="AF28" s="137"/>
      <c r="AG28" s="136"/>
      <c r="AH28" s="138"/>
      <c r="AI28" s="131"/>
      <c r="AJ28" s="47"/>
      <c r="AK28" s="55"/>
      <c r="AL28" s="55"/>
    </row>
    <row r="29" spans="1:38" ht="31.95" customHeight="1" x14ac:dyDescent="0.3">
      <c r="A29" s="167">
        <v>44062</v>
      </c>
      <c r="B29" s="186">
        <v>0.58148148148148149</v>
      </c>
      <c r="C29" s="48"/>
      <c r="D29" s="48"/>
      <c r="E29" s="48">
        <f>IF(I29=Categories!$E$4,VLOOKUP(H29,Categories!$A$4:$C$13,3,1),VLOOKUP(I29,Categories!$E$4:$G$24,3,1))</f>
        <v>120</v>
      </c>
      <c r="F29" s="48"/>
      <c r="G29" s="43">
        <v>4</v>
      </c>
      <c r="H29" s="49" t="s">
        <v>44</v>
      </c>
      <c r="I29" s="50" t="s">
        <v>0</v>
      </c>
      <c r="J29" s="51"/>
      <c r="K29" s="121">
        <v>2800</v>
      </c>
      <c r="L29" s="52">
        <v>1</v>
      </c>
      <c r="M29" s="53">
        <v>0.99</v>
      </c>
      <c r="N29" s="53" t="s">
        <v>171</v>
      </c>
      <c r="O29" s="54" t="s">
        <v>197</v>
      </c>
      <c r="P29" s="176" t="s">
        <v>0</v>
      </c>
      <c r="Q29" s="180" t="s">
        <v>0</v>
      </c>
      <c r="R29" s="169"/>
      <c r="S29" s="169"/>
      <c r="T29" s="168"/>
      <c r="U29" s="169"/>
      <c r="V29" s="170"/>
      <c r="W29" s="170"/>
      <c r="X29" s="171"/>
      <c r="Y29" s="172"/>
      <c r="Z29" s="172"/>
      <c r="AA29" s="172"/>
      <c r="AB29" s="172"/>
      <c r="AC29" s="172"/>
      <c r="AD29" s="172"/>
      <c r="AE29" s="172"/>
      <c r="AF29" s="172"/>
      <c r="AG29" s="171"/>
      <c r="AH29" s="173"/>
      <c r="AI29" s="131" t="s">
        <v>244</v>
      </c>
      <c r="AJ29" s="55" t="s">
        <v>285</v>
      </c>
      <c r="AK29" s="55"/>
      <c r="AL29" s="55"/>
    </row>
    <row r="30" spans="1:38" ht="31.95" customHeight="1" x14ac:dyDescent="0.3">
      <c r="A30" s="167">
        <v>44062</v>
      </c>
      <c r="B30" s="186">
        <v>0.58373842592592595</v>
      </c>
      <c r="C30" s="48"/>
      <c r="D30" s="48"/>
      <c r="E30" s="48">
        <f>IF(I30=Categories!$E$4,VLOOKUP(H30,Categories!$A$4:$C$13,3,1),VLOOKUP(I30,Categories!$E$4:$G$24,3,1))</f>
        <v>45</v>
      </c>
      <c r="F30" s="48"/>
      <c r="G30" s="43">
        <v>4</v>
      </c>
      <c r="H30" s="49" t="s">
        <v>224</v>
      </c>
      <c r="I30" s="50" t="s">
        <v>230</v>
      </c>
      <c r="J30" s="51"/>
      <c r="K30" s="121">
        <v>2800</v>
      </c>
      <c r="L30" s="52">
        <v>2</v>
      </c>
      <c r="M30" s="53">
        <v>4</v>
      </c>
      <c r="N30" s="53" t="s">
        <v>198</v>
      </c>
      <c r="O30" s="54" t="s">
        <v>197</v>
      </c>
      <c r="P30" s="176" t="s">
        <v>0</v>
      </c>
      <c r="Q30" s="180" t="s">
        <v>0</v>
      </c>
      <c r="R30" s="169"/>
      <c r="S30" s="169"/>
      <c r="T30" s="168"/>
      <c r="U30" s="169"/>
      <c r="V30" s="170"/>
      <c r="W30" s="170"/>
      <c r="X30" s="171"/>
      <c r="Y30" s="172"/>
      <c r="Z30" s="172"/>
      <c r="AA30" s="172"/>
      <c r="AB30" s="172"/>
      <c r="AC30" s="172"/>
      <c r="AD30" s="172"/>
      <c r="AE30" s="172"/>
      <c r="AF30" s="172"/>
      <c r="AG30" s="171"/>
      <c r="AH30" s="173"/>
      <c r="AI30" s="131"/>
      <c r="AJ30" s="55" t="s">
        <v>286</v>
      </c>
      <c r="AK30" s="55"/>
      <c r="AL30" s="55"/>
    </row>
    <row r="31" spans="1:38" ht="31.95" customHeight="1" x14ac:dyDescent="0.3">
      <c r="A31" s="12">
        <v>44062</v>
      </c>
      <c r="B31" s="187">
        <v>0.58444444444444443</v>
      </c>
      <c r="C31" s="48"/>
      <c r="D31" s="48"/>
      <c r="E31" s="48">
        <f>IF(I31=Categories!$E$4,VLOOKUP(H31,Categories!$A$4:$C$13,3,1),VLOOKUP(I31,Categories!$E$4:$G$24,3,1))</f>
        <v>120</v>
      </c>
      <c r="F31" s="48"/>
      <c r="G31" s="43">
        <v>4</v>
      </c>
      <c r="H31" s="49" t="s">
        <v>44</v>
      </c>
      <c r="I31" s="44" t="s">
        <v>0</v>
      </c>
      <c r="J31" s="51"/>
      <c r="K31" s="121">
        <v>2800</v>
      </c>
      <c r="L31" s="52">
        <v>2</v>
      </c>
      <c r="M31" s="53">
        <v>4</v>
      </c>
      <c r="N31" s="53" t="s">
        <v>198</v>
      </c>
      <c r="O31" s="54" t="s">
        <v>197</v>
      </c>
      <c r="P31" s="176" t="s">
        <v>0</v>
      </c>
      <c r="Q31" s="180" t="s">
        <v>0</v>
      </c>
      <c r="R31" s="132"/>
      <c r="S31" s="132"/>
      <c r="T31" s="139"/>
      <c r="U31" s="169"/>
      <c r="V31" s="135">
        <v>4.5</v>
      </c>
      <c r="W31" s="135">
        <v>4.0999999999999996</v>
      </c>
      <c r="X31" s="136">
        <v>6.35</v>
      </c>
      <c r="Y31" s="137"/>
      <c r="Z31" s="137"/>
      <c r="AA31" s="137"/>
      <c r="AB31" s="137"/>
      <c r="AC31" s="137"/>
      <c r="AD31" s="137"/>
      <c r="AE31" s="137"/>
      <c r="AF31" s="137"/>
      <c r="AG31" s="136"/>
      <c r="AH31" s="138"/>
      <c r="AI31" s="131" t="s">
        <v>244</v>
      </c>
      <c r="AJ31" s="47"/>
      <c r="AK31" s="55"/>
      <c r="AL31" s="55"/>
    </row>
    <row r="32" spans="1:38" ht="31.95" customHeight="1" x14ac:dyDescent="0.3">
      <c r="A32" s="12">
        <v>44062</v>
      </c>
      <c r="B32" s="187">
        <v>0.58667824074074071</v>
      </c>
      <c r="C32" s="48"/>
      <c r="D32" s="48"/>
      <c r="E32" s="48">
        <f>IF(I32=Categories!$E$4,VLOOKUP(H32,Categories!$A$4:$C$13,3,1),VLOOKUP(I32,Categories!$E$4:$G$24,3,1))</f>
        <v>45</v>
      </c>
      <c r="F32" s="48"/>
      <c r="G32" s="43">
        <v>4</v>
      </c>
      <c r="H32" s="49" t="s">
        <v>224</v>
      </c>
      <c r="I32" s="50" t="s">
        <v>230</v>
      </c>
      <c r="J32" s="51"/>
      <c r="K32" s="121">
        <v>2800</v>
      </c>
      <c r="L32" s="52">
        <v>3</v>
      </c>
      <c r="M32" s="53">
        <v>4.6399999999999997</v>
      </c>
      <c r="N32" s="53" t="s">
        <v>259</v>
      </c>
      <c r="O32" s="54" t="s">
        <v>197</v>
      </c>
      <c r="P32" s="176" t="s">
        <v>0</v>
      </c>
      <c r="Q32" s="180" t="s">
        <v>0</v>
      </c>
      <c r="R32" s="132"/>
      <c r="S32" s="132"/>
      <c r="T32" s="139"/>
      <c r="U32" s="169"/>
      <c r="V32" s="135"/>
      <c r="W32" s="135"/>
      <c r="X32" s="136"/>
      <c r="Y32" s="137"/>
      <c r="Z32" s="137"/>
      <c r="AA32" s="137"/>
      <c r="AB32" s="137"/>
      <c r="AC32" s="137"/>
      <c r="AD32" s="137"/>
      <c r="AE32" s="137"/>
      <c r="AF32" s="137"/>
      <c r="AG32" s="136"/>
      <c r="AH32" s="138"/>
      <c r="AI32" s="131"/>
      <c r="AJ32" s="47"/>
      <c r="AK32" s="55"/>
      <c r="AL32" s="55"/>
    </row>
    <row r="33" spans="1:38" ht="31.95" customHeight="1" x14ac:dyDescent="0.3">
      <c r="A33" s="12">
        <v>44062</v>
      </c>
      <c r="B33" s="187">
        <v>0.58726851851851858</v>
      </c>
      <c r="C33" s="48"/>
      <c r="D33" s="48"/>
      <c r="E33" s="48">
        <f>IF(I33=Categories!$E$4,VLOOKUP(H33,Categories!$A$4:$C$13,3,1),VLOOKUP(I33,Categories!$E$4:$G$24,3,1))</f>
        <v>120</v>
      </c>
      <c r="F33" s="48"/>
      <c r="G33" s="43">
        <v>4</v>
      </c>
      <c r="H33" s="49" t="s">
        <v>44</v>
      </c>
      <c r="I33" s="44" t="s">
        <v>0</v>
      </c>
      <c r="J33" s="51"/>
      <c r="K33" s="121">
        <v>2800</v>
      </c>
      <c r="L33" s="52">
        <v>3</v>
      </c>
      <c r="M33" s="53">
        <v>4.6399999999999997</v>
      </c>
      <c r="N33" s="53" t="s">
        <v>259</v>
      </c>
      <c r="O33" s="54" t="s">
        <v>197</v>
      </c>
      <c r="P33" s="176" t="s">
        <v>0</v>
      </c>
      <c r="Q33" s="180" t="s">
        <v>0</v>
      </c>
      <c r="R33" s="132"/>
      <c r="S33" s="132"/>
      <c r="T33" s="139"/>
      <c r="U33" s="169"/>
      <c r="V33" s="135">
        <v>4.5</v>
      </c>
      <c r="W33" s="135">
        <v>4.0999999999999996</v>
      </c>
      <c r="X33" s="136">
        <v>6.35</v>
      </c>
      <c r="Y33" s="137"/>
      <c r="Z33" s="137"/>
      <c r="AA33" s="137"/>
      <c r="AB33" s="137"/>
      <c r="AC33" s="137"/>
      <c r="AD33" s="137"/>
      <c r="AE33" s="137"/>
      <c r="AF33" s="137"/>
      <c r="AG33" s="136"/>
      <c r="AH33" s="138"/>
      <c r="AI33" s="131" t="s">
        <v>244</v>
      </c>
      <c r="AJ33" s="47"/>
      <c r="AK33" s="55"/>
      <c r="AL33" s="55"/>
    </row>
    <row r="34" spans="1:38" ht="31.95" customHeight="1" x14ac:dyDescent="0.3">
      <c r="A34" s="12">
        <v>44062</v>
      </c>
      <c r="B34" s="187">
        <v>0.58980324074074075</v>
      </c>
      <c r="C34" s="48"/>
      <c r="D34" s="48"/>
      <c r="E34" s="48">
        <f>IF(I34=Categories!$E$4,VLOOKUP(H34,Categories!$A$4:$C$13,3,1),VLOOKUP(I34,Categories!$E$4:$G$24,3,1))</f>
        <v>45</v>
      </c>
      <c r="F34" s="48"/>
      <c r="G34" s="43">
        <v>4</v>
      </c>
      <c r="H34" s="49" t="s">
        <v>224</v>
      </c>
      <c r="I34" s="50" t="s">
        <v>231</v>
      </c>
      <c r="J34" s="51"/>
      <c r="K34" s="121">
        <v>2800</v>
      </c>
      <c r="L34" s="52">
        <v>1</v>
      </c>
      <c r="M34" s="53">
        <v>0.99</v>
      </c>
      <c r="N34" s="53" t="s">
        <v>171</v>
      </c>
      <c r="O34" s="54" t="s">
        <v>197</v>
      </c>
      <c r="P34" s="176" t="s">
        <v>0</v>
      </c>
      <c r="Q34" s="180" t="s">
        <v>0</v>
      </c>
      <c r="R34" s="132"/>
      <c r="S34" s="132"/>
      <c r="T34" s="139"/>
      <c r="U34" s="169"/>
      <c r="V34" s="135"/>
      <c r="W34" s="135"/>
      <c r="X34" s="136"/>
      <c r="Y34" s="137"/>
      <c r="Z34" s="137"/>
      <c r="AA34" s="137"/>
      <c r="AB34" s="137"/>
      <c r="AC34" s="137"/>
      <c r="AD34" s="137"/>
      <c r="AE34" s="137"/>
      <c r="AF34" s="137"/>
      <c r="AG34" s="136"/>
      <c r="AH34" s="138"/>
      <c r="AI34" s="131"/>
      <c r="AJ34" s="47"/>
      <c r="AK34" s="55"/>
      <c r="AL34" s="55"/>
    </row>
    <row r="35" spans="1:38" ht="31.95" customHeight="1" x14ac:dyDescent="0.3">
      <c r="A35" s="12">
        <v>44062</v>
      </c>
      <c r="B35" s="187">
        <v>0.59033564814814821</v>
      </c>
      <c r="C35" s="48"/>
      <c r="D35" s="48"/>
      <c r="E35" s="48">
        <f>IF(I35=Categories!$E$4,VLOOKUP(H35,Categories!$A$4:$C$13,3,1),VLOOKUP(I35,Categories!$E$4:$G$24,3,1))</f>
        <v>120</v>
      </c>
      <c r="F35" s="48"/>
      <c r="G35" s="43">
        <v>4</v>
      </c>
      <c r="H35" s="49" t="s">
        <v>228</v>
      </c>
      <c r="I35" s="44" t="s">
        <v>0</v>
      </c>
      <c r="J35" s="51"/>
      <c r="K35" s="121">
        <v>2800</v>
      </c>
      <c r="L35" s="52">
        <v>1</v>
      </c>
      <c r="M35" s="53">
        <v>0.99</v>
      </c>
      <c r="N35" s="53" t="s">
        <v>171</v>
      </c>
      <c r="O35" s="54" t="s">
        <v>197</v>
      </c>
      <c r="P35" s="176" t="s">
        <v>0</v>
      </c>
      <c r="Q35" s="180" t="s">
        <v>0</v>
      </c>
      <c r="R35" s="132"/>
      <c r="S35" s="132"/>
      <c r="T35" s="139"/>
      <c r="U35" s="169"/>
      <c r="V35" s="135">
        <v>4.4000000000000004</v>
      </c>
      <c r="W35" s="135">
        <v>4.0999999999999996</v>
      </c>
      <c r="X35" s="136">
        <v>6.35</v>
      </c>
      <c r="Y35" s="137"/>
      <c r="Z35" s="137"/>
      <c r="AA35" s="137"/>
      <c r="AB35" s="137"/>
      <c r="AC35" s="137"/>
      <c r="AD35" s="137"/>
      <c r="AE35" s="137"/>
      <c r="AF35" s="137"/>
      <c r="AG35" s="136"/>
      <c r="AH35" s="138"/>
      <c r="AI35" s="131"/>
      <c r="AJ35" s="47" t="s">
        <v>284</v>
      </c>
      <c r="AK35" s="55"/>
      <c r="AL35" s="55"/>
    </row>
    <row r="36" spans="1:38" ht="31.95" customHeight="1" x14ac:dyDescent="0.3">
      <c r="A36" s="12">
        <v>44062</v>
      </c>
      <c r="B36" s="187">
        <v>0.5917824074074074</v>
      </c>
      <c r="C36" s="48"/>
      <c r="D36" s="48"/>
      <c r="E36" s="48">
        <f>IF(I36=Categories!$E$4,VLOOKUP(H36,Categories!$A$4:$C$13,3,1),VLOOKUP(I36,Categories!$E$4:$G$24,3,1))</f>
        <v>45</v>
      </c>
      <c r="F36" s="48"/>
      <c r="G36" s="43" t="s">
        <v>0</v>
      </c>
      <c r="H36" s="49" t="s">
        <v>224</v>
      </c>
      <c r="I36" s="50" t="s">
        <v>2</v>
      </c>
      <c r="J36" s="51"/>
      <c r="K36" s="121">
        <v>3100</v>
      </c>
      <c r="L36" s="52">
        <v>1</v>
      </c>
      <c r="M36" s="53">
        <v>0.99</v>
      </c>
      <c r="N36" s="53" t="s">
        <v>171</v>
      </c>
      <c r="O36" s="54" t="s">
        <v>197</v>
      </c>
      <c r="P36" s="176" t="s">
        <v>0</v>
      </c>
      <c r="Q36" s="180" t="s">
        <v>0</v>
      </c>
      <c r="R36" s="132"/>
      <c r="S36" s="132"/>
      <c r="T36" s="139"/>
      <c r="U36" s="169"/>
      <c r="V36" s="135"/>
      <c r="W36" s="135"/>
      <c r="X36" s="136"/>
      <c r="Y36" s="137"/>
      <c r="Z36" s="137"/>
      <c r="AA36" s="137"/>
      <c r="AB36" s="137"/>
      <c r="AC36" s="137"/>
      <c r="AD36" s="137"/>
      <c r="AE36" s="137"/>
      <c r="AF36" s="137"/>
      <c r="AG36" s="136"/>
      <c r="AH36" s="138"/>
      <c r="AI36" s="131"/>
      <c r="AJ36" s="47"/>
      <c r="AK36" s="55"/>
      <c r="AL36" s="55"/>
    </row>
    <row r="37" spans="1:38" ht="31.95" customHeight="1" x14ac:dyDescent="0.3">
      <c r="A37" s="167">
        <v>44062</v>
      </c>
      <c r="B37" s="186">
        <v>0.59244212962962961</v>
      </c>
      <c r="C37" s="48"/>
      <c r="D37" s="48"/>
      <c r="E37" s="48">
        <f>IF(I37=Categories!$E$4,VLOOKUP(H37,Categories!$A$4:$C$13,3,1),VLOOKUP(I37,Categories!$E$4:$G$24,3,1))</f>
        <v>120</v>
      </c>
      <c r="F37" s="48"/>
      <c r="G37" s="43">
        <v>5</v>
      </c>
      <c r="H37" s="49" t="s">
        <v>44</v>
      </c>
      <c r="I37" s="50" t="s">
        <v>0</v>
      </c>
      <c r="J37" s="51"/>
      <c r="K37" s="121">
        <v>3100</v>
      </c>
      <c r="L37" s="52">
        <v>1</v>
      </c>
      <c r="M37" s="53">
        <v>0.99</v>
      </c>
      <c r="N37" s="53" t="s">
        <v>171</v>
      </c>
      <c r="O37" s="54" t="s">
        <v>197</v>
      </c>
      <c r="P37" s="176" t="s">
        <v>0</v>
      </c>
      <c r="Q37" s="180" t="s">
        <v>0</v>
      </c>
      <c r="R37" s="169"/>
      <c r="S37" s="169"/>
      <c r="T37" s="168"/>
      <c r="U37" s="169"/>
      <c r="V37" s="170">
        <v>5.2</v>
      </c>
      <c r="W37" s="170">
        <v>5.5</v>
      </c>
      <c r="X37" s="171">
        <v>7.09</v>
      </c>
      <c r="Y37" s="172"/>
      <c r="Z37" s="172"/>
      <c r="AA37" s="172"/>
      <c r="AB37" s="172"/>
      <c r="AC37" s="172"/>
      <c r="AD37" s="172"/>
      <c r="AE37" s="172"/>
      <c r="AF37" s="172"/>
      <c r="AG37" s="171"/>
      <c r="AH37" s="173"/>
      <c r="AI37" s="131"/>
      <c r="AJ37" s="55"/>
      <c r="AK37" s="55"/>
      <c r="AL37" s="55"/>
    </row>
    <row r="38" spans="1:38" ht="31.95" customHeight="1" x14ac:dyDescent="0.3">
      <c r="A38" s="167">
        <v>44062</v>
      </c>
      <c r="B38" s="186">
        <v>0.59409722222222217</v>
      </c>
      <c r="C38" s="48"/>
      <c r="D38" s="48"/>
      <c r="E38" s="48">
        <f>IF(I38=Categories!$E$4,VLOOKUP(H38,Categories!$A$4:$C$13,3,1),VLOOKUP(I38,Categories!$E$4:$G$24,3,1))</f>
        <v>45</v>
      </c>
      <c r="F38" s="48"/>
      <c r="G38" s="43">
        <v>5</v>
      </c>
      <c r="H38" s="49" t="s">
        <v>224</v>
      </c>
      <c r="I38" s="50" t="s">
        <v>230</v>
      </c>
      <c r="J38" s="51"/>
      <c r="K38" s="121">
        <v>3100</v>
      </c>
      <c r="L38" s="52">
        <v>2</v>
      </c>
      <c r="M38" s="53">
        <v>4</v>
      </c>
      <c r="N38" s="53" t="s">
        <v>198</v>
      </c>
      <c r="O38" s="54" t="s">
        <v>197</v>
      </c>
      <c r="P38" s="176" t="s">
        <v>0</v>
      </c>
      <c r="Q38" s="180" t="s">
        <v>0</v>
      </c>
      <c r="R38" s="169"/>
      <c r="S38" s="169"/>
      <c r="T38" s="168"/>
      <c r="U38" s="169"/>
      <c r="V38" s="170"/>
      <c r="W38" s="170"/>
      <c r="X38" s="171"/>
      <c r="Y38" s="172"/>
      <c r="Z38" s="172"/>
      <c r="AA38" s="172"/>
      <c r="AB38" s="172"/>
      <c r="AC38" s="172"/>
      <c r="AD38" s="172"/>
      <c r="AE38" s="172"/>
      <c r="AF38" s="172"/>
      <c r="AG38" s="171"/>
      <c r="AH38" s="173"/>
      <c r="AI38" s="131"/>
      <c r="AJ38" s="55"/>
      <c r="AK38" s="55"/>
      <c r="AL38" s="55"/>
    </row>
    <row r="39" spans="1:38" ht="31.95" customHeight="1" x14ac:dyDescent="0.3">
      <c r="A39" s="12">
        <v>44062</v>
      </c>
      <c r="B39" s="187">
        <v>0.59469907407407407</v>
      </c>
      <c r="C39" s="48"/>
      <c r="D39" s="48"/>
      <c r="E39" s="48">
        <f>IF(I39=Categories!$E$4,VLOOKUP(H39,Categories!$A$4:$C$13,3,1),VLOOKUP(I39,Categories!$E$4:$G$24,3,1))</f>
        <v>120</v>
      </c>
      <c r="F39" s="48"/>
      <c r="G39" s="43">
        <v>5</v>
      </c>
      <c r="H39" s="49" t="s">
        <v>44</v>
      </c>
      <c r="I39" s="44" t="s">
        <v>0</v>
      </c>
      <c r="J39" s="51"/>
      <c r="K39" s="121">
        <v>3100</v>
      </c>
      <c r="L39" s="52">
        <v>2</v>
      </c>
      <c r="M39" s="53">
        <v>4</v>
      </c>
      <c r="N39" s="53" t="s">
        <v>198</v>
      </c>
      <c r="O39" s="54" t="s">
        <v>197</v>
      </c>
      <c r="P39" s="176" t="s">
        <v>0</v>
      </c>
      <c r="Q39" s="180" t="s">
        <v>0</v>
      </c>
      <c r="R39" s="132"/>
      <c r="S39" s="132"/>
      <c r="T39" s="139"/>
      <c r="U39" s="169"/>
      <c r="V39" s="135">
        <v>5.3</v>
      </c>
      <c r="W39" s="135">
        <v>5.5</v>
      </c>
      <c r="X39" s="136">
        <v>7.09</v>
      </c>
      <c r="Y39" s="137"/>
      <c r="Z39" s="137"/>
      <c r="AA39" s="137"/>
      <c r="AB39" s="137"/>
      <c r="AC39" s="137"/>
      <c r="AD39" s="137"/>
      <c r="AE39" s="137"/>
      <c r="AF39" s="137"/>
      <c r="AG39" s="136"/>
      <c r="AH39" s="138"/>
      <c r="AI39" s="131"/>
      <c r="AJ39" s="47"/>
      <c r="AK39" s="55"/>
      <c r="AL39" s="55"/>
    </row>
    <row r="40" spans="1:38" ht="31.95" customHeight="1" x14ac:dyDescent="0.3">
      <c r="A40" s="12">
        <v>44062</v>
      </c>
      <c r="B40" s="187">
        <v>0.59644675925925927</v>
      </c>
      <c r="C40" s="48"/>
      <c r="D40" s="48"/>
      <c r="E40" s="48">
        <f>IF(I40=Categories!$E$4,VLOOKUP(H40,Categories!$A$4:$C$13,3,1),VLOOKUP(I40,Categories!$E$4:$G$24,3,1))</f>
        <v>45</v>
      </c>
      <c r="F40" s="48"/>
      <c r="G40" s="43">
        <v>5</v>
      </c>
      <c r="H40" s="49" t="s">
        <v>224</v>
      </c>
      <c r="I40" s="50" t="s">
        <v>230</v>
      </c>
      <c r="J40" s="51"/>
      <c r="K40" s="121">
        <v>3100</v>
      </c>
      <c r="L40" s="52">
        <v>3</v>
      </c>
      <c r="M40" s="53">
        <v>4.6399999999999997</v>
      </c>
      <c r="N40" s="53" t="s">
        <v>259</v>
      </c>
      <c r="O40" s="54" t="s">
        <v>197</v>
      </c>
      <c r="P40" s="176" t="s">
        <v>0</v>
      </c>
      <c r="Q40" s="180" t="s">
        <v>0</v>
      </c>
      <c r="R40" s="132"/>
      <c r="S40" s="132"/>
      <c r="T40" s="139"/>
      <c r="U40" s="169"/>
      <c r="V40" s="135"/>
      <c r="W40" s="135"/>
      <c r="X40" s="136"/>
      <c r="Y40" s="137"/>
      <c r="Z40" s="137"/>
      <c r="AA40" s="137"/>
      <c r="AB40" s="137"/>
      <c r="AC40" s="137"/>
      <c r="AD40" s="137"/>
      <c r="AE40" s="137"/>
      <c r="AF40" s="137"/>
      <c r="AG40" s="136"/>
      <c r="AH40" s="138"/>
      <c r="AI40" s="131"/>
      <c r="AJ40" s="47"/>
      <c r="AK40" s="55"/>
      <c r="AL40" s="55"/>
    </row>
    <row r="41" spans="1:38" ht="31.95" customHeight="1" x14ac:dyDescent="0.3">
      <c r="A41" s="12">
        <v>44062</v>
      </c>
      <c r="B41" s="187">
        <v>0.59711805555555553</v>
      </c>
      <c r="C41" s="48"/>
      <c r="D41" s="48"/>
      <c r="E41" s="48">
        <f>IF(I41=Categories!$E$4,VLOOKUP(H41,Categories!$A$4:$C$13,3,1),VLOOKUP(I41,Categories!$E$4:$G$24,3,1))</f>
        <v>120</v>
      </c>
      <c r="F41" s="48"/>
      <c r="G41" s="43">
        <v>5</v>
      </c>
      <c r="H41" s="49" t="s">
        <v>44</v>
      </c>
      <c r="I41" s="44" t="s">
        <v>0</v>
      </c>
      <c r="J41" s="51"/>
      <c r="K41" s="121">
        <v>3100</v>
      </c>
      <c r="L41" s="52">
        <v>3</v>
      </c>
      <c r="M41" s="53">
        <v>4.6399999999999997</v>
      </c>
      <c r="N41" s="53" t="s">
        <v>259</v>
      </c>
      <c r="O41" s="54" t="s">
        <v>197</v>
      </c>
      <c r="P41" s="176" t="s">
        <v>0</v>
      </c>
      <c r="Q41" s="180" t="s">
        <v>0</v>
      </c>
      <c r="R41" s="132"/>
      <c r="S41" s="132"/>
      <c r="T41" s="139"/>
      <c r="U41" s="169"/>
      <c r="V41" s="135">
        <v>5.3</v>
      </c>
      <c r="W41" s="135">
        <v>5.5</v>
      </c>
      <c r="X41" s="136">
        <v>7.09</v>
      </c>
      <c r="Y41" s="137"/>
      <c r="Z41" s="137"/>
      <c r="AA41" s="137"/>
      <c r="AB41" s="137"/>
      <c r="AC41" s="137"/>
      <c r="AD41" s="137"/>
      <c r="AE41" s="137"/>
      <c r="AF41" s="137"/>
      <c r="AG41" s="136"/>
      <c r="AH41" s="138"/>
      <c r="AI41" s="131"/>
      <c r="AJ41" s="47"/>
      <c r="AK41" s="55"/>
      <c r="AL41" s="55"/>
    </row>
    <row r="42" spans="1:38" ht="31.95" customHeight="1" x14ac:dyDescent="0.3">
      <c r="A42" s="12">
        <v>44062</v>
      </c>
      <c r="B42" s="187">
        <v>0.59856481481481483</v>
      </c>
      <c r="C42" s="48"/>
      <c r="D42" s="48"/>
      <c r="E42" s="48">
        <f>IF(I42=Categories!$E$4,VLOOKUP(H42,Categories!$A$4:$C$13,3,1),VLOOKUP(I42,Categories!$E$4:$G$24,3,1))</f>
        <v>45</v>
      </c>
      <c r="F42" s="48"/>
      <c r="G42" s="43">
        <v>5</v>
      </c>
      <c r="H42" s="49" t="s">
        <v>224</v>
      </c>
      <c r="I42" s="50" t="s">
        <v>231</v>
      </c>
      <c r="J42" s="51"/>
      <c r="K42" s="121">
        <v>3100</v>
      </c>
      <c r="L42" s="52">
        <v>1</v>
      </c>
      <c r="M42" s="53">
        <v>0.99</v>
      </c>
      <c r="N42" s="53" t="s">
        <v>171</v>
      </c>
      <c r="O42" s="54" t="s">
        <v>197</v>
      </c>
      <c r="P42" s="176" t="s">
        <v>0</v>
      </c>
      <c r="Q42" s="180" t="s">
        <v>0</v>
      </c>
      <c r="R42" s="132"/>
      <c r="S42" s="132"/>
      <c r="T42" s="139"/>
      <c r="U42" s="169"/>
      <c r="V42" s="135"/>
      <c r="W42" s="135"/>
      <c r="X42" s="136"/>
      <c r="Y42" s="137"/>
      <c r="Z42" s="137"/>
      <c r="AA42" s="137"/>
      <c r="AB42" s="137"/>
      <c r="AC42" s="137"/>
      <c r="AD42" s="137"/>
      <c r="AE42" s="137"/>
      <c r="AF42" s="137"/>
      <c r="AG42" s="136"/>
      <c r="AH42" s="138"/>
      <c r="AI42" s="131"/>
      <c r="AJ42" s="47"/>
      <c r="AK42" s="55"/>
      <c r="AL42" s="55"/>
    </row>
    <row r="43" spans="1:38" ht="31.95" customHeight="1" x14ac:dyDescent="0.3">
      <c r="A43" s="12">
        <v>44062</v>
      </c>
      <c r="B43" s="187">
        <v>0.5990509259259259</v>
      </c>
      <c r="C43" s="48"/>
      <c r="D43" s="48"/>
      <c r="E43" s="48">
        <f>IF(I43=Categories!$E$4,VLOOKUP(H43,Categories!$A$4:$C$13,3,1),VLOOKUP(I43,Categories!$E$4:$G$24,3,1))</f>
        <v>120</v>
      </c>
      <c r="F43" s="48"/>
      <c r="G43" s="43">
        <v>5</v>
      </c>
      <c r="H43" s="49" t="s">
        <v>228</v>
      </c>
      <c r="I43" s="44" t="s">
        <v>0</v>
      </c>
      <c r="J43" s="51"/>
      <c r="K43" s="121">
        <v>3100</v>
      </c>
      <c r="L43" s="52">
        <v>1</v>
      </c>
      <c r="M43" s="53">
        <v>0.99</v>
      </c>
      <c r="N43" s="53" t="s">
        <v>171</v>
      </c>
      <c r="O43" s="54" t="s">
        <v>197</v>
      </c>
      <c r="P43" s="176" t="s">
        <v>0</v>
      </c>
      <c r="Q43" s="180" t="s">
        <v>0</v>
      </c>
      <c r="R43" s="132"/>
      <c r="S43" s="132"/>
      <c r="T43" s="139"/>
      <c r="U43" s="169"/>
      <c r="V43" s="135">
        <v>5.2</v>
      </c>
      <c r="W43" s="135">
        <v>5.5</v>
      </c>
      <c r="X43" s="136">
        <v>7.08</v>
      </c>
      <c r="Y43" s="137"/>
      <c r="Z43" s="137"/>
      <c r="AA43" s="137"/>
      <c r="AB43" s="137"/>
      <c r="AC43" s="137"/>
      <c r="AD43" s="137"/>
      <c r="AE43" s="137"/>
      <c r="AF43" s="137"/>
      <c r="AG43" s="136"/>
      <c r="AH43" s="138"/>
      <c r="AI43" s="131"/>
      <c r="AJ43" s="47"/>
      <c r="AK43" s="55"/>
      <c r="AL43" s="55"/>
    </row>
    <row r="44" spans="1:38" ht="31.95" customHeight="1" x14ac:dyDescent="0.3">
      <c r="A44" s="167">
        <v>44062</v>
      </c>
      <c r="B44" s="186">
        <v>0.60048611111111116</v>
      </c>
      <c r="C44" s="48"/>
      <c r="D44" s="48"/>
      <c r="E44" s="48" t="s">
        <v>0</v>
      </c>
      <c r="F44" s="48"/>
      <c r="G44" s="43" t="s">
        <v>0</v>
      </c>
      <c r="H44" s="49" t="s">
        <v>3</v>
      </c>
      <c r="I44" s="50" t="s">
        <v>2</v>
      </c>
      <c r="J44" s="51"/>
      <c r="K44" s="121">
        <v>2200</v>
      </c>
      <c r="L44" s="52" t="s">
        <v>0</v>
      </c>
      <c r="M44" s="53" t="str">
        <f>IFERROR(VLOOKUP(VLOOKUP(O44,O44,1,1),Categories!$K$4:$V$17,2+VLOOKUP(L44,L44,1,1)),"-"  )</f>
        <v>-</v>
      </c>
      <c r="N44" s="53" t="str">
        <f>IFERROR(VLOOKUP(VLOOKUP(O44,O44,1,1),Categories!$K$3:$V$17,7+VLOOKUP(L44,L44,1,1)),"-")</f>
        <v>-</v>
      </c>
      <c r="O44" s="54" t="s">
        <v>0</v>
      </c>
      <c r="P44" s="176" t="s">
        <v>0</v>
      </c>
      <c r="Q44" s="180" t="s">
        <v>0</v>
      </c>
      <c r="R44" s="169"/>
      <c r="S44" s="169"/>
      <c r="T44" s="168"/>
      <c r="U44" s="169"/>
      <c r="V44" s="170"/>
      <c r="W44" s="170"/>
      <c r="X44" s="171"/>
      <c r="Y44" s="172"/>
      <c r="Z44" s="172"/>
      <c r="AA44" s="172"/>
      <c r="AB44" s="172"/>
      <c r="AC44" s="172"/>
      <c r="AD44" s="172"/>
      <c r="AE44" s="172"/>
      <c r="AF44" s="172"/>
      <c r="AG44" s="171"/>
      <c r="AH44" s="173"/>
      <c r="AI44" s="131"/>
      <c r="AJ44" s="55"/>
      <c r="AK44" s="55"/>
      <c r="AL44" s="55"/>
    </row>
    <row r="45" spans="1:38" ht="31.95" customHeight="1" x14ac:dyDescent="0.3">
      <c r="A45" s="167">
        <v>44062</v>
      </c>
      <c r="B45" s="186">
        <v>0.61105324074074074</v>
      </c>
      <c r="C45" s="48"/>
      <c r="D45" s="48"/>
      <c r="E45" s="48" t="str">
        <f>IF(I45=Categories!$E$4,VLOOKUP(H45,Categories!$A$4:$C$13,3,1),VLOOKUP(I45,Categories!$E$4:$G$24,3,1))</f>
        <v>-</v>
      </c>
      <c r="F45" s="48"/>
      <c r="G45" s="43" t="s">
        <v>0</v>
      </c>
      <c r="H45" s="49" t="s">
        <v>3</v>
      </c>
      <c r="I45" s="50" t="s">
        <v>61</v>
      </c>
      <c r="J45" s="51"/>
      <c r="K45" s="121">
        <v>2200</v>
      </c>
      <c r="L45" s="52" t="s">
        <v>0</v>
      </c>
      <c r="M45" s="53" t="str">
        <f>IFERROR(VLOOKUP(VLOOKUP(O45,O45,1,1),Categories!$K$4:$V$17,2+VLOOKUP(L45,L45,1,1)),"-"  )</f>
        <v>-</v>
      </c>
      <c r="N45" s="53" t="str">
        <f>IFERROR(VLOOKUP(VLOOKUP(O45,O45,1,1),Categories!$K$3:$V$17,7+VLOOKUP(L45,L45,1,1)),"-")</f>
        <v>-</v>
      </c>
      <c r="O45" s="54" t="s">
        <v>0</v>
      </c>
      <c r="P45" s="176" t="s">
        <v>0</v>
      </c>
      <c r="Q45" s="180" t="s">
        <v>0</v>
      </c>
      <c r="R45" s="169"/>
      <c r="S45" s="169"/>
      <c r="T45" s="168"/>
      <c r="U45" s="169"/>
      <c r="V45" s="170"/>
      <c r="W45" s="170"/>
      <c r="X45" s="171"/>
      <c r="Y45" s="172"/>
      <c r="Z45" s="172"/>
      <c r="AA45" s="172"/>
      <c r="AB45" s="172"/>
      <c r="AC45" s="172"/>
      <c r="AD45" s="172"/>
      <c r="AE45" s="172"/>
      <c r="AF45" s="172"/>
      <c r="AG45" s="171"/>
      <c r="AH45" s="173"/>
      <c r="AI45" s="131" t="s">
        <v>234</v>
      </c>
      <c r="AJ45" s="55" t="s">
        <v>287</v>
      </c>
      <c r="AK45" s="55"/>
      <c r="AL45" s="55"/>
    </row>
    <row r="46" spans="1:38" ht="31.95" customHeight="1" x14ac:dyDescent="0.3">
      <c r="A46" s="167">
        <v>44062</v>
      </c>
      <c r="B46" s="186">
        <v>0.61116898148148147</v>
      </c>
      <c r="C46" s="48"/>
      <c r="D46" s="48"/>
      <c r="E46" s="48" t="str">
        <f>IF(I46=Categories!$E$4,VLOOKUP(H46,Categories!$A$4:$C$13,3,1),VLOOKUP(I46,Categories!$E$4:$G$24,3,1))</f>
        <v>-</v>
      </c>
      <c r="F46" s="48"/>
      <c r="G46" s="43" t="s">
        <v>0</v>
      </c>
      <c r="H46" s="49" t="s">
        <v>3</v>
      </c>
      <c r="I46" s="50" t="s">
        <v>62</v>
      </c>
      <c r="J46" s="51"/>
      <c r="K46" s="121">
        <v>2200</v>
      </c>
      <c r="L46" s="52">
        <v>1</v>
      </c>
      <c r="M46" s="53">
        <v>1.73</v>
      </c>
      <c r="N46" s="53" t="s">
        <v>171</v>
      </c>
      <c r="O46" s="54" t="s">
        <v>172</v>
      </c>
      <c r="P46" s="176" t="s">
        <v>0</v>
      </c>
      <c r="Q46" s="180" t="s">
        <v>0</v>
      </c>
      <c r="R46" s="169"/>
      <c r="S46" s="169"/>
      <c r="T46" s="168"/>
      <c r="U46" s="169"/>
      <c r="V46" s="170"/>
      <c r="W46" s="170"/>
      <c r="X46" s="171"/>
      <c r="Y46" s="172"/>
      <c r="Z46" s="172"/>
      <c r="AA46" s="172"/>
      <c r="AB46" s="172"/>
      <c r="AC46" s="172"/>
      <c r="AD46" s="172"/>
      <c r="AE46" s="172"/>
      <c r="AF46" s="172"/>
      <c r="AG46" s="171"/>
      <c r="AH46" s="173"/>
      <c r="AI46" s="131"/>
      <c r="AJ46" s="55"/>
      <c r="AK46" s="55"/>
      <c r="AL46" s="55"/>
    </row>
    <row r="47" spans="1:38" ht="31.95" customHeight="1" x14ac:dyDescent="0.3">
      <c r="A47" s="167">
        <v>44062</v>
      </c>
      <c r="B47" s="186">
        <v>0.61637731481481484</v>
      </c>
      <c r="C47" s="48"/>
      <c r="D47" s="48"/>
      <c r="E47" s="48">
        <f>IF(I47=Categories!$E$4,VLOOKUP(H47,Categories!$A$4:$C$13,3,1),VLOOKUP(I47,Categories!$E$4:$G$24,3,1))</f>
        <v>120</v>
      </c>
      <c r="F47" s="48"/>
      <c r="G47" s="43">
        <v>6</v>
      </c>
      <c r="H47" s="49" t="s">
        <v>44</v>
      </c>
      <c r="I47" s="50" t="s">
        <v>0</v>
      </c>
      <c r="J47" s="51"/>
      <c r="K47" s="121">
        <v>2200</v>
      </c>
      <c r="L47" s="52">
        <v>1</v>
      </c>
      <c r="M47" s="53">
        <v>1.73</v>
      </c>
      <c r="N47" s="53" t="s">
        <v>171</v>
      </c>
      <c r="O47" s="54" t="s">
        <v>172</v>
      </c>
      <c r="P47" s="176" t="s">
        <v>0</v>
      </c>
      <c r="Q47" s="180" t="s">
        <v>0</v>
      </c>
      <c r="R47" s="169"/>
      <c r="S47" s="169"/>
      <c r="T47" s="168"/>
      <c r="U47" s="169"/>
      <c r="V47" s="170">
        <v>3.4</v>
      </c>
      <c r="W47" s="170">
        <v>2.1</v>
      </c>
      <c r="X47" s="171">
        <v>4.9000000000000004</v>
      </c>
      <c r="Y47" s="172"/>
      <c r="Z47" s="172"/>
      <c r="AA47" s="172"/>
      <c r="AB47" s="172"/>
      <c r="AC47" s="172"/>
      <c r="AD47" s="172"/>
      <c r="AE47" s="172"/>
      <c r="AF47" s="172"/>
      <c r="AG47" s="171"/>
      <c r="AH47" s="173"/>
      <c r="AI47" s="131"/>
      <c r="AJ47" s="55"/>
      <c r="AK47" s="55"/>
      <c r="AL47" s="55"/>
    </row>
    <row r="48" spans="1:38" ht="31.95" customHeight="1" x14ac:dyDescent="0.3">
      <c r="A48" s="167">
        <v>44062</v>
      </c>
      <c r="B48" s="186">
        <v>0.61790509259259252</v>
      </c>
      <c r="C48" s="48"/>
      <c r="D48" s="48"/>
      <c r="E48" s="48">
        <f>IF(I48=Categories!$E$4,VLOOKUP(H48,Categories!$A$4:$C$13,3,1),VLOOKUP(I48,Categories!$E$4:$G$24,3,1))</f>
        <v>45</v>
      </c>
      <c r="F48" s="48"/>
      <c r="G48" s="43">
        <v>6</v>
      </c>
      <c r="H48" s="49" t="s">
        <v>224</v>
      </c>
      <c r="I48" s="50" t="s">
        <v>230</v>
      </c>
      <c r="J48" s="51"/>
      <c r="K48" s="121">
        <v>2200</v>
      </c>
      <c r="L48" s="52">
        <v>2</v>
      </c>
      <c r="M48" s="53">
        <v>6</v>
      </c>
      <c r="N48" s="53" t="s">
        <v>176</v>
      </c>
      <c r="O48" s="54" t="s">
        <v>172</v>
      </c>
      <c r="P48" s="176" t="s">
        <v>0</v>
      </c>
      <c r="Q48" s="180" t="s">
        <v>0</v>
      </c>
      <c r="R48" s="169"/>
      <c r="S48" s="169"/>
      <c r="T48" s="168"/>
      <c r="U48" s="169"/>
      <c r="V48" s="170"/>
      <c r="W48" s="170"/>
      <c r="X48" s="171"/>
      <c r="Y48" s="172"/>
      <c r="Z48" s="172"/>
      <c r="AA48" s="172"/>
      <c r="AB48" s="172"/>
      <c r="AC48" s="172"/>
      <c r="AD48" s="172"/>
      <c r="AE48" s="172"/>
      <c r="AF48" s="172"/>
      <c r="AG48" s="171"/>
      <c r="AH48" s="173"/>
      <c r="AI48" s="131"/>
      <c r="AJ48" s="55"/>
      <c r="AK48" s="55"/>
      <c r="AL48" s="55"/>
    </row>
    <row r="49" spans="1:38" ht="31.95" customHeight="1" x14ac:dyDescent="0.3">
      <c r="A49" s="12">
        <v>44062</v>
      </c>
      <c r="B49" s="187">
        <v>0.6185532407407407</v>
      </c>
      <c r="C49" s="48"/>
      <c r="D49" s="48"/>
      <c r="E49" s="48">
        <f>IF(I49=Categories!$E$4,VLOOKUP(H49,Categories!$A$4:$C$13,3,1),VLOOKUP(I49,Categories!$E$4:$G$24,3,1))</f>
        <v>120</v>
      </c>
      <c r="F49" s="48"/>
      <c r="G49" s="43">
        <v>6</v>
      </c>
      <c r="H49" s="49" t="s">
        <v>44</v>
      </c>
      <c r="I49" s="44" t="s">
        <v>0</v>
      </c>
      <c r="J49" s="51"/>
      <c r="K49" s="121">
        <v>2200</v>
      </c>
      <c r="L49" s="52">
        <v>2</v>
      </c>
      <c r="M49" s="53">
        <v>6</v>
      </c>
      <c r="N49" s="53" t="s">
        <v>176</v>
      </c>
      <c r="O49" s="54" t="s">
        <v>172</v>
      </c>
      <c r="P49" s="176" t="s">
        <v>0</v>
      </c>
      <c r="Q49" s="180" t="s">
        <v>0</v>
      </c>
      <c r="R49" s="132"/>
      <c r="S49" s="132"/>
      <c r="T49" s="139"/>
      <c r="U49" s="169"/>
      <c r="V49" s="135">
        <v>3.3</v>
      </c>
      <c r="W49" s="135">
        <v>2.1</v>
      </c>
      <c r="X49" s="136">
        <v>4.84</v>
      </c>
      <c r="Y49" s="137"/>
      <c r="Z49" s="137"/>
      <c r="AA49" s="137"/>
      <c r="AB49" s="137"/>
      <c r="AC49" s="137"/>
      <c r="AD49" s="137"/>
      <c r="AE49" s="137"/>
      <c r="AF49" s="137"/>
      <c r="AG49" s="136"/>
      <c r="AH49" s="138"/>
      <c r="AI49" s="131"/>
      <c r="AJ49" s="47"/>
      <c r="AK49" s="55"/>
      <c r="AL49" s="55"/>
    </row>
    <row r="50" spans="1:38" ht="31.95" customHeight="1" x14ac:dyDescent="0.3">
      <c r="A50" s="12">
        <v>44062</v>
      </c>
      <c r="B50" s="187">
        <v>0.62008101851851849</v>
      </c>
      <c r="C50" s="48"/>
      <c r="D50" s="48"/>
      <c r="E50" s="48">
        <f>IF(I50=Categories!$E$4,VLOOKUP(H50,Categories!$A$4:$C$13,3,1),VLOOKUP(I50,Categories!$E$4:$G$24,3,1))</f>
        <v>45</v>
      </c>
      <c r="F50" s="48"/>
      <c r="G50" s="43">
        <v>6</v>
      </c>
      <c r="H50" s="49" t="s">
        <v>224</v>
      </c>
      <c r="I50" s="50" t="s">
        <v>230</v>
      </c>
      <c r="J50" s="51"/>
      <c r="K50" s="121">
        <v>2200</v>
      </c>
      <c r="L50" s="52">
        <v>3</v>
      </c>
      <c r="M50" s="53">
        <v>6.7</v>
      </c>
      <c r="N50" s="53" t="s">
        <v>261</v>
      </c>
      <c r="O50" s="54" t="s">
        <v>172</v>
      </c>
      <c r="P50" s="176" t="s">
        <v>0</v>
      </c>
      <c r="Q50" s="180" t="s">
        <v>0</v>
      </c>
      <c r="R50" s="132"/>
      <c r="S50" s="132"/>
      <c r="T50" s="139"/>
      <c r="U50" s="169"/>
      <c r="V50" s="135"/>
      <c r="W50" s="135"/>
      <c r="X50" s="136"/>
      <c r="Y50" s="137"/>
      <c r="Z50" s="137"/>
      <c r="AA50" s="137"/>
      <c r="AB50" s="137"/>
      <c r="AC50" s="137"/>
      <c r="AD50" s="137"/>
      <c r="AE50" s="137"/>
      <c r="AF50" s="137"/>
      <c r="AG50" s="136"/>
      <c r="AH50" s="138"/>
      <c r="AI50" s="131"/>
      <c r="AJ50" s="55" t="s">
        <v>290</v>
      </c>
      <c r="AK50" s="55"/>
      <c r="AL50" s="55"/>
    </row>
    <row r="51" spans="1:38" ht="31.95" customHeight="1" x14ac:dyDescent="0.3">
      <c r="A51" s="12">
        <v>44062</v>
      </c>
      <c r="B51" s="187">
        <v>0.62062499999999998</v>
      </c>
      <c r="C51" s="48"/>
      <c r="D51" s="48"/>
      <c r="E51" s="48">
        <f>IF(I51=Categories!$E$4,VLOOKUP(H51,Categories!$A$4:$C$13,3,1),VLOOKUP(I51,Categories!$E$4:$G$24,3,1))</f>
        <v>120</v>
      </c>
      <c r="F51" s="48"/>
      <c r="G51" s="43">
        <v>6</v>
      </c>
      <c r="H51" s="49" t="s">
        <v>44</v>
      </c>
      <c r="I51" s="44" t="s">
        <v>0</v>
      </c>
      <c r="J51" s="51"/>
      <c r="K51" s="121">
        <v>2200</v>
      </c>
      <c r="L51" s="52">
        <v>3</v>
      </c>
      <c r="M51" s="53">
        <v>6.7</v>
      </c>
      <c r="N51" s="53" t="s">
        <v>261</v>
      </c>
      <c r="O51" s="54" t="s">
        <v>172</v>
      </c>
      <c r="P51" s="176" t="s">
        <v>0</v>
      </c>
      <c r="Q51" s="180" t="s">
        <v>0</v>
      </c>
      <c r="R51" s="132"/>
      <c r="S51" s="132"/>
      <c r="T51" s="139"/>
      <c r="U51" s="169"/>
      <c r="V51" s="135">
        <v>3.3</v>
      </c>
      <c r="W51" s="135">
        <v>2.1</v>
      </c>
      <c r="X51" s="136">
        <v>4.84</v>
      </c>
      <c r="Y51" s="137"/>
      <c r="Z51" s="137"/>
      <c r="AA51" s="137"/>
      <c r="AB51" s="137"/>
      <c r="AC51" s="137"/>
      <c r="AD51" s="137"/>
      <c r="AE51" s="137"/>
      <c r="AF51" s="137"/>
      <c r="AG51" s="136"/>
      <c r="AH51" s="138"/>
      <c r="AI51" s="131"/>
      <c r="AJ51" s="47"/>
      <c r="AK51" s="55"/>
      <c r="AL51" s="55"/>
    </row>
    <row r="52" spans="1:38" ht="31.95" customHeight="1" x14ac:dyDescent="0.3">
      <c r="A52" s="12">
        <v>44062</v>
      </c>
      <c r="B52" s="187">
        <v>0.62245370370370368</v>
      </c>
      <c r="C52" s="48"/>
      <c r="D52" s="48"/>
      <c r="E52" s="48">
        <f>IF(I52=Categories!$E$4,VLOOKUP(H52,Categories!$A$4:$C$13,3,1),VLOOKUP(I52,Categories!$E$4:$G$24,3,1))</f>
        <v>45</v>
      </c>
      <c r="F52" s="48"/>
      <c r="G52" s="43">
        <v>6</v>
      </c>
      <c r="H52" s="49" t="s">
        <v>224</v>
      </c>
      <c r="I52" s="50" t="s">
        <v>231</v>
      </c>
      <c r="J52" s="51"/>
      <c r="K52" s="121">
        <v>2200</v>
      </c>
      <c r="L52" s="52">
        <v>1</v>
      </c>
      <c r="M52" s="53">
        <v>1.73</v>
      </c>
      <c r="N52" s="53" t="s">
        <v>171</v>
      </c>
      <c r="O52" s="54" t="s">
        <v>172</v>
      </c>
      <c r="P52" s="176" t="s">
        <v>0</v>
      </c>
      <c r="Q52" s="180" t="s">
        <v>0</v>
      </c>
      <c r="R52" s="132"/>
      <c r="S52" s="132"/>
      <c r="T52" s="139"/>
      <c r="U52" s="169"/>
      <c r="V52" s="135"/>
      <c r="W52" s="135"/>
      <c r="X52" s="136"/>
      <c r="Y52" s="137"/>
      <c r="Z52" s="137"/>
      <c r="AA52" s="137"/>
      <c r="AB52" s="137"/>
      <c r="AC52" s="137"/>
      <c r="AD52" s="137"/>
      <c r="AE52" s="137"/>
      <c r="AF52" s="137"/>
      <c r="AG52" s="136"/>
      <c r="AH52" s="138"/>
      <c r="AI52" s="131"/>
      <c r="AJ52" s="47"/>
      <c r="AK52" s="55"/>
      <c r="AL52" s="55"/>
    </row>
    <row r="53" spans="1:38" ht="31.95" customHeight="1" x14ac:dyDescent="0.3">
      <c r="A53" s="12">
        <v>44062</v>
      </c>
      <c r="B53" s="187">
        <v>0.62299768518518517</v>
      </c>
      <c r="C53" s="48"/>
      <c r="D53" s="48"/>
      <c r="E53" s="48">
        <f>IF(I53=Categories!$E$4,VLOOKUP(H53,Categories!$A$4:$C$13,3,1),VLOOKUP(I53,Categories!$E$4:$G$24,3,1))</f>
        <v>120</v>
      </c>
      <c r="F53" s="48"/>
      <c r="G53" s="43">
        <v>6</v>
      </c>
      <c r="H53" s="49" t="s">
        <v>228</v>
      </c>
      <c r="I53" s="44" t="s">
        <v>0</v>
      </c>
      <c r="J53" s="51"/>
      <c r="K53" s="121">
        <v>2200</v>
      </c>
      <c r="L53" s="52">
        <v>1</v>
      </c>
      <c r="M53" s="53">
        <v>1.73</v>
      </c>
      <c r="N53" s="53" t="s">
        <v>171</v>
      </c>
      <c r="O53" s="54" t="s">
        <v>172</v>
      </c>
      <c r="P53" s="176" t="s">
        <v>0</v>
      </c>
      <c r="Q53" s="180" t="s">
        <v>0</v>
      </c>
      <c r="R53" s="132"/>
      <c r="S53" s="132"/>
      <c r="T53" s="139"/>
      <c r="U53" s="169"/>
      <c r="V53" s="135">
        <v>3.3</v>
      </c>
      <c r="W53" s="135">
        <v>2.1</v>
      </c>
      <c r="X53" s="136">
        <v>4.8899999999999997</v>
      </c>
      <c r="Y53" s="137"/>
      <c r="Z53" s="137"/>
      <c r="AA53" s="137"/>
      <c r="AB53" s="137"/>
      <c r="AC53" s="137"/>
      <c r="AD53" s="137"/>
      <c r="AE53" s="137"/>
      <c r="AF53" s="137"/>
      <c r="AG53" s="136"/>
      <c r="AH53" s="138"/>
      <c r="AI53" s="131"/>
      <c r="AJ53" s="47"/>
      <c r="AK53" s="55"/>
      <c r="AL53" s="55"/>
    </row>
    <row r="54" spans="1:38" ht="31.95" customHeight="1" x14ac:dyDescent="0.3">
      <c r="A54" s="12">
        <v>44062</v>
      </c>
      <c r="B54" s="187">
        <v>0.62466435185185187</v>
      </c>
      <c r="C54" s="48"/>
      <c r="D54" s="48"/>
      <c r="E54" s="48">
        <f>IF(I54=Categories!$E$4,VLOOKUP(H54,Categories!$A$4:$C$13,3,1),VLOOKUP(I54,Categories!$E$4:$G$24,3,1))</f>
        <v>45</v>
      </c>
      <c r="F54" s="48"/>
      <c r="G54" s="43" t="s">
        <v>0</v>
      </c>
      <c r="H54" s="49" t="s">
        <v>224</v>
      </c>
      <c r="I54" s="50" t="s">
        <v>2</v>
      </c>
      <c r="J54" s="51"/>
      <c r="K54" s="121">
        <v>2500</v>
      </c>
      <c r="L54" s="52">
        <v>1</v>
      </c>
      <c r="M54" s="53">
        <v>1.73</v>
      </c>
      <c r="N54" s="53" t="s">
        <v>171</v>
      </c>
      <c r="O54" s="54" t="s">
        <v>172</v>
      </c>
      <c r="P54" s="176" t="s">
        <v>0</v>
      </c>
      <c r="Q54" s="180" t="s">
        <v>0</v>
      </c>
      <c r="R54" s="132"/>
      <c r="S54" s="132"/>
      <c r="T54" s="139"/>
      <c r="U54" s="169"/>
      <c r="V54" s="135"/>
      <c r="W54" s="135"/>
      <c r="X54" s="136"/>
      <c r="Y54" s="137"/>
      <c r="Z54" s="137"/>
      <c r="AA54" s="137"/>
      <c r="AB54" s="137"/>
      <c r="AC54" s="137"/>
      <c r="AD54" s="137"/>
      <c r="AE54" s="137"/>
      <c r="AF54" s="137"/>
      <c r="AG54" s="136"/>
      <c r="AH54" s="138"/>
      <c r="AI54" s="131"/>
      <c r="AJ54" s="47"/>
      <c r="AK54" s="55"/>
      <c r="AL54" s="55"/>
    </row>
    <row r="55" spans="1:38" ht="31.95" customHeight="1" x14ac:dyDescent="0.3">
      <c r="A55" s="167">
        <v>44062</v>
      </c>
      <c r="B55" s="186">
        <v>0.62523148148148155</v>
      </c>
      <c r="C55" s="48"/>
      <c r="D55" s="48"/>
      <c r="E55" s="48">
        <f>IF(I55=Categories!$E$4,VLOOKUP(H55,Categories!$A$4:$C$13,3,1),VLOOKUP(I55,Categories!$E$4:$G$24,3,1))</f>
        <v>120</v>
      </c>
      <c r="F55" s="48"/>
      <c r="G55" s="43">
        <v>7</v>
      </c>
      <c r="H55" s="49" t="s">
        <v>44</v>
      </c>
      <c r="I55" s="50" t="s">
        <v>0</v>
      </c>
      <c r="J55" s="51"/>
      <c r="K55" s="121">
        <v>2500</v>
      </c>
      <c r="L55" s="52">
        <v>1</v>
      </c>
      <c r="M55" s="53">
        <v>1.73</v>
      </c>
      <c r="N55" s="53" t="s">
        <v>171</v>
      </c>
      <c r="O55" s="54" t="s">
        <v>172</v>
      </c>
      <c r="P55" s="176" t="s">
        <v>0</v>
      </c>
      <c r="Q55" s="180" t="s">
        <v>0</v>
      </c>
      <c r="R55" s="169"/>
      <c r="S55" s="169"/>
      <c r="T55" s="168"/>
      <c r="U55" s="169"/>
      <c r="V55" s="170">
        <v>4</v>
      </c>
      <c r="W55" s="170">
        <v>3</v>
      </c>
      <c r="X55" s="171">
        <v>5.63</v>
      </c>
      <c r="Y55" s="172"/>
      <c r="Z55" s="172"/>
      <c r="AA55" s="172"/>
      <c r="AB55" s="172"/>
      <c r="AC55" s="172"/>
      <c r="AD55" s="172"/>
      <c r="AE55" s="172"/>
      <c r="AF55" s="172"/>
      <c r="AG55" s="171"/>
      <c r="AH55" s="173"/>
      <c r="AI55" s="131"/>
      <c r="AJ55" s="55"/>
      <c r="AK55" s="55"/>
      <c r="AL55" s="55"/>
    </row>
    <row r="56" spans="1:38" ht="31.95" customHeight="1" x14ac:dyDescent="0.3">
      <c r="A56" s="167">
        <v>44062</v>
      </c>
      <c r="B56" s="186">
        <v>0.62679398148148147</v>
      </c>
      <c r="C56" s="48"/>
      <c r="D56" s="48"/>
      <c r="E56" s="48">
        <f>IF(I56=Categories!$E$4,VLOOKUP(H56,Categories!$A$4:$C$13,3,1),VLOOKUP(I56,Categories!$E$4:$G$24,3,1))</f>
        <v>45</v>
      </c>
      <c r="F56" s="48"/>
      <c r="G56" s="43">
        <v>7</v>
      </c>
      <c r="H56" s="49" t="s">
        <v>224</v>
      </c>
      <c r="I56" s="50" t="s">
        <v>230</v>
      </c>
      <c r="J56" s="51"/>
      <c r="K56" s="121">
        <v>2500</v>
      </c>
      <c r="L56" s="52">
        <v>2</v>
      </c>
      <c r="M56" s="53">
        <v>6</v>
      </c>
      <c r="N56" s="53" t="s">
        <v>176</v>
      </c>
      <c r="O56" s="54" t="s">
        <v>172</v>
      </c>
      <c r="P56" s="176" t="s">
        <v>0</v>
      </c>
      <c r="Q56" s="180" t="s">
        <v>0</v>
      </c>
      <c r="R56" s="169"/>
      <c r="S56" s="169"/>
      <c r="T56" s="168"/>
      <c r="U56" s="169"/>
      <c r="V56" s="170"/>
      <c r="W56" s="170"/>
      <c r="X56" s="171"/>
      <c r="Y56" s="172"/>
      <c r="Z56" s="172"/>
      <c r="AA56" s="172"/>
      <c r="AB56" s="172"/>
      <c r="AC56" s="172"/>
      <c r="AD56" s="172"/>
      <c r="AE56" s="172"/>
      <c r="AF56" s="172"/>
      <c r="AG56" s="171"/>
      <c r="AH56" s="173"/>
      <c r="AI56" s="131"/>
      <c r="AJ56" s="55"/>
      <c r="AK56" s="55"/>
      <c r="AL56" s="55"/>
    </row>
    <row r="57" spans="1:38" ht="31.95" customHeight="1" x14ac:dyDescent="0.3">
      <c r="A57" s="12">
        <v>44062</v>
      </c>
      <c r="B57" s="187">
        <v>0.6274305555555556</v>
      </c>
      <c r="C57" s="48"/>
      <c r="D57" s="48"/>
      <c r="E57" s="48">
        <f>IF(I57=Categories!$E$4,VLOOKUP(H57,Categories!$A$4:$C$13,3,1),VLOOKUP(I57,Categories!$E$4:$G$24,3,1))</f>
        <v>120</v>
      </c>
      <c r="F57" s="48"/>
      <c r="G57" s="43">
        <v>7</v>
      </c>
      <c r="H57" s="49" t="s">
        <v>44</v>
      </c>
      <c r="I57" s="44" t="s">
        <v>0</v>
      </c>
      <c r="J57" s="51"/>
      <c r="K57" s="121">
        <v>2500</v>
      </c>
      <c r="L57" s="52">
        <v>2</v>
      </c>
      <c r="M57" s="53">
        <v>6</v>
      </c>
      <c r="N57" s="53" t="s">
        <v>176</v>
      </c>
      <c r="O57" s="54" t="s">
        <v>172</v>
      </c>
      <c r="P57" s="176" t="s">
        <v>0</v>
      </c>
      <c r="Q57" s="180" t="s">
        <v>0</v>
      </c>
      <c r="R57" s="132"/>
      <c r="S57" s="132"/>
      <c r="T57" s="139"/>
      <c r="U57" s="169"/>
      <c r="V57" s="135">
        <v>4</v>
      </c>
      <c r="W57" s="135">
        <v>2.9</v>
      </c>
      <c r="X57" s="136">
        <v>5.58</v>
      </c>
      <c r="Y57" s="137"/>
      <c r="Z57" s="137"/>
      <c r="AA57" s="137"/>
      <c r="AB57" s="137"/>
      <c r="AC57" s="137"/>
      <c r="AD57" s="137"/>
      <c r="AE57" s="137"/>
      <c r="AF57" s="137"/>
      <c r="AG57" s="136"/>
      <c r="AH57" s="138"/>
      <c r="AI57" s="131"/>
      <c r="AJ57" s="47"/>
      <c r="AK57" s="55"/>
      <c r="AL57" s="55"/>
    </row>
    <row r="58" spans="1:38" ht="31.95" customHeight="1" x14ac:dyDescent="0.3">
      <c r="A58" s="12">
        <v>44062</v>
      </c>
      <c r="B58" s="188">
        <v>0.62921296296296292</v>
      </c>
      <c r="C58" s="48"/>
      <c r="D58" s="48"/>
      <c r="E58" s="48">
        <f>IF(I58=Categories!$E$4,VLOOKUP(H58,Categories!$A$4:$C$13,3,1),VLOOKUP(I58,Categories!$E$4:$G$24,3,1))</f>
        <v>45</v>
      </c>
      <c r="F58" s="48"/>
      <c r="G58" s="43">
        <v>7</v>
      </c>
      <c r="H58" s="49" t="s">
        <v>224</v>
      </c>
      <c r="I58" s="50" t="s">
        <v>230</v>
      </c>
      <c r="J58" s="51"/>
      <c r="K58" s="121">
        <v>2500</v>
      </c>
      <c r="L58" s="52">
        <v>3</v>
      </c>
      <c r="M58" s="53">
        <v>6.7</v>
      </c>
      <c r="N58" s="53" t="s">
        <v>261</v>
      </c>
      <c r="O58" s="54" t="s">
        <v>172</v>
      </c>
      <c r="P58" s="176" t="s">
        <v>0</v>
      </c>
      <c r="Q58" s="180" t="s">
        <v>0</v>
      </c>
      <c r="R58" s="132"/>
      <c r="S58" s="132"/>
      <c r="T58" s="139"/>
      <c r="U58" s="169"/>
      <c r="V58" s="135"/>
      <c r="W58" s="135"/>
      <c r="X58" s="136"/>
      <c r="Y58" s="137"/>
      <c r="Z58" s="137"/>
      <c r="AA58" s="137"/>
      <c r="AB58" s="137"/>
      <c r="AC58" s="137"/>
      <c r="AD58" s="137"/>
      <c r="AE58" s="137"/>
      <c r="AF58" s="137"/>
      <c r="AG58" s="136"/>
      <c r="AH58" s="138"/>
      <c r="AI58" s="131"/>
      <c r="AJ58" s="47"/>
      <c r="AK58" s="55"/>
      <c r="AL58" s="55"/>
    </row>
    <row r="59" spans="1:38" ht="31.95" customHeight="1" x14ac:dyDescent="0.3">
      <c r="A59" s="12">
        <v>44062</v>
      </c>
      <c r="B59" s="187">
        <v>0.62974537037037037</v>
      </c>
      <c r="C59" s="48"/>
      <c r="D59" s="48"/>
      <c r="E59" s="48">
        <f>IF(I59=Categories!$E$4,VLOOKUP(H59,Categories!$A$4:$C$13,3,1),VLOOKUP(I59,Categories!$E$4:$G$24,3,1))</f>
        <v>120</v>
      </c>
      <c r="F59" s="48"/>
      <c r="G59" s="43">
        <v>7</v>
      </c>
      <c r="H59" s="49" t="s">
        <v>44</v>
      </c>
      <c r="I59" s="44" t="s">
        <v>0</v>
      </c>
      <c r="J59" s="51"/>
      <c r="K59" s="121">
        <v>2500</v>
      </c>
      <c r="L59" s="52">
        <v>3</v>
      </c>
      <c r="M59" s="53">
        <v>6.7</v>
      </c>
      <c r="N59" s="53" t="s">
        <v>261</v>
      </c>
      <c r="O59" s="54" t="s">
        <v>172</v>
      </c>
      <c r="P59" s="176" t="s">
        <v>0</v>
      </c>
      <c r="Q59" s="180" t="s">
        <v>0</v>
      </c>
      <c r="R59" s="132"/>
      <c r="S59" s="132"/>
      <c r="T59" s="139"/>
      <c r="U59" s="169"/>
      <c r="V59" s="135">
        <v>4.0999999999999996</v>
      </c>
      <c r="W59" s="135">
        <v>3</v>
      </c>
      <c r="X59" s="136">
        <v>5.61</v>
      </c>
      <c r="Y59" s="137"/>
      <c r="Z59" s="137"/>
      <c r="AA59" s="137"/>
      <c r="AB59" s="137"/>
      <c r="AC59" s="137"/>
      <c r="AD59" s="137"/>
      <c r="AE59" s="137"/>
      <c r="AF59" s="137"/>
      <c r="AG59" s="136"/>
      <c r="AH59" s="138"/>
      <c r="AI59" s="131"/>
      <c r="AJ59" s="47" t="s">
        <v>291</v>
      </c>
      <c r="AK59" s="55"/>
      <c r="AL59" s="55"/>
    </row>
    <row r="60" spans="1:38" ht="31.95" customHeight="1" x14ac:dyDescent="0.3">
      <c r="A60" s="12">
        <v>44062</v>
      </c>
      <c r="B60" s="187">
        <v>0.63142361111111112</v>
      </c>
      <c r="C60" s="48"/>
      <c r="D60" s="48"/>
      <c r="E60" s="48">
        <f>IF(I60=Categories!$E$4,VLOOKUP(H60,Categories!$A$4:$C$13,3,1),VLOOKUP(I60,Categories!$E$4:$G$24,3,1))</f>
        <v>45</v>
      </c>
      <c r="F60" s="48"/>
      <c r="G60" s="43">
        <v>7</v>
      </c>
      <c r="H60" s="49" t="s">
        <v>224</v>
      </c>
      <c r="I60" s="50" t="s">
        <v>231</v>
      </c>
      <c r="J60" s="51"/>
      <c r="K60" s="121">
        <v>2500</v>
      </c>
      <c r="L60" s="52">
        <v>1</v>
      </c>
      <c r="M60" s="53">
        <v>1.73</v>
      </c>
      <c r="N60" s="53" t="s">
        <v>171</v>
      </c>
      <c r="O60" s="54" t="s">
        <v>172</v>
      </c>
      <c r="P60" s="176" t="s">
        <v>0</v>
      </c>
      <c r="Q60" s="180" t="s">
        <v>0</v>
      </c>
      <c r="R60" s="132"/>
      <c r="S60" s="132"/>
      <c r="T60" s="139"/>
      <c r="U60" s="169"/>
      <c r="V60" s="135"/>
      <c r="W60" s="135"/>
      <c r="X60" s="136"/>
      <c r="Y60" s="137"/>
      <c r="Z60" s="137"/>
      <c r="AA60" s="137"/>
      <c r="AB60" s="137"/>
      <c r="AC60" s="137"/>
      <c r="AD60" s="137"/>
      <c r="AE60" s="137"/>
      <c r="AF60" s="137"/>
      <c r="AG60" s="136"/>
      <c r="AH60" s="138"/>
      <c r="AI60" s="131"/>
      <c r="AJ60" s="47"/>
      <c r="AK60" s="55"/>
      <c r="AL60" s="55"/>
    </row>
    <row r="61" spans="1:38" ht="31.95" customHeight="1" x14ac:dyDescent="0.3">
      <c r="A61" s="12">
        <v>44062</v>
      </c>
      <c r="B61" s="187">
        <v>0.63194444444444442</v>
      </c>
      <c r="C61" s="48"/>
      <c r="D61" s="48"/>
      <c r="E61" s="48">
        <f>IF(I61=Categories!$E$4,VLOOKUP(H61,Categories!$A$4:$C$13,3,1),VLOOKUP(I61,Categories!$E$4:$G$24,3,1))</f>
        <v>120</v>
      </c>
      <c r="F61" s="48"/>
      <c r="G61" s="43">
        <v>7</v>
      </c>
      <c r="H61" s="49" t="s">
        <v>228</v>
      </c>
      <c r="I61" s="44" t="s">
        <v>0</v>
      </c>
      <c r="J61" s="51"/>
      <c r="K61" s="121">
        <v>2500</v>
      </c>
      <c r="L61" s="52">
        <v>1</v>
      </c>
      <c r="M61" s="53">
        <v>1.73</v>
      </c>
      <c r="N61" s="53" t="s">
        <v>171</v>
      </c>
      <c r="O61" s="54" t="s">
        <v>172</v>
      </c>
      <c r="P61" s="176" t="s">
        <v>0</v>
      </c>
      <c r="Q61" s="180" t="s">
        <v>0</v>
      </c>
      <c r="R61" s="132"/>
      <c r="S61" s="132"/>
      <c r="T61" s="139"/>
      <c r="U61" s="169"/>
      <c r="V61" s="170">
        <v>4</v>
      </c>
      <c r="W61" s="170">
        <v>3</v>
      </c>
      <c r="X61" s="171"/>
      <c r="Y61" s="137"/>
      <c r="Z61" s="137"/>
      <c r="AA61" s="137"/>
      <c r="AB61" s="137"/>
      <c r="AC61" s="137"/>
      <c r="AD61" s="137"/>
      <c r="AE61" s="137"/>
      <c r="AF61" s="137"/>
      <c r="AG61" s="136"/>
      <c r="AH61" s="138"/>
      <c r="AI61" s="131"/>
      <c r="AJ61" s="47"/>
      <c r="AK61" s="55"/>
      <c r="AL61" s="55"/>
    </row>
    <row r="62" spans="1:38" ht="31.95" customHeight="1" x14ac:dyDescent="0.3">
      <c r="A62" s="12">
        <v>44062</v>
      </c>
      <c r="B62" s="187">
        <v>0.63340277777777776</v>
      </c>
      <c r="C62" s="48"/>
      <c r="D62" s="48"/>
      <c r="E62" s="48">
        <f>IF(I62=Categories!$E$4,VLOOKUP(H62,Categories!$A$4:$C$13,3,1),VLOOKUP(I62,Categories!$E$4:$G$24,3,1))</f>
        <v>45</v>
      </c>
      <c r="F62" s="48"/>
      <c r="G62" s="43" t="s">
        <v>0</v>
      </c>
      <c r="H62" s="49" t="s">
        <v>224</v>
      </c>
      <c r="I62" s="50" t="s">
        <v>2</v>
      </c>
      <c r="J62" s="51"/>
      <c r="K62" s="121">
        <v>2800</v>
      </c>
      <c r="L62" s="52">
        <v>1</v>
      </c>
      <c r="M62" s="53">
        <v>1.73</v>
      </c>
      <c r="N62" s="53" t="s">
        <v>171</v>
      </c>
      <c r="O62" s="54" t="s">
        <v>172</v>
      </c>
      <c r="P62" s="176" t="s">
        <v>0</v>
      </c>
      <c r="Q62" s="180" t="s">
        <v>0</v>
      </c>
      <c r="R62" s="132"/>
      <c r="S62" s="132"/>
      <c r="T62" s="139"/>
      <c r="U62" s="169"/>
      <c r="V62" s="135"/>
      <c r="W62" s="135"/>
      <c r="X62" s="136"/>
      <c r="Y62" s="137"/>
      <c r="Z62" s="137"/>
      <c r="AA62" s="137"/>
      <c r="AB62" s="137"/>
      <c r="AC62" s="137"/>
      <c r="AD62" s="137"/>
      <c r="AE62" s="137"/>
      <c r="AF62" s="137"/>
      <c r="AG62" s="136"/>
      <c r="AH62" s="138"/>
      <c r="AI62" s="131"/>
      <c r="AJ62" s="55"/>
      <c r="AK62" s="55"/>
      <c r="AL62" s="55"/>
    </row>
    <row r="63" spans="1:38" ht="31.95" customHeight="1" x14ac:dyDescent="0.3">
      <c r="A63" s="167">
        <v>44062</v>
      </c>
      <c r="B63" s="186">
        <v>0.63420138888888888</v>
      </c>
      <c r="C63" s="48"/>
      <c r="D63" s="48"/>
      <c r="E63" s="48">
        <f>IF(I63=Categories!$E$4,VLOOKUP(H63,Categories!$A$4:$C$13,3,1),VLOOKUP(I63,Categories!$E$4:$G$24,3,1))</f>
        <v>120</v>
      </c>
      <c r="F63" s="48"/>
      <c r="G63" s="43">
        <v>8</v>
      </c>
      <c r="H63" s="49" t="s">
        <v>44</v>
      </c>
      <c r="I63" s="50" t="s">
        <v>0</v>
      </c>
      <c r="J63" s="51"/>
      <c r="K63" s="121">
        <v>2800</v>
      </c>
      <c r="L63" s="52">
        <v>1</v>
      </c>
      <c r="M63" s="53">
        <v>1.73</v>
      </c>
      <c r="N63" s="53" t="s">
        <v>171</v>
      </c>
      <c r="O63" s="54" t="s">
        <v>172</v>
      </c>
      <c r="P63" s="176" t="s">
        <v>0</v>
      </c>
      <c r="Q63" s="180" t="s">
        <v>0</v>
      </c>
      <c r="R63" s="169"/>
      <c r="S63" s="169"/>
      <c r="T63" s="168"/>
      <c r="U63" s="169"/>
      <c r="V63" s="170">
        <v>4.5999999999999996</v>
      </c>
      <c r="W63" s="170">
        <v>4.0999999999999996</v>
      </c>
      <c r="X63" s="171">
        <v>6.37</v>
      </c>
      <c r="Y63" s="172"/>
      <c r="Z63" s="172"/>
      <c r="AA63" s="172"/>
      <c r="AB63" s="172"/>
      <c r="AC63" s="172"/>
      <c r="AD63" s="172"/>
      <c r="AE63" s="172"/>
      <c r="AF63" s="172"/>
      <c r="AG63" s="171"/>
      <c r="AH63" s="173"/>
      <c r="AI63" s="131" t="s">
        <v>244</v>
      </c>
      <c r="AJ63" s="55" t="s">
        <v>285</v>
      </c>
      <c r="AK63" s="55"/>
      <c r="AL63" s="55"/>
    </row>
    <row r="64" spans="1:38" ht="31.95" customHeight="1" x14ac:dyDescent="0.3">
      <c r="A64" s="167">
        <v>44062</v>
      </c>
      <c r="B64" s="186">
        <v>0.63619212962962968</v>
      </c>
      <c r="C64" s="48"/>
      <c r="D64" s="48"/>
      <c r="E64" s="48">
        <f>IF(I64=Categories!$E$4,VLOOKUP(H64,Categories!$A$4:$C$13,3,1),VLOOKUP(I64,Categories!$E$4:$G$24,3,1))</f>
        <v>45</v>
      </c>
      <c r="F64" s="48"/>
      <c r="G64" s="43">
        <v>8</v>
      </c>
      <c r="H64" s="49" t="s">
        <v>224</v>
      </c>
      <c r="I64" s="50" t="s">
        <v>230</v>
      </c>
      <c r="J64" s="51"/>
      <c r="K64" s="121">
        <v>2800</v>
      </c>
      <c r="L64" s="52">
        <v>2</v>
      </c>
      <c r="M64" s="53">
        <v>6</v>
      </c>
      <c r="N64" s="53" t="s">
        <v>176</v>
      </c>
      <c r="O64" s="54" t="s">
        <v>172</v>
      </c>
      <c r="P64" s="176" t="s">
        <v>0</v>
      </c>
      <c r="Q64" s="180" t="s">
        <v>0</v>
      </c>
      <c r="R64" s="169"/>
      <c r="S64" s="169"/>
      <c r="T64" s="168"/>
      <c r="U64" s="169"/>
      <c r="V64" s="170"/>
      <c r="W64" s="170"/>
      <c r="X64" s="171"/>
      <c r="Y64" s="172"/>
      <c r="Z64" s="172"/>
      <c r="AA64" s="172"/>
      <c r="AB64" s="172"/>
      <c r="AC64" s="172"/>
      <c r="AD64" s="172"/>
      <c r="AE64" s="172"/>
      <c r="AF64" s="172"/>
      <c r="AG64" s="171"/>
      <c r="AH64" s="173"/>
      <c r="AI64" s="131"/>
      <c r="AJ64" s="55"/>
      <c r="AK64" s="55"/>
      <c r="AL64" s="55"/>
    </row>
    <row r="65" spans="1:38" ht="31.95" customHeight="1" x14ac:dyDescent="0.3">
      <c r="A65" s="12">
        <v>44062</v>
      </c>
      <c r="B65" s="187">
        <v>0.6368287037037037</v>
      </c>
      <c r="C65" s="48"/>
      <c r="D65" s="48"/>
      <c r="E65" s="48">
        <f>IF(I65=Categories!$E$4,VLOOKUP(H65,Categories!$A$4:$C$13,3,1),VLOOKUP(I65,Categories!$E$4:$G$24,3,1))</f>
        <v>120</v>
      </c>
      <c r="F65" s="48"/>
      <c r="G65" s="43">
        <v>8</v>
      </c>
      <c r="H65" s="49" t="s">
        <v>44</v>
      </c>
      <c r="I65" s="44" t="s">
        <v>0</v>
      </c>
      <c r="J65" s="51"/>
      <c r="K65" s="121">
        <v>2800</v>
      </c>
      <c r="L65" s="52">
        <v>2</v>
      </c>
      <c r="M65" s="53">
        <v>6</v>
      </c>
      <c r="N65" s="53" t="s">
        <v>176</v>
      </c>
      <c r="O65" s="54" t="s">
        <v>172</v>
      </c>
      <c r="P65" s="176" t="s">
        <v>0</v>
      </c>
      <c r="Q65" s="180" t="s">
        <v>0</v>
      </c>
      <c r="R65" s="132"/>
      <c r="S65" s="132"/>
      <c r="T65" s="139"/>
      <c r="U65" s="169"/>
      <c r="V65" s="135">
        <v>4.5999999999999996</v>
      </c>
      <c r="W65" s="135">
        <v>4.0999999999999996</v>
      </c>
      <c r="X65" s="136">
        <v>6.34</v>
      </c>
      <c r="Y65" s="137"/>
      <c r="Z65" s="137"/>
      <c r="AA65" s="137"/>
      <c r="AB65" s="137"/>
      <c r="AC65" s="137"/>
      <c r="AD65" s="137"/>
      <c r="AE65" s="137"/>
      <c r="AF65" s="137"/>
      <c r="AG65" s="136"/>
      <c r="AH65" s="138"/>
      <c r="AI65" s="131" t="s">
        <v>244</v>
      </c>
      <c r="AJ65" s="47" t="s">
        <v>292</v>
      </c>
      <c r="AK65" s="55"/>
      <c r="AL65" s="55"/>
    </row>
    <row r="66" spans="1:38" ht="31.95" customHeight="1" x14ac:dyDescent="0.3">
      <c r="A66" s="12">
        <v>44062</v>
      </c>
      <c r="B66" s="187">
        <v>0.63829861111111108</v>
      </c>
      <c r="C66" s="48"/>
      <c r="D66" s="48"/>
      <c r="E66" s="48">
        <f>IF(I66=Categories!$E$4,VLOOKUP(H66,Categories!$A$4:$C$13,3,1),VLOOKUP(I66,Categories!$E$4:$G$24,3,1))</f>
        <v>45</v>
      </c>
      <c r="F66" s="48"/>
      <c r="G66" s="43">
        <v>8</v>
      </c>
      <c r="H66" s="49" t="s">
        <v>224</v>
      </c>
      <c r="I66" s="50" t="s">
        <v>230</v>
      </c>
      <c r="J66" s="51"/>
      <c r="K66" s="121">
        <v>2800</v>
      </c>
      <c r="L66" s="52">
        <v>3</v>
      </c>
      <c r="M66" s="53">
        <v>6.7</v>
      </c>
      <c r="N66" s="53" t="s">
        <v>261</v>
      </c>
      <c r="O66" s="54" t="s">
        <v>172</v>
      </c>
      <c r="P66" s="176" t="s">
        <v>0</v>
      </c>
      <c r="Q66" s="180" t="s">
        <v>0</v>
      </c>
      <c r="R66" s="132"/>
      <c r="S66" s="132"/>
      <c r="T66" s="139"/>
      <c r="U66" s="169"/>
      <c r="V66" s="135"/>
      <c r="W66" s="135"/>
      <c r="X66" s="136"/>
      <c r="Y66" s="137"/>
      <c r="Z66" s="137"/>
      <c r="AA66" s="137"/>
      <c r="AB66" s="137"/>
      <c r="AC66" s="137"/>
      <c r="AD66" s="137"/>
      <c r="AE66" s="137"/>
      <c r="AF66" s="137"/>
      <c r="AG66" s="136"/>
      <c r="AH66" s="138"/>
      <c r="AI66" s="131"/>
      <c r="AJ66" s="47"/>
      <c r="AK66" s="55"/>
      <c r="AL66" s="55"/>
    </row>
    <row r="67" spans="1:38" ht="31.95" customHeight="1" x14ac:dyDescent="0.3">
      <c r="A67" s="12">
        <v>44062</v>
      </c>
      <c r="B67" s="187">
        <v>0.63885416666666661</v>
      </c>
      <c r="C67" s="48"/>
      <c r="D67" s="48"/>
      <c r="E67" s="48">
        <f>IF(I67=Categories!$E$4,VLOOKUP(H67,Categories!$A$4:$C$13,3,1),VLOOKUP(I67,Categories!$E$4:$G$24,3,1))</f>
        <v>120</v>
      </c>
      <c r="F67" s="48"/>
      <c r="G67" s="43">
        <v>8</v>
      </c>
      <c r="H67" s="49" t="s">
        <v>44</v>
      </c>
      <c r="I67" s="44" t="s">
        <v>0</v>
      </c>
      <c r="J67" s="51"/>
      <c r="K67" s="121">
        <v>2800</v>
      </c>
      <c r="L67" s="52">
        <v>3</v>
      </c>
      <c r="M67" s="53">
        <v>6.7</v>
      </c>
      <c r="N67" s="53" t="s">
        <v>261</v>
      </c>
      <c r="O67" s="54" t="s">
        <v>172</v>
      </c>
      <c r="P67" s="176" t="s">
        <v>0</v>
      </c>
      <c r="Q67" s="180" t="s">
        <v>0</v>
      </c>
      <c r="R67" s="132"/>
      <c r="S67" s="132"/>
      <c r="T67" s="139"/>
      <c r="U67" s="169"/>
      <c r="V67" s="135">
        <v>4.5999999999999996</v>
      </c>
      <c r="W67" s="135">
        <v>4.0999999999999996</v>
      </c>
      <c r="X67" s="136">
        <v>6.36</v>
      </c>
      <c r="Y67" s="137"/>
      <c r="Z67" s="137"/>
      <c r="AA67" s="137"/>
      <c r="AB67" s="137"/>
      <c r="AC67" s="137"/>
      <c r="AD67" s="137"/>
      <c r="AE67" s="137"/>
      <c r="AF67" s="137"/>
      <c r="AG67" s="136"/>
      <c r="AH67" s="138"/>
      <c r="AI67" s="131" t="s">
        <v>244</v>
      </c>
      <c r="AJ67" s="47" t="s">
        <v>293</v>
      </c>
      <c r="AK67" s="55"/>
      <c r="AL67" s="55"/>
    </row>
    <row r="68" spans="1:38" ht="31.95" customHeight="1" x14ac:dyDescent="0.3">
      <c r="A68" s="12">
        <v>44062</v>
      </c>
      <c r="B68" s="187">
        <v>0.64049768518518524</v>
      </c>
      <c r="C68" s="48"/>
      <c r="D68" s="48"/>
      <c r="E68" s="48">
        <f>IF(I68=Categories!$E$4,VLOOKUP(H68,Categories!$A$4:$C$13,3,1),VLOOKUP(I68,Categories!$E$4:$G$24,3,1))</f>
        <v>45</v>
      </c>
      <c r="F68" s="48"/>
      <c r="G68" s="43">
        <v>8</v>
      </c>
      <c r="H68" s="49" t="s">
        <v>224</v>
      </c>
      <c r="I68" s="50" t="s">
        <v>231</v>
      </c>
      <c r="J68" s="51"/>
      <c r="K68" s="121">
        <v>2800</v>
      </c>
      <c r="L68" s="52">
        <v>1</v>
      </c>
      <c r="M68" s="53">
        <v>1.73</v>
      </c>
      <c r="N68" s="53" t="s">
        <v>171</v>
      </c>
      <c r="O68" s="54" t="s">
        <v>172</v>
      </c>
      <c r="P68" s="176" t="s">
        <v>0</v>
      </c>
      <c r="Q68" s="180" t="s">
        <v>0</v>
      </c>
      <c r="R68" s="132"/>
      <c r="S68" s="132"/>
      <c r="T68" s="139"/>
      <c r="U68" s="169"/>
      <c r="V68" s="135"/>
      <c r="W68" s="135"/>
      <c r="X68" s="136"/>
      <c r="Y68" s="137"/>
      <c r="Z68" s="137"/>
      <c r="AA68" s="137"/>
      <c r="AB68" s="137"/>
      <c r="AC68" s="137"/>
      <c r="AD68" s="137"/>
      <c r="AE68" s="137"/>
      <c r="AF68" s="137"/>
      <c r="AG68" s="136"/>
      <c r="AH68" s="138"/>
      <c r="AI68" s="131"/>
      <c r="AJ68" s="47"/>
      <c r="AK68" s="55"/>
      <c r="AL68" s="55"/>
    </row>
    <row r="69" spans="1:38" ht="31.95" customHeight="1" x14ac:dyDescent="0.3">
      <c r="A69" s="12">
        <v>44062</v>
      </c>
      <c r="B69" s="187">
        <v>0.64104166666666662</v>
      </c>
      <c r="C69" s="48"/>
      <c r="D69" s="48"/>
      <c r="E69" s="48">
        <f>IF(I69=Categories!$E$4,VLOOKUP(H69,Categories!$A$4:$C$13,3,1),VLOOKUP(I69,Categories!$E$4:$G$24,3,1))</f>
        <v>120</v>
      </c>
      <c r="F69" s="48"/>
      <c r="G69" s="43">
        <v>8</v>
      </c>
      <c r="H69" s="49" t="s">
        <v>228</v>
      </c>
      <c r="I69" s="44" t="s">
        <v>0</v>
      </c>
      <c r="J69" s="51"/>
      <c r="K69" s="121">
        <v>2800</v>
      </c>
      <c r="L69" s="52">
        <v>1</v>
      </c>
      <c r="M69" s="53">
        <v>1.73</v>
      </c>
      <c r="N69" s="53" t="s">
        <v>171</v>
      </c>
      <c r="O69" s="54" t="s">
        <v>172</v>
      </c>
      <c r="P69" s="176" t="s">
        <v>0</v>
      </c>
      <c r="Q69" s="180" t="s">
        <v>0</v>
      </c>
      <c r="R69" s="132"/>
      <c r="S69" s="132"/>
      <c r="T69" s="139"/>
      <c r="U69" s="169"/>
      <c r="V69" s="135">
        <v>4.5999999999999996</v>
      </c>
      <c r="W69" s="135">
        <v>4.0999999999999996</v>
      </c>
      <c r="X69" s="136">
        <v>6.37</v>
      </c>
      <c r="Y69" s="137"/>
      <c r="Z69" s="137"/>
      <c r="AA69" s="137"/>
      <c r="AB69" s="137"/>
      <c r="AC69" s="137"/>
      <c r="AD69" s="137"/>
      <c r="AE69" s="137"/>
      <c r="AF69" s="137"/>
      <c r="AG69" s="136"/>
      <c r="AH69" s="138"/>
      <c r="AI69" s="131" t="s">
        <v>244</v>
      </c>
      <c r="AJ69" s="47"/>
      <c r="AK69" s="55"/>
      <c r="AL69" s="55"/>
    </row>
    <row r="70" spans="1:38" ht="31.95" customHeight="1" x14ac:dyDescent="0.3">
      <c r="A70" s="12">
        <v>44062</v>
      </c>
      <c r="B70" s="187">
        <v>0.64266203703703706</v>
      </c>
      <c r="C70" s="48"/>
      <c r="D70" s="48"/>
      <c r="E70" s="48">
        <f>IF(I70=Categories!$E$4,VLOOKUP(H70,Categories!$A$4:$C$13,3,1),VLOOKUP(I70,Categories!$E$4:$G$24,3,1))</f>
        <v>45</v>
      </c>
      <c r="F70" s="48"/>
      <c r="G70" s="43" t="s">
        <v>0</v>
      </c>
      <c r="H70" s="49" t="s">
        <v>224</v>
      </c>
      <c r="I70" s="50" t="s">
        <v>2</v>
      </c>
      <c r="J70" s="51"/>
      <c r="K70" s="121">
        <v>3100</v>
      </c>
      <c r="L70" s="52">
        <v>1</v>
      </c>
      <c r="M70" s="53">
        <v>1.73</v>
      </c>
      <c r="N70" s="53" t="s">
        <v>171</v>
      </c>
      <c r="O70" s="54" t="s">
        <v>172</v>
      </c>
      <c r="P70" s="176" t="s">
        <v>0</v>
      </c>
      <c r="Q70" s="180" t="s">
        <v>0</v>
      </c>
      <c r="R70" s="132"/>
      <c r="S70" s="132"/>
      <c r="T70" s="139"/>
      <c r="U70" s="169"/>
      <c r="V70" s="135"/>
      <c r="W70" s="135"/>
      <c r="X70" s="136"/>
      <c r="Y70" s="137"/>
      <c r="Z70" s="137"/>
      <c r="AA70" s="137"/>
      <c r="AB70" s="137"/>
      <c r="AC70" s="137"/>
      <c r="AD70" s="137"/>
      <c r="AE70" s="137"/>
      <c r="AF70" s="137"/>
      <c r="AG70" s="136"/>
      <c r="AH70" s="138"/>
      <c r="AI70" s="131"/>
      <c r="AJ70" s="47"/>
      <c r="AK70" s="55"/>
      <c r="AL70" s="55"/>
    </row>
    <row r="71" spans="1:38" ht="31.95" customHeight="1" x14ac:dyDescent="0.3">
      <c r="A71" s="167">
        <v>44062</v>
      </c>
      <c r="B71" s="186">
        <v>0.64326388888888886</v>
      </c>
      <c r="C71" s="48"/>
      <c r="D71" s="48"/>
      <c r="E71" s="48">
        <f>IF(I71=Categories!$E$4,VLOOKUP(H71,Categories!$A$4:$C$13,3,1),VLOOKUP(I71,Categories!$E$4:$G$24,3,1))</f>
        <v>120</v>
      </c>
      <c r="F71" s="48"/>
      <c r="G71" s="43">
        <v>9</v>
      </c>
      <c r="H71" s="49" t="s">
        <v>44</v>
      </c>
      <c r="I71" s="50" t="s">
        <v>0</v>
      </c>
      <c r="J71" s="51"/>
      <c r="K71" s="121">
        <v>3100</v>
      </c>
      <c r="L71" s="52">
        <v>1</v>
      </c>
      <c r="M71" s="53">
        <v>1.73</v>
      </c>
      <c r="N71" s="53" t="s">
        <v>171</v>
      </c>
      <c r="O71" s="54" t="s">
        <v>172</v>
      </c>
      <c r="P71" s="176" t="s">
        <v>0</v>
      </c>
      <c r="Q71" s="180" t="s">
        <v>0</v>
      </c>
      <c r="R71" s="169"/>
      <c r="S71" s="169"/>
      <c r="T71" s="168"/>
      <c r="U71" s="169"/>
      <c r="V71" s="170">
        <v>5.4</v>
      </c>
      <c r="W71" s="170">
        <v>5.6</v>
      </c>
      <c r="X71" s="171">
        <v>7.12</v>
      </c>
      <c r="Y71" s="172"/>
      <c r="Z71" s="172"/>
      <c r="AA71" s="172"/>
      <c r="AB71" s="172"/>
      <c r="AC71" s="172"/>
      <c r="AD71" s="172"/>
      <c r="AE71" s="172"/>
      <c r="AF71" s="172"/>
      <c r="AG71" s="171"/>
      <c r="AH71" s="173"/>
      <c r="AI71" s="131"/>
      <c r="AJ71" s="55"/>
      <c r="AK71" s="55"/>
      <c r="AL71" s="55"/>
    </row>
    <row r="72" spans="1:38" ht="31.95" customHeight="1" x14ac:dyDescent="0.3">
      <c r="A72" s="167">
        <v>44062</v>
      </c>
      <c r="B72" s="186">
        <v>0.64491898148148141</v>
      </c>
      <c r="C72" s="48"/>
      <c r="D72" s="48"/>
      <c r="E72" s="48">
        <f>IF(I72=Categories!$E$4,VLOOKUP(H72,Categories!$A$4:$C$13,3,1),VLOOKUP(I72,Categories!$E$4:$G$24,3,1))</f>
        <v>45</v>
      </c>
      <c r="F72" s="48"/>
      <c r="G72" s="43">
        <v>9</v>
      </c>
      <c r="H72" s="49" t="s">
        <v>224</v>
      </c>
      <c r="I72" s="50" t="s">
        <v>230</v>
      </c>
      <c r="J72" s="51"/>
      <c r="K72" s="121">
        <v>3100</v>
      </c>
      <c r="L72" s="52">
        <v>2</v>
      </c>
      <c r="M72" s="53">
        <v>6</v>
      </c>
      <c r="N72" s="53" t="s">
        <v>176</v>
      </c>
      <c r="O72" s="54" t="s">
        <v>172</v>
      </c>
      <c r="P72" s="176" t="s">
        <v>0</v>
      </c>
      <c r="Q72" s="180" t="s">
        <v>0</v>
      </c>
      <c r="R72" s="169"/>
      <c r="S72" s="169"/>
      <c r="T72" s="168"/>
      <c r="U72" s="169"/>
      <c r="V72" s="170"/>
      <c r="W72" s="170"/>
      <c r="X72" s="171"/>
      <c r="Y72" s="172"/>
      <c r="Z72" s="172"/>
      <c r="AA72" s="172"/>
      <c r="AB72" s="172"/>
      <c r="AC72" s="172"/>
      <c r="AD72" s="172"/>
      <c r="AE72" s="172"/>
      <c r="AF72" s="172"/>
      <c r="AG72" s="171"/>
      <c r="AH72" s="173"/>
      <c r="AI72" s="131"/>
      <c r="AJ72" s="55"/>
      <c r="AK72" s="55"/>
      <c r="AL72" s="55"/>
    </row>
    <row r="73" spans="1:38" ht="31.95" customHeight="1" x14ac:dyDescent="0.3">
      <c r="A73" s="12">
        <v>44062</v>
      </c>
      <c r="B73" s="187">
        <v>0.64541666666666664</v>
      </c>
      <c r="C73" s="48"/>
      <c r="D73" s="48"/>
      <c r="E73" s="48">
        <f>IF(I73=Categories!$E$4,VLOOKUP(H73,Categories!$A$4:$C$13,3,1),VLOOKUP(I73,Categories!$E$4:$G$24,3,1))</f>
        <v>120</v>
      </c>
      <c r="F73" s="48"/>
      <c r="G73" s="43">
        <v>9</v>
      </c>
      <c r="H73" s="49" t="s">
        <v>44</v>
      </c>
      <c r="I73" s="44" t="s">
        <v>0</v>
      </c>
      <c r="J73" s="51"/>
      <c r="K73" s="121">
        <v>3100</v>
      </c>
      <c r="L73" s="52">
        <v>2</v>
      </c>
      <c r="M73" s="53">
        <v>6</v>
      </c>
      <c r="N73" s="53" t="s">
        <v>176</v>
      </c>
      <c r="O73" s="54" t="s">
        <v>172</v>
      </c>
      <c r="P73" s="176" t="s">
        <v>0</v>
      </c>
      <c r="Q73" s="180" t="s">
        <v>0</v>
      </c>
      <c r="R73" s="132"/>
      <c r="S73" s="132"/>
      <c r="T73" s="139"/>
      <c r="U73" s="169"/>
      <c r="V73" s="135">
        <v>5.5</v>
      </c>
      <c r="W73" s="135">
        <v>5.6</v>
      </c>
      <c r="X73" s="136">
        <v>7.1</v>
      </c>
      <c r="Y73" s="137"/>
      <c r="Z73" s="137"/>
      <c r="AA73" s="137"/>
      <c r="AB73" s="137"/>
      <c r="AC73" s="137"/>
      <c r="AD73" s="137"/>
      <c r="AE73" s="137"/>
      <c r="AF73" s="137"/>
      <c r="AG73" s="136"/>
      <c r="AH73" s="138"/>
      <c r="AI73" s="131"/>
      <c r="AJ73" s="47" t="s">
        <v>292</v>
      </c>
      <c r="AK73" s="55"/>
      <c r="AL73" s="55"/>
    </row>
    <row r="74" spans="1:38" ht="31.95" customHeight="1" x14ac:dyDescent="0.3">
      <c r="A74" s="12">
        <v>44062</v>
      </c>
      <c r="B74" s="187">
        <v>0.6468518518518519</v>
      </c>
      <c r="C74" s="48"/>
      <c r="D74" s="48"/>
      <c r="E74" s="48">
        <f>IF(I74=Categories!$E$4,VLOOKUP(H74,Categories!$A$4:$C$13,3,1),VLOOKUP(I74,Categories!$E$4:$G$24,3,1))</f>
        <v>45</v>
      </c>
      <c r="F74" s="48"/>
      <c r="G74" s="43">
        <v>9</v>
      </c>
      <c r="H74" s="49" t="s">
        <v>224</v>
      </c>
      <c r="I74" s="50" t="s">
        <v>230</v>
      </c>
      <c r="J74" s="51"/>
      <c r="K74" s="121">
        <v>3100</v>
      </c>
      <c r="L74" s="52">
        <v>3</v>
      </c>
      <c r="M74" s="53">
        <v>6.7</v>
      </c>
      <c r="N74" s="53" t="s">
        <v>261</v>
      </c>
      <c r="O74" s="54" t="s">
        <v>172</v>
      </c>
      <c r="P74" s="176" t="s">
        <v>0</v>
      </c>
      <c r="Q74" s="180" t="s">
        <v>0</v>
      </c>
      <c r="R74" s="132"/>
      <c r="S74" s="132"/>
      <c r="T74" s="139"/>
      <c r="U74" s="169"/>
      <c r="V74" s="135"/>
      <c r="W74" s="135"/>
      <c r="X74" s="136"/>
      <c r="Y74" s="137"/>
      <c r="Z74" s="137"/>
      <c r="AA74" s="137"/>
      <c r="AB74" s="137"/>
      <c r="AC74" s="137"/>
      <c r="AD74" s="137"/>
      <c r="AE74" s="137"/>
      <c r="AF74" s="137"/>
      <c r="AG74" s="136"/>
      <c r="AH74" s="138"/>
      <c r="AI74" s="131"/>
      <c r="AJ74" s="47"/>
      <c r="AK74" s="55"/>
      <c r="AL74" s="55"/>
    </row>
    <row r="75" spans="1:38" ht="31.95" customHeight="1" x14ac:dyDescent="0.3">
      <c r="A75" s="12">
        <v>44062</v>
      </c>
      <c r="B75" s="187">
        <v>0.64739583333333328</v>
      </c>
      <c r="C75" s="48"/>
      <c r="D75" s="48"/>
      <c r="E75" s="48">
        <f>IF(I75=Categories!$E$4,VLOOKUP(H75,Categories!$A$4:$C$13,3,1),VLOOKUP(I75,Categories!$E$4:$G$24,3,1))</f>
        <v>120</v>
      </c>
      <c r="F75" s="48"/>
      <c r="G75" s="43">
        <v>9</v>
      </c>
      <c r="H75" s="49" t="s">
        <v>44</v>
      </c>
      <c r="I75" s="44" t="s">
        <v>0</v>
      </c>
      <c r="J75" s="51"/>
      <c r="K75" s="121">
        <v>3100</v>
      </c>
      <c r="L75" s="52">
        <v>3</v>
      </c>
      <c r="M75" s="53">
        <v>6.7</v>
      </c>
      <c r="N75" s="53" t="s">
        <v>261</v>
      </c>
      <c r="O75" s="54" t="s">
        <v>172</v>
      </c>
      <c r="P75" s="176" t="s">
        <v>0</v>
      </c>
      <c r="Q75" s="180" t="s">
        <v>0</v>
      </c>
      <c r="R75" s="132"/>
      <c r="S75" s="132"/>
      <c r="T75" s="139"/>
      <c r="U75" s="169"/>
      <c r="V75" s="135">
        <v>5.5</v>
      </c>
      <c r="W75" s="135">
        <v>5.6</v>
      </c>
      <c r="X75" s="136">
        <v>7.1</v>
      </c>
      <c r="Y75" s="137"/>
      <c r="Z75" s="137"/>
      <c r="AA75" s="137"/>
      <c r="AB75" s="137"/>
      <c r="AC75" s="137"/>
      <c r="AD75" s="137"/>
      <c r="AE75" s="137"/>
      <c r="AF75" s="137"/>
      <c r="AG75" s="136"/>
      <c r="AH75" s="138"/>
      <c r="AI75" s="131"/>
      <c r="AJ75" s="47"/>
      <c r="AK75" s="55"/>
      <c r="AL75" s="55"/>
    </row>
    <row r="76" spans="1:38" ht="31.95" customHeight="1" x14ac:dyDescent="0.3">
      <c r="A76" s="12">
        <v>44062</v>
      </c>
      <c r="B76" s="187">
        <v>0.64946759259259257</v>
      </c>
      <c r="C76" s="48"/>
      <c r="D76" s="48"/>
      <c r="E76" s="48">
        <f>IF(I76=Categories!$E$4,VLOOKUP(H76,Categories!$A$4:$C$13,3,1),VLOOKUP(I76,Categories!$E$4:$G$24,3,1))</f>
        <v>45</v>
      </c>
      <c r="F76" s="48"/>
      <c r="G76" s="43">
        <v>9</v>
      </c>
      <c r="H76" s="49" t="s">
        <v>224</v>
      </c>
      <c r="I76" s="50" t="s">
        <v>231</v>
      </c>
      <c r="J76" s="51"/>
      <c r="K76" s="121">
        <v>3100</v>
      </c>
      <c r="L76" s="52">
        <v>1</v>
      </c>
      <c r="M76" s="53">
        <v>1.73</v>
      </c>
      <c r="N76" s="53" t="s">
        <v>171</v>
      </c>
      <c r="O76" s="54" t="s">
        <v>172</v>
      </c>
      <c r="P76" s="176" t="s">
        <v>0</v>
      </c>
      <c r="Q76" s="180" t="s">
        <v>0</v>
      </c>
      <c r="R76" s="132"/>
      <c r="S76" s="132"/>
      <c r="T76" s="139"/>
      <c r="U76" s="169"/>
      <c r="V76" s="135"/>
      <c r="W76" s="135"/>
      <c r="X76" s="136"/>
      <c r="Y76" s="137"/>
      <c r="Z76" s="137"/>
      <c r="AA76" s="137"/>
      <c r="AB76" s="137"/>
      <c r="AC76" s="137"/>
      <c r="AD76" s="137"/>
      <c r="AE76" s="137"/>
      <c r="AF76" s="137"/>
      <c r="AG76" s="136"/>
      <c r="AH76" s="138"/>
      <c r="AI76" s="131"/>
      <c r="AJ76" s="47"/>
      <c r="AK76" s="55"/>
      <c r="AL76" s="55"/>
    </row>
    <row r="77" spans="1:38" ht="31.95" customHeight="1" x14ac:dyDescent="0.3">
      <c r="A77" s="12">
        <v>44062</v>
      </c>
      <c r="B77" s="187">
        <v>0.65003472222222225</v>
      </c>
      <c r="C77" s="48"/>
      <c r="D77" s="48"/>
      <c r="E77" s="48">
        <f>IF(I77=Categories!$E$4,VLOOKUP(H77,Categories!$A$4:$C$13,3,1),VLOOKUP(I77,Categories!$E$4:$G$24,3,1))</f>
        <v>120</v>
      </c>
      <c r="F77" s="48"/>
      <c r="G77" s="43">
        <v>9</v>
      </c>
      <c r="H77" s="49" t="s">
        <v>228</v>
      </c>
      <c r="I77" s="44" t="s">
        <v>0</v>
      </c>
      <c r="J77" s="51"/>
      <c r="K77" s="121">
        <v>3100</v>
      </c>
      <c r="L77" s="52">
        <v>1</v>
      </c>
      <c r="M77" s="53">
        <v>1.73</v>
      </c>
      <c r="N77" s="53" t="s">
        <v>171</v>
      </c>
      <c r="O77" s="54" t="s">
        <v>172</v>
      </c>
      <c r="P77" s="176" t="s">
        <v>0</v>
      </c>
      <c r="Q77" s="180" t="s">
        <v>0</v>
      </c>
      <c r="R77" s="132"/>
      <c r="S77" s="132"/>
      <c r="T77" s="139"/>
      <c r="U77" s="169"/>
      <c r="V77" s="135">
        <v>5.4</v>
      </c>
      <c r="W77" s="135">
        <v>5.5</v>
      </c>
      <c r="X77" s="136">
        <v>7.12</v>
      </c>
      <c r="Y77" s="137"/>
      <c r="Z77" s="137"/>
      <c r="AA77" s="137"/>
      <c r="AB77" s="137"/>
      <c r="AC77" s="137"/>
      <c r="AD77" s="137"/>
      <c r="AE77" s="137"/>
      <c r="AF77" s="137"/>
      <c r="AG77" s="136"/>
      <c r="AH77" s="138"/>
      <c r="AI77" s="131"/>
      <c r="AJ77" s="47"/>
      <c r="AK77" s="55"/>
      <c r="AL77" s="55"/>
    </row>
    <row r="78" spans="1:38" ht="31.95" customHeight="1" x14ac:dyDescent="0.3">
      <c r="A78" s="12">
        <v>44062</v>
      </c>
      <c r="B78" s="187">
        <v>0.65168981481481481</v>
      </c>
      <c r="C78" s="48"/>
      <c r="D78" s="48"/>
      <c r="E78" s="48" t="s">
        <v>0</v>
      </c>
      <c r="F78" s="48"/>
      <c r="G78" s="43" t="s">
        <v>0</v>
      </c>
      <c r="H78" s="49" t="s">
        <v>3</v>
      </c>
      <c r="I78" s="50" t="s">
        <v>2</v>
      </c>
      <c r="J78" s="51"/>
      <c r="K78" s="121">
        <v>2200</v>
      </c>
      <c r="L78" s="52">
        <v>1</v>
      </c>
      <c r="M78" s="53">
        <v>1.73</v>
      </c>
      <c r="N78" s="53" t="s">
        <v>171</v>
      </c>
      <c r="O78" s="54" t="s">
        <v>172</v>
      </c>
      <c r="P78" s="176" t="s">
        <v>0</v>
      </c>
      <c r="Q78" s="180" t="s">
        <v>0</v>
      </c>
      <c r="R78" s="132"/>
      <c r="S78" s="132"/>
      <c r="T78" s="139"/>
      <c r="U78" s="169"/>
      <c r="V78" s="135"/>
      <c r="W78" s="135"/>
      <c r="X78" s="136"/>
      <c r="Y78" s="137"/>
      <c r="Z78" s="137"/>
      <c r="AA78" s="137"/>
      <c r="AB78" s="137"/>
      <c r="AC78" s="137"/>
      <c r="AD78" s="137"/>
      <c r="AE78" s="137"/>
      <c r="AF78" s="137"/>
      <c r="AG78" s="136"/>
      <c r="AH78" s="138"/>
      <c r="AI78" s="131"/>
      <c r="AJ78" s="47"/>
      <c r="AK78" s="55"/>
      <c r="AL78" s="55"/>
    </row>
    <row r="79" spans="1:38" ht="31.95" customHeight="1" x14ac:dyDescent="0.3">
      <c r="A79" s="167">
        <v>44062</v>
      </c>
      <c r="B79" s="186">
        <v>0.65283564814814821</v>
      </c>
      <c r="C79" s="48"/>
      <c r="D79" s="48"/>
      <c r="E79" s="48" t="str">
        <f>IF(I79=Categories!$E$4,VLOOKUP(H79,Categories!$A$4:$C$13,3,1),VLOOKUP(I79,Categories!$E$4:$G$24,3,1))</f>
        <v>-</v>
      </c>
      <c r="F79" s="48"/>
      <c r="G79" s="43" t="s">
        <v>0</v>
      </c>
      <c r="H79" s="49" t="s">
        <v>3</v>
      </c>
      <c r="I79" s="50" t="s">
        <v>61</v>
      </c>
      <c r="J79" s="51"/>
      <c r="K79" s="121">
        <v>2200</v>
      </c>
      <c r="L79" s="52" t="s">
        <v>0</v>
      </c>
      <c r="M79" s="53" t="str">
        <f>IFERROR(VLOOKUP(VLOOKUP(O79,O79,1,1),Categories!$K$4:$V$17,2+VLOOKUP(L79,L79,1,1)),"-"  )</f>
        <v>-</v>
      </c>
      <c r="N79" s="53" t="str">
        <f>IFERROR(VLOOKUP(VLOOKUP(O79,O79,1,1),Categories!$K$3:$V$17,7+VLOOKUP(L79,L79,1,1)),"-")</f>
        <v>-</v>
      </c>
      <c r="O79" s="54" t="s">
        <v>0</v>
      </c>
      <c r="P79" s="176" t="s">
        <v>0</v>
      </c>
      <c r="Q79" s="180" t="s">
        <v>0</v>
      </c>
      <c r="R79" s="169"/>
      <c r="S79" s="169"/>
      <c r="T79" s="168"/>
      <c r="U79" s="169"/>
      <c r="V79" s="170"/>
      <c r="W79" s="170"/>
      <c r="X79" s="171"/>
      <c r="Y79" s="172"/>
      <c r="Z79" s="172"/>
      <c r="AA79" s="172"/>
      <c r="AB79" s="172"/>
      <c r="AC79" s="172"/>
      <c r="AD79" s="172"/>
      <c r="AE79" s="172"/>
      <c r="AF79" s="172"/>
      <c r="AG79" s="171"/>
      <c r="AH79" s="173"/>
      <c r="AI79" s="131"/>
      <c r="AJ79" s="55"/>
      <c r="AK79" s="55"/>
      <c r="AL79" s="55"/>
    </row>
    <row r="80" spans="1:38" ht="31.95" customHeight="1" x14ac:dyDescent="0.3">
      <c r="A80" s="167">
        <v>44062</v>
      </c>
      <c r="B80" s="186">
        <v>0.70140046296296299</v>
      </c>
      <c r="C80" s="48"/>
      <c r="D80" s="48"/>
      <c r="E80" s="48" t="str">
        <f>IF(I80=Categories!$E$4,VLOOKUP(H80,Categories!$A$4:$C$13,3,1),VLOOKUP(I80,Categories!$E$4:$G$24,3,1))</f>
        <v>-</v>
      </c>
      <c r="F80" s="48"/>
      <c r="G80" s="43" t="s">
        <v>0</v>
      </c>
      <c r="H80" s="49" t="s">
        <v>3</v>
      </c>
      <c r="I80" s="50" t="s">
        <v>62</v>
      </c>
      <c r="J80" s="51"/>
      <c r="K80" s="121">
        <v>2200</v>
      </c>
      <c r="L80" s="52">
        <v>1</v>
      </c>
      <c r="M80" s="53">
        <f>IFERROR(VLOOKUP(VLOOKUP(O80,O80,1,1),Categories!$K$4:$V$17,2+VLOOKUP(L80,L80,1,1)),"-"  )</f>
        <v>1.67</v>
      </c>
      <c r="N80" s="53" t="str">
        <f>IFERROR(VLOOKUP(VLOOKUP(O80,O80,1,1),Categories!$K$3:$V$17,7+VLOOKUP(L80,L80,1,1)),"-")</f>
        <v>0 ATM</v>
      </c>
      <c r="O80" s="54" t="s">
        <v>58</v>
      </c>
      <c r="P80" s="176" t="s">
        <v>0</v>
      </c>
      <c r="Q80" s="180" t="s">
        <v>0</v>
      </c>
      <c r="R80" s="169"/>
      <c r="S80" s="169"/>
      <c r="T80" s="168"/>
      <c r="U80" s="169"/>
      <c r="V80" s="170"/>
      <c r="W80" s="170"/>
      <c r="X80" s="171"/>
      <c r="Y80" s="172"/>
      <c r="Z80" s="172"/>
      <c r="AA80" s="172"/>
      <c r="AB80" s="172"/>
      <c r="AC80" s="172"/>
      <c r="AD80" s="172"/>
      <c r="AE80" s="172"/>
      <c r="AF80" s="172"/>
      <c r="AG80" s="171"/>
      <c r="AH80" s="173"/>
      <c r="AI80" s="131" t="s">
        <v>234</v>
      </c>
      <c r="AJ80" s="55" t="s">
        <v>288</v>
      </c>
      <c r="AK80" s="55"/>
      <c r="AL80" s="55"/>
    </row>
    <row r="81" spans="1:38" ht="31.95" customHeight="1" x14ac:dyDescent="0.3">
      <c r="A81" s="167">
        <v>44062</v>
      </c>
      <c r="B81" s="186">
        <v>0.70606481481481476</v>
      </c>
      <c r="C81" s="48"/>
      <c r="D81" s="48"/>
      <c r="E81" s="48">
        <f>IF(I81=Categories!$E$4,VLOOKUP(H81,Categories!$A$4:$C$13,3,1),VLOOKUP(I81,Categories!$E$4:$G$24,3,1))</f>
        <v>120</v>
      </c>
      <c r="F81" s="48"/>
      <c r="G81" s="43">
        <v>10</v>
      </c>
      <c r="H81" s="49" t="s">
        <v>44</v>
      </c>
      <c r="I81" s="50" t="s">
        <v>0</v>
      </c>
      <c r="J81" s="51"/>
      <c r="K81" s="121">
        <v>2200</v>
      </c>
      <c r="L81" s="52">
        <v>1</v>
      </c>
      <c r="M81" s="53">
        <f>IFERROR(VLOOKUP(VLOOKUP(O81,O81,1,1),Categories!$K$4:$V$17,2+VLOOKUP(L81,L81,1,1)),"-"  )</f>
        <v>1.67</v>
      </c>
      <c r="N81" s="53" t="str">
        <f>IFERROR(VLOOKUP(VLOOKUP(O81,O81,1,1),Categories!$K$3:$V$17,7+VLOOKUP(L81,L81,1,1)),"-")</f>
        <v>0 ATM</v>
      </c>
      <c r="O81" s="54" t="s">
        <v>58</v>
      </c>
      <c r="P81" s="176" t="s">
        <v>0</v>
      </c>
      <c r="Q81" s="180" t="s">
        <v>0</v>
      </c>
      <c r="R81" s="169"/>
      <c r="S81" s="169"/>
      <c r="T81" s="168"/>
      <c r="U81" s="169"/>
      <c r="V81" s="170">
        <v>3.4</v>
      </c>
      <c r="W81" s="170">
        <v>2.1</v>
      </c>
      <c r="X81" s="171">
        <v>4.9000000000000004</v>
      </c>
      <c r="Y81" s="172"/>
      <c r="Z81" s="172"/>
      <c r="AA81" s="172"/>
      <c r="AB81" s="172"/>
      <c r="AC81" s="172"/>
      <c r="AD81" s="172"/>
      <c r="AE81" s="172"/>
      <c r="AF81" s="172"/>
      <c r="AG81" s="171"/>
      <c r="AH81" s="173"/>
      <c r="AI81" s="131"/>
      <c r="AJ81" s="55"/>
      <c r="AK81" s="55"/>
      <c r="AL81" s="55"/>
    </row>
    <row r="82" spans="1:38" ht="31.95" customHeight="1" x14ac:dyDescent="0.3">
      <c r="A82" s="167">
        <v>44062</v>
      </c>
      <c r="B82" s="186">
        <v>0.70804398148148151</v>
      </c>
      <c r="C82" s="48"/>
      <c r="D82" s="48"/>
      <c r="E82" s="48">
        <f>IF(I82=Categories!$E$4,VLOOKUP(H82,Categories!$A$4:$C$13,3,1),VLOOKUP(I82,Categories!$E$4:$G$24,3,1))</f>
        <v>45</v>
      </c>
      <c r="F82" s="48"/>
      <c r="G82" s="43">
        <v>10</v>
      </c>
      <c r="H82" s="49" t="s">
        <v>224</v>
      </c>
      <c r="I82" s="50" t="s">
        <v>230</v>
      </c>
      <c r="J82" s="51"/>
      <c r="K82" s="121">
        <v>2200</v>
      </c>
      <c r="L82" s="52">
        <v>2</v>
      </c>
      <c r="M82" s="53">
        <f>IFERROR(VLOOKUP(VLOOKUP(O82,O82,1,1),Categories!$K$4:$V$17,2+VLOOKUP(L82,L82,1,1)),"-"  )</f>
        <v>7.3</v>
      </c>
      <c r="N82" s="53" t="str">
        <f>IFERROR(VLOOKUP(VLOOKUP(O82,O82,1,1),Categories!$K$3:$V$17,7+VLOOKUP(L82,L82,1,1)),"-")</f>
        <v>4 ATM</v>
      </c>
      <c r="O82" s="54" t="s">
        <v>58</v>
      </c>
      <c r="P82" s="176" t="s">
        <v>0</v>
      </c>
      <c r="Q82" s="180" t="s">
        <v>0</v>
      </c>
      <c r="R82" s="169"/>
      <c r="S82" s="169"/>
      <c r="T82" s="168"/>
      <c r="U82" s="169"/>
      <c r="V82" s="170"/>
      <c r="W82" s="170"/>
      <c r="X82" s="171"/>
      <c r="Y82" s="172"/>
      <c r="Z82" s="172"/>
      <c r="AA82" s="172"/>
      <c r="AB82" s="172"/>
      <c r="AC82" s="172"/>
      <c r="AD82" s="172"/>
      <c r="AE82" s="172"/>
      <c r="AF82" s="172"/>
      <c r="AG82" s="171"/>
      <c r="AH82" s="173"/>
      <c r="AI82" s="131"/>
      <c r="AJ82" s="55"/>
      <c r="AK82" s="55"/>
      <c r="AL82" s="55"/>
    </row>
    <row r="83" spans="1:38" ht="31.95" customHeight="1" x14ac:dyDescent="0.3">
      <c r="A83" s="12">
        <v>44062</v>
      </c>
      <c r="B83" s="187">
        <v>0.70864583333333331</v>
      </c>
      <c r="C83" s="48"/>
      <c r="D83" s="48"/>
      <c r="E83" s="48">
        <f>IF(I83=Categories!$E$4,VLOOKUP(H83,Categories!$A$4:$C$13,3,1),VLOOKUP(I83,Categories!$E$4:$G$24,3,1))</f>
        <v>120</v>
      </c>
      <c r="F83" s="48"/>
      <c r="G83" s="43">
        <v>10</v>
      </c>
      <c r="H83" s="49" t="s">
        <v>44</v>
      </c>
      <c r="I83" s="44" t="s">
        <v>0</v>
      </c>
      <c r="J83" s="51"/>
      <c r="K83" s="121">
        <v>2200</v>
      </c>
      <c r="L83" s="52">
        <v>2</v>
      </c>
      <c r="M83" s="53">
        <f>IFERROR(VLOOKUP(VLOOKUP(O83,O83,1,1),Categories!$K$4:$V$17,2+VLOOKUP(L83,L83,1,1)),"-"  )</f>
        <v>7.3</v>
      </c>
      <c r="N83" s="53" t="str">
        <f>IFERROR(VLOOKUP(VLOOKUP(O83,O83,1,1),Categories!$K$3:$V$17,7+VLOOKUP(L83,L83,1,1)),"-")</f>
        <v>4 ATM</v>
      </c>
      <c r="O83" s="54" t="s">
        <v>58</v>
      </c>
      <c r="P83" s="176" t="s">
        <v>0</v>
      </c>
      <c r="Q83" s="180" t="s">
        <v>0</v>
      </c>
      <c r="R83" s="132"/>
      <c r="S83" s="132"/>
      <c r="T83" s="139"/>
      <c r="U83" s="169"/>
      <c r="V83" s="135">
        <v>3.2</v>
      </c>
      <c r="W83" s="135">
        <v>2.1</v>
      </c>
      <c r="X83" s="136">
        <v>4.7300000000000004</v>
      </c>
      <c r="Y83" s="137"/>
      <c r="Z83" s="137"/>
      <c r="AA83" s="137"/>
      <c r="AB83" s="137"/>
      <c r="AC83" s="137"/>
      <c r="AD83" s="137"/>
      <c r="AE83" s="137"/>
      <c r="AF83" s="137"/>
      <c r="AG83" s="136"/>
      <c r="AH83" s="138"/>
      <c r="AI83" s="131"/>
      <c r="AJ83" s="47"/>
      <c r="AK83" s="55"/>
      <c r="AL83" s="55"/>
    </row>
    <row r="84" spans="1:38" ht="31.95" customHeight="1" x14ac:dyDescent="0.3">
      <c r="A84" s="12">
        <v>44062</v>
      </c>
      <c r="B84" s="187">
        <v>0.71077546296296301</v>
      </c>
      <c r="C84" s="48"/>
      <c r="D84" s="48"/>
      <c r="E84" s="48">
        <f>IF(I84=Categories!$E$4,VLOOKUP(H84,Categories!$A$4:$C$13,3,1),VLOOKUP(I84,Categories!$E$4:$G$24,3,1))</f>
        <v>45</v>
      </c>
      <c r="F84" s="48"/>
      <c r="G84" s="43">
        <v>10</v>
      </c>
      <c r="H84" s="49" t="s">
        <v>224</v>
      </c>
      <c r="I84" s="50" t="s">
        <v>230</v>
      </c>
      <c r="J84" s="51"/>
      <c r="K84" s="121">
        <v>2200</v>
      </c>
      <c r="L84" s="52">
        <v>3</v>
      </c>
      <c r="M84" s="53">
        <f>IFERROR(VLOOKUP(VLOOKUP(O84,O84,1,1),Categories!$K$4:$V$17,2+VLOOKUP(L84,L84,1,1)),"-"  )</f>
        <v>8.52</v>
      </c>
      <c r="N84" s="53" t="str">
        <f>IFERROR(VLOOKUP(VLOOKUP(O84,O84,1,1),Categories!$K$3:$V$17,7+VLOOKUP(L84,L84,1,1)),"-")</f>
        <v>13 ATM</v>
      </c>
      <c r="O84" s="54" t="s">
        <v>58</v>
      </c>
      <c r="P84" s="176" t="s">
        <v>0</v>
      </c>
      <c r="Q84" s="180" t="s">
        <v>0</v>
      </c>
      <c r="R84" s="132"/>
      <c r="S84" s="132"/>
      <c r="T84" s="139"/>
      <c r="U84" s="169"/>
      <c r="V84" s="135"/>
      <c r="W84" s="135"/>
      <c r="X84" s="136"/>
      <c r="Y84" s="137"/>
      <c r="Z84" s="137"/>
      <c r="AA84" s="137"/>
      <c r="AB84" s="137"/>
      <c r="AC84" s="137"/>
      <c r="AD84" s="137"/>
      <c r="AE84" s="137"/>
      <c r="AF84" s="137"/>
      <c r="AG84" s="136"/>
      <c r="AH84" s="138"/>
      <c r="AI84" s="131"/>
      <c r="AJ84" s="47"/>
      <c r="AK84" s="55"/>
      <c r="AL84" s="181"/>
    </row>
    <row r="85" spans="1:38" ht="31.95" customHeight="1" x14ac:dyDescent="0.3">
      <c r="A85" s="12">
        <v>44062</v>
      </c>
      <c r="B85" s="187">
        <v>0.71150462962962957</v>
      </c>
      <c r="C85" s="48"/>
      <c r="D85" s="48"/>
      <c r="E85" s="48">
        <f>IF(I85=Categories!$E$4,VLOOKUP(H85,Categories!$A$4:$C$13,3,1),VLOOKUP(I85,Categories!$E$4:$G$24,3,1))</f>
        <v>120</v>
      </c>
      <c r="F85" s="48"/>
      <c r="G85" s="43">
        <v>10</v>
      </c>
      <c r="H85" s="49" t="s">
        <v>44</v>
      </c>
      <c r="I85" s="44" t="s">
        <v>0</v>
      </c>
      <c r="J85" s="51"/>
      <c r="K85" s="121">
        <v>2200</v>
      </c>
      <c r="L85" s="52">
        <v>3</v>
      </c>
      <c r="M85" s="53">
        <f>IFERROR(VLOOKUP(VLOOKUP(O85,O85,1,1),Categories!$K$4:$V$17,2+VLOOKUP(L85,L85,1,1)),"-"  )</f>
        <v>8.52</v>
      </c>
      <c r="N85" s="53" t="str">
        <f>IFERROR(VLOOKUP(VLOOKUP(O85,O85,1,1),Categories!$K$3:$V$17,7+VLOOKUP(L85,L85,1,1)),"-")</f>
        <v>13 ATM</v>
      </c>
      <c r="O85" s="54" t="s">
        <v>58</v>
      </c>
      <c r="P85" s="176" t="s">
        <v>0</v>
      </c>
      <c r="Q85" s="180" t="s">
        <v>0</v>
      </c>
      <c r="R85" s="132"/>
      <c r="S85" s="132"/>
      <c r="T85" s="139"/>
      <c r="U85" s="169"/>
      <c r="V85" s="135">
        <v>3.2</v>
      </c>
      <c r="W85" s="135">
        <v>2</v>
      </c>
      <c r="X85" s="136">
        <v>4.6500000000000004</v>
      </c>
      <c r="Y85" s="137"/>
      <c r="Z85" s="137"/>
      <c r="AA85" s="137"/>
      <c r="AB85" s="137"/>
      <c r="AC85" s="137"/>
      <c r="AD85" s="137"/>
      <c r="AE85" s="137"/>
      <c r="AF85" s="137"/>
      <c r="AG85" s="136"/>
      <c r="AH85" s="138"/>
      <c r="AI85" s="131"/>
      <c r="AJ85" s="47" t="s">
        <v>295</v>
      </c>
      <c r="AK85" s="55"/>
      <c r="AL85" s="55"/>
    </row>
    <row r="86" spans="1:38" ht="31.95" customHeight="1" x14ac:dyDescent="0.3">
      <c r="A86" s="12">
        <v>44062</v>
      </c>
      <c r="B86" s="187">
        <v>0.71300925925925929</v>
      </c>
      <c r="C86" s="48"/>
      <c r="D86" s="48"/>
      <c r="E86" s="48">
        <f>IF(I86=Categories!$E$4,VLOOKUP(H86,Categories!$A$4:$C$13,3,1),VLOOKUP(I86,Categories!$E$4:$G$24,3,1))</f>
        <v>45</v>
      </c>
      <c r="F86" s="48"/>
      <c r="G86" s="43">
        <v>10</v>
      </c>
      <c r="H86" s="49" t="s">
        <v>224</v>
      </c>
      <c r="I86" s="50" t="s">
        <v>231</v>
      </c>
      <c r="J86" s="51"/>
      <c r="K86" s="121">
        <v>2200</v>
      </c>
      <c r="L86" s="52">
        <v>1</v>
      </c>
      <c r="M86" s="53">
        <f>IFERROR(VLOOKUP(VLOOKUP(O86,O86,1,1),Categories!$K$4:$V$17,2+VLOOKUP(L86,L86,1,1)),"-"  )</f>
        <v>1.67</v>
      </c>
      <c r="N86" s="53" t="str">
        <f>IFERROR(VLOOKUP(VLOOKUP(O86,O86,1,1),Categories!$K$3:$V$17,7+VLOOKUP(L86,L86,1,1)),"-")</f>
        <v>0 ATM</v>
      </c>
      <c r="O86" s="54" t="s">
        <v>58</v>
      </c>
      <c r="P86" s="176" t="s">
        <v>0</v>
      </c>
      <c r="Q86" s="180" t="s">
        <v>0</v>
      </c>
      <c r="R86" s="132"/>
      <c r="S86" s="132"/>
      <c r="T86" s="139"/>
      <c r="U86" s="169"/>
      <c r="V86" s="135"/>
      <c r="W86" s="135"/>
      <c r="X86" s="136"/>
      <c r="Y86" s="137"/>
      <c r="Z86" s="137"/>
      <c r="AA86" s="137"/>
      <c r="AB86" s="137"/>
      <c r="AC86" s="137"/>
      <c r="AD86" s="137"/>
      <c r="AE86" s="137"/>
      <c r="AF86" s="137"/>
      <c r="AG86" s="136"/>
      <c r="AH86" s="138"/>
      <c r="AI86" s="131"/>
      <c r="AJ86" s="47"/>
      <c r="AK86" s="55"/>
      <c r="AL86" s="55"/>
    </row>
    <row r="87" spans="1:38" ht="31.95" customHeight="1" x14ac:dyDescent="0.3">
      <c r="A87" s="12">
        <v>44062</v>
      </c>
      <c r="B87" s="187">
        <v>0.71354166666666663</v>
      </c>
      <c r="C87" s="48"/>
      <c r="D87" s="48"/>
      <c r="E87" s="48">
        <f>IF(I87=Categories!$E$4,VLOOKUP(H87,Categories!$A$4:$C$13,3,1),VLOOKUP(I87,Categories!$E$4:$G$24,3,1))</f>
        <v>120</v>
      </c>
      <c r="F87" s="48"/>
      <c r="G87" s="43">
        <v>10</v>
      </c>
      <c r="H87" s="49" t="s">
        <v>228</v>
      </c>
      <c r="I87" s="44" t="s">
        <v>0</v>
      </c>
      <c r="J87" s="51"/>
      <c r="K87" s="121">
        <v>2200</v>
      </c>
      <c r="L87" s="52">
        <v>1</v>
      </c>
      <c r="M87" s="53">
        <f>IFERROR(VLOOKUP(VLOOKUP(O87,O87,1,1),Categories!$K$4:$V$17,2+VLOOKUP(L87,L87,1,1)),"-"  )</f>
        <v>1.67</v>
      </c>
      <c r="N87" s="53" t="str">
        <f>IFERROR(VLOOKUP(VLOOKUP(O87,O87,1,1),Categories!$K$3:$V$17,7+VLOOKUP(L87,L87,1,1)),"-")</f>
        <v>0 ATM</v>
      </c>
      <c r="O87" s="54" t="s">
        <v>58</v>
      </c>
      <c r="P87" s="176" t="s">
        <v>0</v>
      </c>
      <c r="Q87" s="180" t="s">
        <v>0</v>
      </c>
      <c r="R87" s="132"/>
      <c r="S87" s="132"/>
      <c r="T87" s="139"/>
      <c r="U87" s="169"/>
      <c r="V87" s="135">
        <v>3.2</v>
      </c>
      <c r="W87" s="135">
        <v>2.1</v>
      </c>
      <c r="X87" s="136">
        <v>4.8499999999999996</v>
      </c>
      <c r="Y87" s="137"/>
      <c r="Z87" s="137"/>
      <c r="AA87" s="137"/>
      <c r="AB87" s="137"/>
      <c r="AC87" s="137"/>
      <c r="AD87" s="137"/>
      <c r="AE87" s="137"/>
      <c r="AF87" s="137"/>
      <c r="AG87" s="136"/>
      <c r="AH87" s="138"/>
      <c r="AI87" s="131"/>
      <c r="AJ87" s="47"/>
      <c r="AK87" s="55"/>
      <c r="AL87" s="55"/>
    </row>
    <row r="88" spans="1:38" ht="31.95" customHeight="1" x14ac:dyDescent="0.3">
      <c r="A88" s="12">
        <v>44062</v>
      </c>
      <c r="B88" s="187">
        <v>0.71550925925925923</v>
      </c>
      <c r="C88" s="48"/>
      <c r="D88" s="48"/>
      <c r="E88" s="48">
        <f>IF(I88=Categories!$E$4,VLOOKUP(H88,Categories!$A$4:$C$13,3,1),VLOOKUP(I88,Categories!$E$4:$G$24,3,1))</f>
        <v>45</v>
      </c>
      <c r="F88" s="48"/>
      <c r="G88" s="43" t="s">
        <v>0</v>
      </c>
      <c r="H88" s="49" t="s">
        <v>3</v>
      </c>
      <c r="I88" s="50" t="s">
        <v>2</v>
      </c>
      <c r="J88" s="51"/>
      <c r="K88" s="121">
        <v>2500</v>
      </c>
      <c r="L88" s="52">
        <v>1</v>
      </c>
      <c r="M88" s="53">
        <f>IFERROR(VLOOKUP(VLOOKUP(O88,O88,1,1),Categories!$K$4:$V$17,2+VLOOKUP(L88,L88,1,1)),"-"  )</f>
        <v>1.67</v>
      </c>
      <c r="N88" s="53" t="str">
        <f>IFERROR(VLOOKUP(VLOOKUP(O88,O88,1,1),Categories!$K$3:$V$17,7+VLOOKUP(L88,L88,1,1)),"-")</f>
        <v>0 ATM</v>
      </c>
      <c r="O88" s="54" t="s">
        <v>58</v>
      </c>
      <c r="P88" s="176" t="s">
        <v>0</v>
      </c>
      <c r="Q88" s="180" t="s">
        <v>0</v>
      </c>
      <c r="R88" s="132"/>
      <c r="S88" s="132"/>
      <c r="T88" s="139"/>
      <c r="U88" s="169"/>
      <c r="V88" s="135"/>
      <c r="W88" s="135"/>
      <c r="X88" s="136"/>
      <c r="Y88" s="137"/>
      <c r="Z88" s="137"/>
      <c r="AA88" s="137"/>
      <c r="AB88" s="137"/>
      <c r="AC88" s="137"/>
      <c r="AD88" s="137"/>
      <c r="AE88" s="137"/>
      <c r="AF88" s="137"/>
      <c r="AG88" s="136"/>
      <c r="AH88" s="138"/>
      <c r="AI88" s="131"/>
      <c r="AJ88" s="47"/>
      <c r="AK88" s="55"/>
      <c r="AL88" s="55"/>
    </row>
    <row r="89" spans="1:38" ht="31.95" customHeight="1" x14ac:dyDescent="0.3">
      <c r="A89" s="167">
        <v>44062</v>
      </c>
      <c r="B89" s="186">
        <v>0.71592592592592597</v>
      </c>
      <c r="C89" s="48"/>
      <c r="D89" s="48"/>
      <c r="E89" s="48">
        <f>IF(I89=Categories!$E$4,VLOOKUP(H89,Categories!$A$4:$C$13,3,1),VLOOKUP(I89,Categories!$E$4:$G$24,3,1))</f>
        <v>120</v>
      </c>
      <c r="F89" s="48"/>
      <c r="G89" s="43">
        <v>11</v>
      </c>
      <c r="H89" s="49" t="s">
        <v>44</v>
      </c>
      <c r="I89" s="50" t="s">
        <v>0</v>
      </c>
      <c r="J89" s="51"/>
      <c r="K89" s="121">
        <v>2500</v>
      </c>
      <c r="L89" s="52">
        <v>1</v>
      </c>
      <c r="M89" s="53">
        <f>IFERROR(VLOOKUP(VLOOKUP(O89,O89,1,1),Categories!$K$4:$V$17,2+VLOOKUP(L89,L89,1,1)),"-"  )</f>
        <v>1.67</v>
      </c>
      <c r="N89" s="53" t="str">
        <f>IFERROR(VLOOKUP(VLOOKUP(O89,O89,1,1),Categories!$K$3:$V$17,7+VLOOKUP(L89,L89,1,1)),"-")</f>
        <v>0 ATM</v>
      </c>
      <c r="O89" s="54" t="s">
        <v>58</v>
      </c>
      <c r="P89" s="176" t="s">
        <v>0</v>
      </c>
      <c r="Q89" s="180" t="s">
        <v>0</v>
      </c>
      <c r="R89" s="169"/>
      <c r="S89" s="169"/>
      <c r="T89" s="168"/>
      <c r="U89" s="169"/>
      <c r="V89" s="170">
        <v>3.8</v>
      </c>
      <c r="W89" s="170">
        <v>3</v>
      </c>
      <c r="X89" s="171">
        <v>5.58</v>
      </c>
      <c r="Y89" s="172"/>
      <c r="Z89" s="172"/>
      <c r="AA89" s="172"/>
      <c r="AB89" s="172"/>
      <c r="AC89" s="172"/>
      <c r="AD89" s="172"/>
      <c r="AE89" s="172"/>
      <c r="AF89" s="172"/>
      <c r="AG89" s="171"/>
      <c r="AH89" s="173"/>
      <c r="AI89" s="131"/>
      <c r="AJ89" s="55"/>
      <c r="AK89" s="55"/>
      <c r="AL89" s="55"/>
    </row>
    <row r="90" spans="1:38" ht="31.95" customHeight="1" x14ac:dyDescent="0.3">
      <c r="A90" s="167">
        <v>44062</v>
      </c>
      <c r="B90" s="186">
        <v>0.71736111111111101</v>
      </c>
      <c r="C90" s="48"/>
      <c r="D90" s="48"/>
      <c r="E90" s="48">
        <f>IF(I90=Categories!$E$4,VLOOKUP(H90,Categories!$A$4:$C$13,3,1),VLOOKUP(I90,Categories!$E$4:$G$24,3,1))</f>
        <v>45</v>
      </c>
      <c r="F90" s="48"/>
      <c r="G90" s="43">
        <v>11</v>
      </c>
      <c r="H90" s="49" t="s">
        <v>224</v>
      </c>
      <c r="I90" s="50" t="s">
        <v>230</v>
      </c>
      <c r="J90" s="51"/>
      <c r="K90" s="121">
        <v>2500</v>
      </c>
      <c r="L90" s="52">
        <v>2</v>
      </c>
      <c r="M90" s="53">
        <f>IFERROR(VLOOKUP(VLOOKUP(O90,O90,1,1),Categories!$K$4:$V$17,2+VLOOKUP(L90,L90,1,1)),"-"  )</f>
        <v>7.3</v>
      </c>
      <c r="N90" s="53" t="str">
        <f>IFERROR(VLOOKUP(VLOOKUP(O90,O90,1,1),Categories!$K$3:$V$17,7+VLOOKUP(L90,L90,1,1)),"-")</f>
        <v>4 ATM</v>
      </c>
      <c r="O90" s="54" t="s">
        <v>58</v>
      </c>
      <c r="P90" s="176" t="s">
        <v>0</v>
      </c>
      <c r="Q90" s="180" t="s">
        <v>0</v>
      </c>
      <c r="R90" s="169"/>
      <c r="S90" s="169"/>
      <c r="T90" s="168"/>
      <c r="U90" s="169"/>
      <c r="V90" s="170"/>
      <c r="W90" s="170"/>
      <c r="X90" s="171"/>
      <c r="Y90" s="172"/>
      <c r="Z90" s="172"/>
      <c r="AA90" s="172"/>
      <c r="AB90" s="172"/>
      <c r="AC90" s="172"/>
      <c r="AD90" s="172"/>
      <c r="AE90" s="172"/>
      <c r="AF90" s="172"/>
      <c r="AG90" s="171"/>
      <c r="AH90" s="173"/>
      <c r="AI90" s="131"/>
      <c r="AJ90" s="55"/>
      <c r="AK90" s="55"/>
      <c r="AL90" s="55"/>
    </row>
    <row r="91" spans="1:38" ht="31.95" customHeight="1" x14ac:dyDescent="0.3">
      <c r="A91" s="12">
        <v>44062</v>
      </c>
      <c r="B91" s="187">
        <v>0.71790509259259261</v>
      </c>
      <c r="C91" s="48"/>
      <c r="D91" s="48"/>
      <c r="E91" s="48">
        <f>IF(I91=Categories!$E$4,VLOOKUP(H91,Categories!$A$4:$C$13,3,1),VLOOKUP(I91,Categories!$E$4:$G$24,3,1))</f>
        <v>120</v>
      </c>
      <c r="F91" s="48"/>
      <c r="G91" s="43">
        <v>11</v>
      </c>
      <c r="H91" s="49" t="s">
        <v>44</v>
      </c>
      <c r="I91" s="44" t="s">
        <v>0</v>
      </c>
      <c r="J91" s="51"/>
      <c r="K91" s="121">
        <v>2500</v>
      </c>
      <c r="L91" s="52">
        <v>2</v>
      </c>
      <c r="M91" s="53">
        <f>IFERROR(VLOOKUP(VLOOKUP(O91,O91,1,1),Categories!$K$4:$V$17,2+VLOOKUP(L91,L91,1,1)),"-"  )</f>
        <v>7.3</v>
      </c>
      <c r="N91" s="53" t="str">
        <f>IFERROR(VLOOKUP(VLOOKUP(O91,O91,1,1),Categories!$K$3:$V$17,7+VLOOKUP(L91,L91,1,1)),"-")</f>
        <v>4 ATM</v>
      </c>
      <c r="O91" s="54" t="s">
        <v>58</v>
      </c>
      <c r="P91" s="176" t="s">
        <v>0</v>
      </c>
      <c r="Q91" s="180" t="s">
        <v>0</v>
      </c>
      <c r="R91" s="132"/>
      <c r="S91" s="132"/>
      <c r="T91" s="139"/>
      <c r="U91" s="169"/>
      <c r="V91" s="135">
        <v>4</v>
      </c>
      <c r="W91" s="135">
        <v>2.9</v>
      </c>
      <c r="X91" s="136">
        <v>5.46</v>
      </c>
      <c r="Y91" s="137"/>
      <c r="Z91" s="137"/>
      <c r="AA91" s="137"/>
      <c r="AB91" s="137"/>
      <c r="AC91" s="137"/>
      <c r="AD91" s="137"/>
      <c r="AE91" s="137"/>
      <c r="AF91" s="137"/>
      <c r="AG91" s="136"/>
      <c r="AH91" s="138"/>
      <c r="AI91" s="131"/>
      <c r="AJ91" s="47"/>
      <c r="AK91" s="55"/>
      <c r="AL91" s="55"/>
    </row>
    <row r="92" spans="1:38" ht="31.95" customHeight="1" x14ac:dyDescent="0.3">
      <c r="A92" s="12">
        <v>44062</v>
      </c>
      <c r="B92" s="187">
        <v>0.7194328703703704</v>
      </c>
      <c r="C92" s="48"/>
      <c r="D92" s="48"/>
      <c r="E92" s="48">
        <f>IF(I92=Categories!$E$4,VLOOKUP(H92,Categories!$A$4:$C$13,3,1),VLOOKUP(I92,Categories!$E$4:$G$24,3,1))</f>
        <v>45</v>
      </c>
      <c r="F92" s="48"/>
      <c r="G92" s="43">
        <v>11</v>
      </c>
      <c r="H92" s="49" t="s">
        <v>224</v>
      </c>
      <c r="I92" s="50" t="s">
        <v>230</v>
      </c>
      <c r="J92" s="51"/>
      <c r="K92" s="121">
        <v>2500</v>
      </c>
      <c r="L92" s="52">
        <v>3</v>
      </c>
      <c r="M92" s="53">
        <f>IFERROR(VLOOKUP(VLOOKUP(O92,O92,1,1),Categories!$K$4:$V$17,2+VLOOKUP(L92,L92,1,1)),"-"  )</f>
        <v>8.52</v>
      </c>
      <c r="N92" s="53" t="str">
        <f>IFERROR(VLOOKUP(VLOOKUP(O92,O92,1,1),Categories!$K$3:$V$17,7+VLOOKUP(L92,L92,1,1)),"-")</f>
        <v>13 ATM</v>
      </c>
      <c r="O92" s="54" t="s">
        <v>58</v>
      </c>
      <c r="P92" s="176" t="s">
        <v>0</v>
      </c>
      <c r="Q92" s="180" t="s">
        <v>0</v>
      </c>
      <c r="R92" s="132"/>
      <c r="S92" s="132"/>
      <c r="T92" s="139"/>
      <c r="U92" s="169"/>
      <c r="V92" s="135"/>
      <c r="W92" s="135"/>
      <c r="X92" s="136"/>
      <c r="Y92" s="137"/>
      <c r="Z92" s="137"/>
      <c r="AA92" s="137"/>
      <c r="AB92" s="137"/>
      <c r="AC92" s="137"/>
      <c r="AD92" s="137"/>
      <c r="AE92" s="137"/>
      <c r="AF92" s="137"/>
      <c r="AG92" s="136"/>
      <c r="AH92" s="138"/>
      <c r="AI92" s="131"/>
      <c r="AJ92" s="47"/>
      <c r="AK92" s="55"/>
      <c r="AL92" s="55"/>
    </row>
    <row r="93" spans="1:38" ht="31.95" customHeight="1" x14ac:dyDescent="0.3">
      <c r="A93" s="12">
        <v>44062</v>
      </c>
      <c r="B93" s="187">
        <v>0.71990740740740744</v>
      </c>
      <c r="C93" s="48"/>
      <c r="D93" s="48"/>
      <c r="E93" s="48">
        <f>IF(I93=Categories!$E$4,VLOOKUP(H93,Categories!$A$4:$C$13,3,1),VLOOKUP(I93,Categories!$E$4:$G$24,3,1))</f>
        <v>120</v>
      </c>
      <c r="F93" s="48"/>
      <c r="G93" s="43">
        <v>11</v>
      </c>
      <c r="H93" s="49" t="s">
        <v>44</v>
      </c>
      <c r="I93" s="44" t="s">
        <v>0</v>
      </c>
      <c r="J93" s="51"/>
      <c r="K93" s="121">
        <v>2500</v>
      </c>
      <c r="L93" s="52">
        <v>3</v>
      </c>
      <c r="M93" s="53">
        <f>IFERROR(VLOOKUP(VLOOKUP(O93,O93,1,1),Categories!$K$4:$V$17,2+VLOOKUP(L93,L93,1,1)),"-"  )</f>
        <v>8.52</v>
      </c>
      <c r="N93" s="53" t="str">
        <f>IFERROR(VLOOKUP(VLOOKUP(O93,O93,1,1),Categories!$K$3:$V$17,7+VLOOKUP(L93,L93,1,1)),"-")</f>
        <v>13 ATM</v>
      </c>
      <c r="O93" s="54" t="s">
        <v>58</v>
      </c>
      <c r="P93" s="176" t="s">
        <v>0</v>
      </c>
      <c r="Q93" s="180" t="s">
        <v>0</v>
      </c>
      <c r="R93" s="132"/>
      <c r="S93" s="132"/>
      <c r="T93" s="139"/>
      <c r="U93" s="169"/>
      <c r="V93" s="135">
        <v>4</v>
      </c>
      <c r="W93" s="135">
        <v>3</v>
      </c>
      <c r="X93" s="136">
        <v>5.36</v>
      </c>
      <c r="Y93" s="137"/>
      <c r="Z93" s="137"/>
      <c r="AA93" s="137"/>
      <c r="AB93" s="137"/>
      <c r="AC93" s="137"/>
      <c r="AD93" s="137"/>
      <c r="AE93" s="137"/>
      <c r="AF93" s="137"/>
      <c r="AG93" s="136"/>
      <c r="AH93" s="138"/>
      <c r="AI93" s="131"/>
      <c r="AJ93" s="47"/>
      <c r="AK93" s="55"/>
      <c r="AL93" s="55"/>
    </row>
    <row r="94" spans="1:38" ht="31.95" customHeight="1" x14ac:dyDescent="0.3">
      <c r="A94" s="12">
        <v>44062</v>
      </c>
      <c r="B94" s="187">
        <v>0.72133101851851855</v>
      </c>
      <c r="C94" s="48"/>
      <c r="D94" s="48"/>
      <c r="E94" s="48">
        <f>IF(I94=Categories!$E$4,VLOOKUP(H94,Categories!$A$4:$C$13,3,1),VLOOKUP(I94,Categories!$E$4:$G$24,3,1))</f>
        <v>45</v>
      </c>
      <c r="F94" s="48"/>
      <c r="G94" s="43">
        <v>11</v>
      </c>
      <c r="H94" s="49" t="s">
        <v>224</v>
      </c>
      <c r="I94" s="50" t="s">
        <v>231</v>
      </c>
      <c r="J94" s="51"/>
      <c r="K94" s="121">
        <v>2500</v>
      </c>
      <c r="L94" s="52">
        <v>1</v>
      </c>
      <c r="M94" s="53">
        <f>IFERROR(VLOOKUP(VLOOKUP(O94,O94,1,1),Categories!$K$4:$V$17,2+VLOOKUP(L94,L94,1,1)),"-"  )</f>
        <v>1.67</v>
      </c>
      <c r="N94" s="53" t="str">
        <f>IFERROR(VLOOKUP(VLOOKUP(O94,O94,1,1),Categories!$K$3:$V$17,7+VLOOKUP(L94,L94,1,1)),"-")</f>
        <v>0 ATM</v>
      </c>
      <c r="O94" s="54" t="s">
        <v>58</v>
      </c>
      <c r="P94" s="176" t="s">
        <v>0</v>
      </c>
      <c r="Q94" s="180" t="s">
        <v>0</v>
      </c>
      <c r="R94" s="132"/>
      <c r="S94" s="132"/>
      <c r="T94" s="139"/>
      <c r="U94" s="169"/>
      <c r="V94" s="135"/>
      <c r="W94" s="135"/>
      <c r="X94" s="136"/>
      <c r="Y94" s="137"/>
      <c r="Z94" s="137"/>
      <c r="AA94" s="137"/>
      <c r="AB94" s="137"/>
      <c r="AC94" s="137"/>
      <c r="AD94" s="137"/>
      <c r="AE94" s="137"/>
      <c r="AF94" s="137"/>
      <c r="AG94" s="136"/>
      <c r="AH94" s="138"/>
      <c r="AI94" s="131"/>
      <c r="AJ94" s="47" t="s">
        <v>296</v>
      </c>
      <c r="AK94" s="55"/>
      <c r="AL94" s="55"/>
    </row>
    <row r="95" spans="1:38" ht="31.95" customHeight="1" x14ac:dyDescent="0.3">
      <c r="A95" s="12">
        <v>44062</v>
      </c>
      <c r="B95" s="187">
        <v>0.72195601851851843</v>
      </c>
      <c r="C95" s="48"/>
      <c r="D95" s="48"/>
      <c r="E95" s="48">
        <f>IF(I95=Categories!$E$4,VLOOKUP(H95,Categories!$A$4:$C$13,3,1),VLOOKUP(I95,Categories!$E$4:$G$24,3,1))</f>
        <v>120</v>
      </c>
      <c r="F95" s="48"/>
      <c r="G95" s="43">
        <v>11</v>
      </c>
      <c r="H95" s="49" t="s">
        <v>228</v>
      </c>
      <c r="I95" s="44" t="s">
        <v>0</v>
      </c>
      <c r="J95" s="51"/>
      <c r="K95" s="121">
        <v>2500</v>
      </c>
      <c r="L95" s="52">
        <v>1</v>
      </c>
      <c r="M95" s="53">
        <f>IFERROR(VLOOKUP(VLOOKUP(O95,O95,1,1),Categories!$K$4:$V$17,2+VLOOKUP(L95,L95,1,1)),"-"  )</f>
        <v>1.67</v>
      </c>
      <c r="N95" s="53" t="str">
        <f>IFERROR(VLOOKUP(VLOOKUP(O95,O95,1,1),Categories!$K$3:$V$17,7+VLOOKUP(L95,L95,1,1)),"-")</f>
        <v>0 ATM</v>
      </c>
      <c r="O95" s="54" t="s">
        <v>58</v>
      </c>
      <c r="P95" s="176" t="s">
        <v>0</v>
      </c>
      <c r="Q95" s="180" t="s">
        <v>0</v>
      </c>
      <c r="R95" s="132"/>
      <c r="S95" s="132"/>
      <c r="T95" s="139"/>
      <c r="U95" s="169"/>
      <c r="V95" s="135">
        <v>4</v>
      </c>
      <c r="W95" s="135">
        <v>2.9</v>
      </c>
      <c r="X95" s="136">
        <v>5.6</v>
      </c>
      <c r="Y95" s="137"/>
      <c r="Z95" s="137"/>
      <c r="AA95" s="137"/>
      <c r="AB95" s="137"/>
      <c r="AC95" s="137"/>
      <c r="AD95" s="137"/>
      <c r="AE95" s="137"/>
      <c r="AF95" s="137"/>
      <c r="AG95" s="136"/>
      <c r="AH95" s="138"/>
      <c r="AI95" s="131"/>
      <c r="AJ95" s="47"/>
      <c r="AK95" s="55"/>
      <c r="AL95" s="55"/>
    </row>
    <row r="96" spans="1:38" ht="31.95" customHeight="1" x14ac:dyDescent="0.3">
      <c r="A96" s="12">
        <v>44062</v>
      </c>
      <c r="B96" s="187">
        <v>0.7233680555555555</v>
      </c>
      <c r="C96" s="48"/>
      <c r="D96" s="48"/>
      <c r="E96" s="48">
        <f>IF(I96=Categories!$E$4,VLOOKUP(H96,Categories!$A$4:$C$13,3,1),VLOOKUP(I96,Categories!$E$4:$G$24,3,1))</f>
        <v>45</v>
      </c>
      <c r="F96" s="48"/>
      <c r="G96" s="43" t="s">
        <v>0</v>
      </c>
      <c r="H96" s="49" t="s">
        <v>224</v>
      </c>
      <c r="I96" s="50" t="s">
        <v>2</v>
      </c>
      <c r="J96" s="51"/>
      <c r="K96" s="121">
        <v>2800</v>
      </c>
      <c r="L96" s="52">
        <v>1</v>
      </c>
      <c r="M96" s="53">
        <f>IFERROR(VLOOKUP(VLOOKUP(O96,O96,1,1),Categories!$K$4:$V$17,2+VLOOKUP(L96,L96,1,1)),"-"  )</f>
        <v>1.67</v>
      </c>
      <c r="N96" s="53" t="str">
        <f>IFERROR(VLOOKUP(VLOOKUP(O96,O96,1,1),Categories!$K$3:$V$17,7+VLOOKUP(L96,L96,1,1)),"-")</f>
        <v>0 ATM</v>
      </c>
      <c r="O96" s="54" t="s">
        <v>58</v>
      </c>
      <c r="P96" s="176" t="s">
        <v>0</v>
      </c>
      <c r="Q96" s="180" t="s">
        <v>0</v>
      </c>
      <c r="R96" s="132"/>
      <c r="S96" s="132"/>
      <c r="T96" s="139"/>
      <c r="U96" s="169"/>
      <c r="V96" s="135"/>
      <c r="W96" s="135"/>
      <c r="X96" s="136"/>
      <c r="Y96" s="137"/>
      <c r="Z96" s="137"/>
      <c r="AA96" s="137"/>
      <c r="AB96" s="137"/>
      <c r="AC96" s="137"/>
      <c r="AD96" s="137"/>
      <c r="AE96" s="137"/>
      <c r="AF96" s="137"/>
      <c r="AG96" s="136"/>
      <c r="AH96" s="138"/>
      <c r="AI96" s="131" t="s">
        <v>234</v>
      </c>
      <c r="AJ96" s="55" t="s">
        <v>294</v>
      </c>
      <c r="AK96" s="55"/>
      <c r="AL96" s="55"/>
    </row>
    <row r="97" spans="1:38" ht="31.95" customHeight="1" x14ac:dyDescent="0.3">
      <c r="A97" s="167">
        <v>44062</v>
      </c>
      <c r="B97" s="186">
        <v>0.72395833333333337</v>
      </c>
      <c r="C97" s="48"/>
      <c r="D97" s="48"/>
      <c r="E97" s="48">
        <f>IF(I97=Categories!$E$4,VLOOKUP(H97,Categories!$A$4:$C$13,3,1),VLOOKUP(I97,Categories!$E$4:$G$24,3,1))</f>
        <v>120</v>
      </c>
      <c r="F97" s="48"/>
      <c r="G97" s="43">
        <v>12</v>
      </c>
      <c r="H97" s="49" t="s">
        <v>44</v>
      </c>
      <c r="I97" s="50" t="s">
        <v>0</v>
      </c>
      <c r="J97" s="51"/>
      <c r="K97" s="121">
        <v>2800</v>
      </c>
      <c r="L97" s="52">
        <v>1</v>
      </c>
      <c r="M97" s="53">
        <f>IFERROR(VLOOKUP(VLOOKUP(O97,O97,1,1),Categories!$K$4:$V$17,2+VLOOKUP(L97,L97,1,1)),"-"  )</f>
        <v>1.67</v>
      </c>
      <c r="N97" s="53" t="str">
        <f>IFERROR(VLOOKUP(VLOOKUP(O97,O97,1,1),Categories!$K$3:$V$17,7+VLOOKUP(L97,L97,1,1)),"-")</f>
        <v>0 ATM</v>
      </c>
      <c r="O97" s="54" t="s">
        <v>58</v>
      </c>
      <c r="P97" s="176" t="s">
        <v>0</v>
      </c>
      <c r="Q97" s="180" t="s">
        <v>0</v>
      </c>
      <c r="R97" s="169"/>
      <c r="S97" s="169"/>
      <c r="T97" s="168"/>
      <c r="U97" s="169"/>
      <c r="V97" s="170">
        <v>4.5</v>
      </c>
      <c r="W97" s="170">
        <v>4.0999999999999996</v>
      </c>
      <c r="X97" s="171">
        <v>6.33</v>
      </c>
      <c r="Y97" s="172"/>
      <c r="Z97" s="172"/>
      <c r="AA97" s="172"/>
      <c r="AB97" s="172"/>
      <c r="AC97" s="172"/>
      <c r="AD97" s="172"/>
      <c r="AE97" s="172"/>
      <c r="AF97" s="172"/>
      <c r="AG97" s="171"/>
      <c r="AH97" s="173"/>
      <c r="AI97" s="131" t="s">
        <v>244</v>
      </c>
      <c r="AJ97" s="55"/>
      <c r="AK97" s="55"/>
      <c r="AL97" s="55"/>
    </row>
    <row r="98" spans="1:38" ht="31.95" customHeight="1" x14ac:dyDescent="0.3">
      <c r="A98" s="167">
        <v>44062</v>
      </c>
      <c r="B98" s="186">
        <v>0.7254976851851852</v>
      </c>
      <c r="C98" s="48"/>
      <c r="D98" s="48"/>
      <c r="E98" s="48">
        <f>IF(I98=Categories!$E$4,VLOOKUP(H98,Categories!$A$4:$C$13,3,1),VLOOKUP(I98,Categories!$E$4:$G$24,3,1))</f>
        <v>45</v>
      </c>
      <c r="F98" s="48"/>
      <c r="G98" s="43">
        <v>12</v>
      </c>
      <c r="H98" s="49" t="s">
        <v>224</v>
      </c>
      <c r="I98" s="50" t="s">
        <v>230</v>
      </c>
      <c r="J98" s="51"/>
      <c r="K98" s="121">
        <v>2800</v>
      </c>
      <c r="L98" s="52">
        <v>2</v>
      </c>
      <c r="M98" s="53">
        <f>IFERROR(VLOOKUP(VLOOKUP(O98,O98,1,1),Categories!$K$4:$V$17,2+VLOOKUP(L98,L98,1,1)),"-"  )</f>
        <v>7.3</v>
      </c>
      <c r="N98" s="53" t="str">
        <f>IFERROR(VLOOKUP(VLOOKUP(O98,O98,1,1),Categories!$K$3:$V$17,7+VLOOKUP(L98,L98,1,1)),"-")</f>
        <v>4 ATM</v>
      </c>
      <c r="O98" s="54" t="s">
        <v>58</v>
      </c>
      <c r="P98" s="176" t="s">
        <v>0</v>
      </c>
      <c r="Q98" s="180" t="s">
        <v>0</v>
      </c>
      <c r="R98" s="169"/>
      <c r="S98" s="169"/>
      <c r="T98" s="168"/>
      <c r="U98" s="169"/>
      <c r="V98" s="170"/>
      <c r="W98" s="170"/>
      <c r="X98" s="171"/>
      <c r="Y98" s="172"/>
      <c r="Z98" s="172"/>
      <c r="AA98" s="172"/>
      <c r="AB98" s="172"/>
      <c r="AC98" s="172"/>
      <c r="AD98" s="172"/>
      <c r="AE98" s="172"/>
      <c r="AF98" s="172"/>
      <c r="AG98" s="171"/>
      <c r="AH98" s="173"/>
      <c r="AI98" s="131"/>
      <c r="AJ98" s="55"/>
      <c r="AK98" s="55"/>
      <c r="AL98" s="55"/>
    </row>
    <row r="99" spans="1:38" ht="31.95" customHeight="1" x14ac:dyDescent="0.3">
      <c r="A99" s="12">
        <v>44062</v>
      </c>
      <c r="B99" s="187">
        <v>0.7260416666666667</v>
      </c>
      <c r="C99" s="48"/>
      <c r="D99" s="48"/>
      <c r="E99" s="48">
        <f>IF(I99=Categories!$E$4,VLOOKUP(H99,Categories!$A$4:$C$13,3,1),VLOOKUP(I99,Categories!$E$4:$G$24,3,1))</f>
        <v>120</v>
      </c>
      <c r="F99" s="48"/>
      <c r="G99" s="43">
        <v>12</v>
      </c>
      <c r="H99" s="49" t="s">
        <v>44</v>
      </c>
      <c r="I99" s="44" t="s">
        <v>0</v>
      </c>
      <c r="J99" s="51"/>
      <c r="K99" s="121">
        <v>2800</v>
      </c>
      <c r="L99" s="52">
        <v>2</v>
      </c>
      <c r="M99" s="53">
        <f>IFERROR(VLOOKUP(VLOOKUP(O99,O99,1,1),Categories!$K$4:$V$17,2+VLOOKUP(L99,L99,1,1)),"-"  )</f>
        <v>7.3</v>
      </c>
      <c r="N99" s="53" t="str">
        <f>IFERROR(VLOOKUP(VLOOKUP(O99,O99,1,1),Categories!$K$3:$V$17,7+VLOOKUP(L99,L99,1,1)),"-")</f>
        <v>4 ATM</v>
      </c>
      <c r="O99" s="54" t="s">
        <v>58</v>
      </c>
      <c r="P99" s="176" t="s">
        <v>0</v>
      </c>
      <c r="Q99" s="180" t="s">
        <v>0</v>
      </c>
      <c r="R99" s="132"/>
      <c r="S99" s="132"/>
      <c r="T99" s="139"/>
      <c r="U99" s="169"/>
      <c r="V99" s="135">
        <v>4.5999999999999996</v>
      </c>
      <c r="W99" s="135">
        <v>4.0999999999999996</v>
      </c>
      <c r="X99" s="136">
        <v>6.22</v>
      </c>
      <c r="Y99" s="137"/>
      <c r="Z99" s="137"/>
      <c r="AA99" s="137"/>
      <c r="AB99" s="137"/>
      <c r="AC99" s="137"/>
      <c r="AD99" s="137"/>
      <c r="AE99" s="137"/>
      <c r="AF99" s="137"/>
      <c r="AG99" s="136"/>
      <c r="AH99" s="138"/>
      <c r="AI99" s="131" t="s">
        <v>244</v>
      </c>
      <c r="AJ99" s="47"/>
      <c r="AK99" s="55"/>
      <c r="AL99" s="55"/>
    </row>
    <row r="100" spans="1:38" ht="31.95" customHeight="1" x14ac:dyDescent="0.3">
      <c r="A100" s="12">
        <v>44062</v>
      </c>
      <c r="B100" s="187">
        <v>0.72782407407407401</v>
      </c>
      <c r="C100" s="48"/>
      <c r="D100" s="48"/>
      <c r="E100" s="48">
        <f>IF(I100=Categories!$E$4,VLOOKUP(H100,Categories!$A$4:$C$13,3,1),VLOOKUP(I100,Categories!$E$4:$G$24,3,1))</f>
        <v>45</v>
      </c>
      <c r="F100" s="48"/>
      <c r="G100" s="43">
        <v>12</v>
      </c>
      <c r="H100" s="49" t="s">
        <v>224</v>
      </c>
      <c r="I100" s="50" t="s">
        <v>230</v>
      </c>
      <c r="J100" s="51"/>
      <c r="K100" s="121">
        <v>2800</v>
      </c>
      <c r="L100" s="52">
        <v>3</v>
      </c>
      <c r="M100" s="53">
        <f>IFERROR(VLOOKUP(VLOOKUP(O100,O100,1,1),Categories!$K$4:$V$17,2+VLOOKUP(L100,L100,1,1)),"-"  )</f>
        <v>8.52</v>
      </c>
      <c r="N100" s="53" t="str">
        <f>IFERROR(VLOOKUP(VLOOKUP(O100,O100,1,1),Categories!$K$3:$V$17,7+VLOOKUP(L100,L100,1,1)),"-")</f>
        <v>13 ATM</v>
      </c>
      <c r="O100" s="54" t="s">
        <v>58</v>
      </c>
      <c r="P100" s="176" t="s">
        <v>0</v>
      </c>
      <c r="Q100" s="180" t="s">
        <v>0</v>
      </c>
      <c r="R100" s="132"/>
      <c r="S100" s="132"/>
      <c r="T100" s="139"/>
      <c r="U100" s="169"/>
      <c r="V100" s="135"/>
      <c r="W100" s="135"/>
      <c r="X100" s="136"/>
      <c r="Y100" s="137"/>
      <c r="Z100" s="137"/>
      <c r="AA100" s="137"/>
      <c r="AB100" s="137"/>
      <c r="AC100" s="137"/>
      <c r="AD100" s="137"/>
      <c r="AE100" s="137"/>
      <c r="AF100" s="137"/>
      <c r="AG100" s="136"/>
      <c r="AH100" s="138"/>
      <c r="AI100" s="131"/>
      <c r="AJ100" s="47" t="s">
        <v>297</v>
      </c>
      <c r="AK100" s="55"/>
      <c r="AL100" s="55"/>
    </row>
    <row r="101" spans="1:38" ht="31.95" customHeight="1" x14ac:dyDescent="0.3">
      <c r="A101" s="12">
        <v>44062</v>
      </c>
      <c r="B101" s="187">
        <v>0.72846064814814815</v>
      </c>
      <c r="C101" s="48"/>
      <c r="D101" s="48"/>
      <c r="E101" s="48">
        <f>IF(I101=Categories!$E$4,VLOOKUP(H101,Categories!$A$4:$C$13,3,1),VLOOKUP(I101,Categories!$E$4:$G$24,3,1))</f>
        <v>120</v>
      </c>
      <c r="F101" s="48"/>
      <c r="G101" s="43">
        <v>12</v>
      </c>
      <c r="H101" s="49" t="s">
        <v>44</v>
      </c>
      <c r="I101" s="44" t="s">
        <v>0</v>
      </c>
      <c r="J101" s="51"/>
      <c r="K101" s="121">
        <v>2800</v>
      </c>
      <c r="L101" s="52">
        <v>3</v>
      </c>
      <c r="M101" s="53">
        <f>IFERROR(VLOOKUP(VLOOKUP(O101,O101,1,1),Categories!$K$4:$V$17,2+VLOOKUP(L101,L101,1,1)),"-"  )</f>
        <v>8.52</v>
      </c>
      <c r="N101" s="53" t="str">
        <f>IFERROR(VLOOKUP(VLOOKUP(O101,O101,1,1),Categories!$K$3:$V$17,7+VLOOKUP(L101,L101,1,1)),"-")</f>
        <v>13 ATM</v>
      </c>
      <c r="O101" s="54" t="s">
        <v>58</v>
      </c>
      <c r="P101" s="176" t="s">
        <v>0</v>
      </c>
      <c r="Q101" s="180" t="s">
        <v>0</v>
      </c>
      <c r="R101" s="132"/>
      <c r="S101" s="132"/>
      <c r="T101" s="139"/>
      <c r="U101" s="169"/>
      <c r="V101" s="135">
        <v>4.4000000000000004</v>
      </c>
      <c r="W101" s="135">
        <v>4.0999999999999996</v>
      </c>
      <c r="X101" s="136">
        <v>6.09</v>
      </c>
      <c r="Y101" s="137"/>
      <c r="Z101" s="137"/>
      <c r="AA101" s="137"/>
      <c r="AB101" s="137"/>
      <c r="AC101" s="137"/>
      <c r="AD101" s="137"/>
      <c r="AE101" s="137"/>
      <c r="AF101" s="137"/>
      <c r="AG101" s="136"/>
      <c r="AH101" s="138"/>
      <c r="AI101" s="131" t="s">
        <v>244</v>
      </c>
      <c r="AJ101" s="47"/>
      <c r="AK101" s="55"/>
      <c r="AL101" s="55"/>
    </row>
    <row r="102" spans="1:38" ht="31.95" customHeight="1" x14ac:dyDescent="0.3">
      <c r="A102" s="12">
        <v>44062</v>
      </c>
      <c r="B102" s="187">
        <v>0.73024305555555558</v>
      </c>
      <c r="C102" s="48"/>
      <c r="D102" s="48"/>
      <c r="E102" s="48">
        <f>IF(I102=Categories!$E$4,VLOOKUP(H102,Categories!$A$4:$C$13,3,1),VLOOKUP(I102,Categories!$E$4:$G$24,3,1))</f>
        <v>45</v>
      </c>
      <c r="F102" s="48"/>
      <c r="G102" s="43">
        <v>12</v>
      </c>
      <c r="H102" s="49" t="s">
        <v>224</v>
      </c>
      <c r="I102" s="50" t="s">
        <v>231</v>
      </c>
      <c r="J102" s="51"/>
      <c r="K102" s="121">
        <v>2800</v>
      </c>
      <c r="L102" s="52">
        <v>1</v>
      </c>
      <c r="M102" s="53">
        <f>IFERROR(VLOOKUP(VLOOKUP(O102,O102,1,1),Categories!$K$4:$V$17,2+VLOOKUP(L102,L102,1,1)),"-"  )</f>
        <v>1.67</v>
      </c>
      <c r="N102" s="53" t="str">
        <f>IFERROR(VLOOKUP(VLOOKUP(O102,O102,1,1),Categories!$K$3:$V$17,7+VLOOKUP(L102,L102,1,1)),"-")</f>
        <v>0 ATM</v>
      </c>
      <c r="O102" s="54" t="s">
        <v>58</v>
      </c>
      <c r="P102" s="176" t="s">
        <v>0</v>
      </c>
      <c r="Q102" s="180" t="s">
        <v>0</v>
      </c>
      <c r="R102" s="132"/>
      <c r="S102" s="132"/>
      <c r="T102" s="139"/>
      <c r="U102" s="169"/>
      <c r="V102" s="135"/>
      <c r="W102" s="135"/>
      <c r="X102" s="136"/>
      <c r="Y102" s="137"/>
      <c r="Z102" s="137"/>
      <c r="AA102" s="137"/>
      <c r="AB102" s="137"/>
      <c r="AC102" s="137"/>
      <c r="AD102" s="137"/>
      <c r="AE102" s="137"/>
      <c r="AF102" s="137"/>
      <c r="AG102" s="136"/>
      <c r="AH102" s="138"/>
      <c r="AI102" s="131"/>
      <c r="AJ102" s="47"/>
      <c r="AK102" s="55"/>
      <c r="AL102" s="55"/>
    </row>
    <row r="103" spans="1:38" ht="31.95" customHeight="1" x14ac:dyDescent="0.3">
      <c r="A103" s="12">
        <v>44062</v>
      </c>
      <c r="B103" s="187">
        <v>0.7308796296296296</v>
      </c>
      <c r="C103" s="48"/>
      <c r="D103" s="48"/>
      <c r="E103" s="48">
        <f>IF(I103=Categories!$E$4,VLOOKUP(H103,Categories!$A$4:$C$13,3,1),VLOOKUP(I103,Categories!$E$4:$G$24,3,1))</f>
        <v>120</v>
      </c>
      <c r="F103" s="48"/>
      <c r="G103" s="43">
        <v>12</v>
      </c>
      <c r="H103" s="49" t="s">
        <v>228</v>
      </c>
      <c r="I103" s="44" t="s">
        <v>0</v>
      </c>
      <c r="J103" s="51"/>
      <c r="K103" s="121">
        <v>2800</v>
      </c>
      <c r="L103" s="52">
        <v>1</v>
      </c>
      <c r="M103" s="53">
        <f>IFERROR(VLOOKUP(VLOOKUP(O103,O103,1,1),Categories!$K$4:$V$17,2+VLOOKUP(L103,L103,1,1)),"-"  )</f>
        <v>1.67</v>
      </c>
      <c r="N103" s="53" t="str">
        <f>IFERROR(VLOOKUP(VLOOKUP(O103,O103,1,1),Categories!$K$3:$V$17,7+VLOOKUP(L103,L103,1,1)),"-")</f>
        <v>0 ATM</v>
      </c>
      <c r="O103" s="54" t="s">
        <v>58</v>
      </c>
      <c r="P103" s="176" t="s">
        <v>0</v>
      </c>
      <c r="Q103" s="180" t="s">
        <v>0</v>
      </c>
      <c r="R103" s="132"/>
      <c r="S103" s="132"/>
      <c r="T103" s="139"/>
      <c r="U103" s="169"/>
      <c r="V103" s="135">
        <v>4.5</v>
      </c>
      <c r="W103" s="135">
        <v>4.0999999999999996</v>
      </c>
      <c r="X103" s="136">
        <v>6.32</v>
      </c>
      <c r="Y103" s="137"/>
      <c r="Z103" s="137"/>
      <c r="AA103" s="137"/>
      <c r="AB103" s="137"/>
      <c r="AC103" s="137"/>
      <c r="AD103" s="137"/>
      <c r="AE103" s="137"/>
      <c r="AF103" s="137"/>
      <c r="AG103" s="136"/>
      <c r="AH103" s="138"/>
      <c r="AI103" s="131"/>
      <c r="AJ103" s="47"/>
      <c r="AK103" s="55"/>
      <c r="AL103" s="55"/>
    </row>
    <row r="104" spans="1:38" ht="31.95" customHeight="1" x14ac:dyDescent="0.3">
      <c r="A104" s="12">
        <v>44062</v>
      </c>
      <c r="B104" s="187">
        <v>0.73263888888888884</v>
      </c>
      <c r="C104" s="48"/>
      <c r="D104" s="48"/>
      <c r="E104" s="48">
        <f>IF(I104=Categories!$E$4,VLOOKUP(H104,Categories!$A$4:$C$13,3,1),VLOOKUP(I104,Categories!$E$4:$G$24,3,1))</f>
        <v>45</v>
      </c>
      <c r="F104" s="48"/>
      <c r="G104" s="43" t="s">
        <v>0</v>
      </c>
      <c r="H104" s="49" t="s">
        <v>224</v>
      </c>
      <c r="I104" s="50" t="s">
        <v>2</v>
      </c>
      <c r="J104" s="51"/>
      <c r="K104" s="121">
        <v>3100</v>
      </c>
      <c r="L104" s="52">
        <v>1</v>
      </c>
      <c r="M104" s="53">
        <f>IFERROR(VLOOKUP(VLOOKUP(O104,O104,1,1),Categories!$K$4:$V$17,2+VLOOKUP(L104,L104,1,1)),"-"  )</f>
        <v>1.67</v>
      </c>
      <c r="N104" s="53" t="str">
        <f>IFERROR(VLOOKUP(VLOOKUP(O104,O104,1,1),Categories!$K$3:$V$17,7+VLOOKUP(L104,L104,1,1)),"-")</f>
        <v>0 ATM</v>
      </c>
      <c r="O104" s="54" t="s">
        <v>58</v>
      </c>
      <c r="P104" s="176" t="s">
        <v>0</v>
      </c>
      <c r="Q104" s="180" t="s">
        <v>0</v>
      </c>
      <c r="R104" s="132"/>
      <c r="S104" s="132"/>
      <c r="T104" s="139"/>
      <c r="U104" s="169"/>
      <c r="V104" s="135"/>
      <c r="W104" s="135"/>
      <c r="X104" s="136"/>
      <c r="Y104" s="137"/>
      <c r="Z104" s="137"/>
      <c r="AA104" s="137"/>
      <c r="AB104" s="137"/>
      <c r="AC104" s="137"/>
      <c r="AD104" s="137"/>
      <c r="AE104" s="137"/>
      <c r="AF104" s="137"/>
      <c r="AG104" s="136"/>
      <c r="AH104" s="138"/>
      <c r="AI104" s="131"/>
      <c r="AJ104" s="47" t="s">
        <v>299</v>
      </c>
      <c r="AK104" s="55"/>
      <c r="AL104" s="55"/>
    </row>
    <row r="105" spans="1:38" ht="31.95" customHeight="1" x14ac:dyDescent="0.3">
      <c r="A105" s="167">
        <v>44062</v>
      </c>
      <c r="B105" s="186">
        <v>0.73359953703703706</v>
      </c>
      <c r="C105" s="48"/>
      <c r="D105" s="48"/>
      <c r="E105" s="48">
        <f>IF(I105=Categories!$E$4,VLOOKUP(H105,Categories!$A$4:$C$13,3,1),VLOOKUP(I105,Categories!$E$4:$G$24,3,1))</f>
        <v>120</v>
      </c>
      <c r="F105" s="48"/>
      <c r="G105" s="43">
        <v>13</v>
      </c>
      <c r="H105" s="49" t="s">
        <v>44</v>
      </c>
      <c r="I105" s="50" t="s">
        <v>0</v>
      </c>
      <c r="J105" s="51"/>
      <c r="K105" s="121">
        <v>3100</v>
      </c>
      <c r="L105" s="52">
        <v>1</v>
      </c>
      <c r="M105" s="53">
        <f>IFERROR(VLOOKUP(VLOOKUP(O105,O105,1,1),Categories!$K$4:$V$17,2+VLOOKUP(L105,L105,1,1)),"-"  )</f>
        <v>1.67</v>
      </c>
      <c r="N105" s="53" t="str">
        <f>IFERROR(VLOOKUP(VLOOKUP(O105,O105,1,1),Categories!$K$3:$V$17,7+VLOOKUP(L105,L105,1,1)),"-")</f>
        <v>0 ATM</v>
      </c>
      <c r="O105" s="54" t="s">
        <v>58</v>
      </c>
      <c r="P105" s="176" t="s">
        <v>0</v>
      </c>
      <c r="Q105" s="180" t="s">
        <v>0</v>
      </c>
      <c r="R105" s="169"/>
      <c r="S105" s="169"/>
      <c r="T105" s="168"/>
      <c r="U105" s="169"/>
      <c r="V105" s="170">
        <v>5.3</v>
      </c>
      <c r="W105" s="170">
        <v>5.5</v>
      </c>
      <c r="X105" s="171">
        <v>7.06</v>
      </c>
      <c r="Y105" s="172"/>
      <c r="Z105" s="172"/>
      <c r="AA105" s="172"/>
      <c r="AB105" s="172"/>
      <c r="AC105" s="172"/>
      <c r="AD105" s="172"/>
      <c r="AE105" s="172"/>
      <c r="AF105" s="172"/>
      <c r="AG105" s="171"/>
      <c r="AH105" s="173"/>
      <c r="AI105" s="131"/>
      <c r="AJ105" s="55"/>
      <c r="AK105" s="55"/>
      <c r="AL105" s="55"/>
    </row>
    <row r="106" spans="1:38" ht="31.95" customHeight="1" x14ac:dyDescent="0.3">
      <c r="A106" s="167">
        <v>44062</v>
      </c>
      <c r="B106" s="186">
        <v>0.73508101851851848</v>
      </c>
      <c r="C106" s="48"/>
      <c r="D106" s="48"/>
      <c r="E106" s="48">
        <f>IF(I106=Categories!$E$4,VLOOKUP(H106,Categories!$A$4:$C$13,3,1),VLOOKUP(I106,Categories!$E$4:$G$24,3,1))</f>
        <v>45</v>
      </c>
      <c r="F106" s="48"/>
      <c r="G106" s="43">
        <v>13</v>
      </c>
      <c r="H106" s="49" t="s">
        <v>224</v>
      </c>
      <c r="I106" s="50" t="s">
        <v>230</v>
      </c>
      <c r="J106" s="51"/>
      <c r="K106" s="121">
        <v>3100</v>
      </c>
      <c r="L106" s="52">
        <v>2</v>
      </c>
      <c r="M106" s="53">
        <f>IFERROR(VLOOKUP(VLOOKUP(O106,O106,1,1),Categories!$K$4:$V$17,2+VLOOKUP(L106,L106,1,1)),"-"  )</f>
        <v>7.3</v>
      </c>
      <c r="N106" s="53" t="str">
        <f>IFERROR(VLOOKUP(VLOOKUP(O106,O106,1,1),Categories!$K$3:$V$17,7+VLOOKUP(L106,L106,1,1)),"-")</f>
        <v>4 ATM</v>
      </c>
      <c r="O106" s="54" t="s">
        <v>58</v>
      </c>
      <c r="P106" s="176" t="s">
        <v>0</v>
      </c>
      <c r="Q106" s="180" t="s">
        <v>0</v>
      </c>
      <c r="R106" s="169"/>
      <c r="S106" s="169"/>
      <c r="T106" s="168"/>
      <c r="U106" s="169"/>
      <c r="V106" s="170"/>
      <c r="W106" s="170"/>
      <c r="X106" s="171"/>
      <c r="Y106" s="172"/>
      <c r="Z106" s="172"/>
      <c r="AA106" s="172"/>
      <c r="AB106" s="172"/>
      <c r="AC106" s="172"/>
      <c r="AD106" s="172"/>
      <c r="AE106" s="172"/>
      <c r="AF106" s="172"/>
      <c r="AG106" s="171"/>
      <c r="AH106" s="173"/>
      <c r="AI106" s="131"/>
      <c r="AJ106" s="55"/>
      <c r="AK106" s="55"/>
      <c r="AL106" s="55"/>
    </row>
    <row r="107" spans="1:38" ht="31.95" customHeight="1" x14ac:dyDescent="0.3">
      <c r="A107" s="12">
        <v>44062</v>
      </c>
      <c r="B107" s="187">
        <v>0.73547453703703702</v>
      </c>
      <c r="C107" s="48"/>
      <c r="D107" s="48"/>
      <c r="E107" s="48">
        <f>IF(I107=Categories!$E$4,VLOOKUP(H107,Categories!$A$4:$C$13,3,1),VLOOKUP(I107,Categories!$E$4:$G$24,3,1))</f>
        <v>120</v>
      </c>
      <c r="F107" s="48"/>
      <c r="G107" s="43">
        <v>13</v>
      </c>
      <c r="H107" s="49" t="s">
        <v>44</v>
      </c>
      <c r="I107" s="44" t="s">
        <v>0</v>
      </c>
      <c r="J107" s="51"/>
      <c r="K107" s="121">
        <v>3100</v>
      </c>
      <c r="L107" s="52">
        <v>2</v>
      </c>
      <c r="M107" s="53">
        <f>IFERROR(VLOOKUP(VLOOKUP(O107,O107,1,1),Categories!$K$4:$V$17,2+VLOOKUP(L107,L107,1,1)),"-"  )</f>
        <v>7.3</v>
      </c>
      <c r="N107" s="53" t="str">
        <f>IFERROR(VLOOKUP(VLOOKUP(O107,O107,1,1),Categories!$K$3:$V$17,7+VLOOKUP(L107,L107,1,1)),"-")</f>
        <v>4 ATM</v>
      </c>
      <c r="O107" s="54" t="s">
        <v>58</v>
      </c>
      <c r="P107" s="176" t="s">
        <v>0</v>
      </c>
      <c r="Q107" s="180" t="s">
        <v>0</v>
      </c>
      <c r="R107" s="132"/>
      <c r="S107" s="132"/>
      <c r="T107" s="139"/>
      <c r="U107" s="169"/>
      <c r="V107" s="135">
        <v>5.5</v>
      </c>
      <c r="W107" s="135">
        <v>5.6</v>
      </c>
      <c r="X107" s="136">
        <v>6.99</v>
      </c>
      <c r="Y107" s="137"/>
      <c r="Z107" s="137"/>
      <c r="AA107" s="137"/>
      <c r="AB107" s="137"/>
      <c r="AC107" s="137"/>
      <c r="AD107" s="137"/>
      <c r="AE107" s="137"/>
      <c r="AF107" s="137"/>
      <c r="AG107" s="136"/>
      <c r="AH107" s="138"/>
      <c r="AI107" s="131"/>
      <c r="AJ107" s="47"/>
      <c r="AK107" s="55"/>
      <c r="AL107" s="55"/>
    </row>
    <row r="108" spans="1:38" ht="31.95" customHeight="1" x14ac:dyDescent="0.3">
      <c r="A108" s="12">
        <v>44062</v>
      </c>
      <c r="B108" s="187">
        <v>0.73700231481481471</v>
      </c>
      <c r="C108" s="48"/>
      <c r="D108" s="48"/>
      <c r="E108" s="48">
        <f>IF(I108=Categories!$E$4,VLOOKUP(H108,Categories!$A$4:$C$13,3,1),VLOOKUP(I108,Categories!$E$4:$G$24,3,1))</f>
        <v>45</v>
      </c>
      <c r="F108" s="48"/>
      <c r="G108" s="43">
        <v>13</v>
      </c>
      <c r="H108" s="49" t="s">
        <v>224</v>
      </c>
      <c r="I108" s="50" t="s">
        <v>230</v>
      </c>
      <c r="J108" s="51"/>
      <c r="K108" s="121">
        <v>3100</v>
      </c>
      <c r="L108" s="52">
        <v>3</v>
      </c>
      <c r="M108" s="53">
        <f>IFERROR(VLOOKUP(VLOOKUP(O108,O108,1,1),Categories!$K$4:$V$17,2+VLOOKUP(L108,L108,1,1)),"-"  )</f>
        <v>8.52</v>
      </c>
      <c r="N108" s="53" t="str">
        <f>IFERROR(VLOOKUP(VLOOKUP(O108,O108,1,1),Categories!$K$3:$V$17,7+VLOOKUP(L108,L108,1,1)),"-")</f>
        <v>13 ATM</v>
      </c>
      <c r="O108" s="54" t="s">
        <v>58</v>
      </c>
      <c r="P108" s="176" t="s">
        <v>0</v>
      </c>
      <c r="Q108" s="180" t="s">
        <v>0</v>
      </c>
      <c r="R108" s="132"/>
      <c r="S108" s="132"/>
      <c r="T108" s="139"/>
      <c r="U108" s="169"/>
      <c r="V108" s="135"/>
      <c r="W108" s="135"/>
      <c r="X108" s="136"/>
      <c r="Y108" s="137"/>
      <c r="Z108" s="137"/>
      <c r="AA108" s="137"/>
      <c r="AB108" s="137"/>
      <c r="AC108" s="137"/>
      <c r="AD108" s="137"/>
      <c r="AE108" s="137"/>
      <c r="AF108" s="137"/>
      <c r="AG108" s="136"/>
      <c r="AH108" s="138"/>
      <c r="AI108" s="131"/>
      <c r="AJ108" s="47"/>
      <c r="AK108" s="55"/>
      <c r="AL108" s="55"/>
    </row>
    <row r="109" spans="1:38" ht="31.95" customHeight="1" x14ac:dyDescent="0.3">
      <c r="A109" s="12">
        <v>44062</v>
      </c>
      <c r="B109" s="187">
        <v>0.73766203703703714</v>
      </c>
      <c r="C109" s="48"/>
      <c r="D109" s="48"/>
      <c r="E109" s="48">
        <f>IF(I109=Categories!$E$4,VLOOKUP(H109,Categories!$A$4:$C$13,3,1),VLOOKUP(I109,Categories!$E$4:$G$24,3,1))</f>
        <v>120</v>
      </c>
      <c r="F109" s="48"/>
      <c r="G109" s="43">
        <v>13</v>
      </c>
      <c r="H109" s="49" t="s">
        <v>44</v>
      </c>
      <c r="I109" s="44" t="s">
        <v>0</v>
      </c>
      <c r="J109" s="51"/>
      <c r="K109" s="121">
        <v>3100</v>
      </c>
      <c r="L109" s="52">
        <v>3</v>
      </c>
      <c r="M109" s="53">
        <f>IFERROR(VLOOKUP(VLOOKUP(O109,O109,1,1),Categories!$K$4:$V$17,2+VLOOKUP(L109,L109,1,1)),"-"  )</f>
        <v>8.52</v>
      </c>
      <c r="N109" s="53" t="str">
        <f>IFERROR(VLOOKUP(VLOOKUP(O109,O109,1,1),Categories!$K$3:$V$17,7+VLOOKUP(L109,L109,1,1)),"-")</f>
        <v>13 ATM</v>
      </c>
      <c r="O109" s="54" t="s">
        <v>58</v>
      </c>
      <c r="P109" s="176" t="s">
        <v>0</v>
      </c>
      <c r="Q109" s="180" t="s">
        <v>0</v>
      </c>
      <c r="R109" s="132"/>
      <c r="S109" s="132"/>
      <c r="T109" s="139"/>
      <c r="U109" s="169"/>
      <c r="V109" s="135">
        <v>5.4</v>
      </c>
      <c r="W109" s="135">
        <v>5.5</v>
      </c>
      <c r="X109" s="136">
        <v>6.79</v>
      </c>
      <c r="Y109" s="137"/>
      <c r="Z109" s="137"/>
      <c r="AA109" s="137"/>
      <c r="AB109" s="137"/>
      <c r="AC109" s="137"/>
      <c r="AD109" s="137"/>
      <c r="AE109" s="137"/>
      <c r="AF109" s="137"/>
      <c r="AG109" s="136"/>
      <c r="AH109" s="138"/>
      <c r="AI109" s="131"/>
      <c r="AJ109" s="47"/>
      <c r="AK109" s="55"/>
      <c r="AL109" s="55"/>
    </row>
    <row r="110" spans="1:38" ht="31.95" customHeight="1" x14ac:dyDescent="0.3">
      <c r="A110" s="12">
        <v>44062</v>
      </c>
      <c r="B110" s="187">
        <v>0.73913194444444441</v>
      </c>
      <c r="C110" s="48"/>
      <c r="D110" s="48"/>
      <c r="E110" s="48">
        <f>IF(I110=Categories!$E$4,VLOOKUP(H110,Categories!$A$4:$C$13,3,1),VLOOKUP(I110,Categories!$E$4:$G$24,3,1))</f>
        <v>45</v>
      </c>
      <c r="F110" s="48"/>
      <c r="G110" s="43">
        <v>13</v>
      </c>
      <c r="H110" s="49" t="s">
        <v>224</v>
      </c>
      <c r="I110" s="50" t="s">
        <v>231</v>
      </c>
      <c r="J110" s="51"/>
      <c r="K110" s="121">
        <v>3100</v>
      </c>
      <c r="L110" s="52">
        <v>1</v>
      </c>
      <c r="M110" s="53">
        <f>IFERROR(VLOOKUP(VLOOKUP(O110,O110,1,1),Categories!$K$4:$V$17,2+VLOOKUP(L110,L110,1,1)),"-"  )</f>
        <v>1.67</v>
      </c>
      <c r="N110" s="53" t="str">
        <f>IFERROR(VLOOKUP(VLOOKUP(O110,O110,1,1),Categories!$K$3:$V$17,7+VLOOKUP(L110,L110,1,1)),"-")</f>
        <v>0 ATM</v>
      </c>
      <c r="O110" s="54" t="s">
        <v>58</v>
      </c>
      <c r="P110" s="176" t="s">
        <v>0</v>
      </c>
      <c r="Q110" s="180" t="s">
        <v>0</v>
      </c>
      <c r="R110" s="132"/>
      <c r="S110" s="132"/>
      <c r="T110" s="139"/>
      <c r="U110" s="169"/>
      <c r="V110" s="135"/>
      <c r="W110" s="135"/>
      <c r="X110" s="136"/>
      <c r="Y110" s="137"/>
      <c r="Z110" s="137"/>
      <c r="AA110" s="137"/>
      <c r="AB110" s="137"/>
      <c r="AC110" s="137"/>
      <c r="AD110" s="137"/>
      <c r="AE110" s="137"/>
      <c r="AF110" s="137"/>
      <c r="AG110" s="136"/>
      <c r="AH110" s="138"/>
      <c r="AI110" s="131"/>
      <c r="AJ110" s="47"/>
      <c r="AK110" s="55"/>
      <c r="AL110" s="55"/>
    </row>
    <row r="111" spans="1:38" ht="31.95" customHeight="1" x14ac:dyDescent="0.3">
      <c r="A111" s="12">
        <v>44062</v>
      </c>
      <c r="B111" s="187">
        <v>0.73966435185185186</v>
      </c>
      <c r="C111" s="48"/>
      <c r="D111" s="48"/>
      <c r="E111" s="48">
        <f>IF(I111=Categories!$E$4,VLOOKUP(H111,Categories!$A$4:$C$13,3,1),VLOOKUP(I111,Categories!$E$4:$G$24,3,1))</f>
        <v>120</v>
      </c>
      <c r="F111" s="48"/>
      <c r="G111" s="43">
        <v>13</v>
      </c>
      <c r="H111" s="49" t="s">
        <v>228</v>
      </c>
      <c r="I111" s="44" t="s">
        <v>0</v>
      </c>
      <c r="J111" s="51"/>
      <c r="K111" s="121">
        <v>3100</v>
      </c>
      <c r="L111" s="52">
        <v>1</v>
      </c>
      <c r="M111" s="53">
        <f>IFERROR(VLOOKUP(VLOOKUP(O111,O111,1,1),Categories!$K$4:$V$17,2+VLOOKUP(L111,L111,1,1)),"-"  )</f>
        <v>1.67</v>
      </c>
      <c r="N111" s="53" t="str">
        <f>IFERROR(VLOOKUP(VLOOKUP(O111,O111,1,1),Categories!$K$3:$V$17,7+VLOOKUP(L111,L111,1,1)),"-")</f>
        <v>0 ATM</v>
      </c>
      <c r="O111" s="54" t="s">
        <v>58</v>
      </c>
      <c r="P111" s="176" t="s">
        <v>0</v>
      </c>
      <c r="Q111" s="180" t="s">
        <v>0</v>
      </c>
      <c r="R111" s="132"/>
      <c r="S111" s="132"/>
      <c r="T111" s="139"/>
      <c r="U111" s="169"/>
      <c r="V111" s="135">
        <v>5.3</v>
      </c>
      <c r="W111" s="135">
        <v>5.5</v>
      </c>
      <c r="X111" s="136">
        <v>7.05</v>
      </c>
      <c r="Y111" s="137"/>
      <c r="Z111" s="137"/>
      <c r="AA111" s="137"/>
      <c r="AB111" s="137"/>
      <c r="AC111" s="137"/>
      <c r="AD111" s="137"/>
      <c r="AE111" s="137"/>
      <c r="AF111" s="137"/>
      <c r="AG111" s="136"/>
      <c r="AH111" s="138"/>
      <c r="AI111" s="131"/>
      <c r="AJ111" s="47" t="s">
        <v>300</v>
      </c>
      <c r="AK111" s="55"/>
      <c r="AL111" s="55"/>
    </row>
    <row r="112" spans="1:38" ht="31.95" customHeight="1" x14ac:dyDescent="0.3">
      <c r="A112" s="167">
        <v>44062</v>
      </c>
      <c r="B112" s="186">
        <v>0.74105324074074075</v>
      </c>
      <c r="C112" s="48"/>
      <c r="D112" s="48"/>
      <c r="E112" s="48" t="str">
        <f>IF(I112=Categories!$E$4,VLOOKUP(H112,Categories!$A$4:$C$13,3,1),VLOOKUP(I112,Categories!$E$4:$G$24,3,1))</f>
        <v>-</v>
      </c>
      <c r="F112" s="48"/>
      <c r="G112" s="43" t="s">
        <v>0</v>
      </c>
      <c r="H112" s="49" t="s">
        <v>3</v>
      </c>
      <c r="I112" s="50" t="s">
        <v>61</v>
      </c>
      <c r="J112" s="51"/>
      <c r="K112" s="121">
        <v>3100</v>
      </c>
      <c r="L112" s="52" t="s">
        <v>0</v>
      </c>
      <c r="M112" s="53" t="str">
        <f>IFERROR(VLOOKUP(VLOOKUP(O112,O112,1,1),Categories!$K$4:$V$17,2+VLOOKUP(L112,L112,1,1)),"-"  )</f>
        <v>-</v>
      </c>
      <c r="N112" s="53" t="str">
        <f>IFERROR(VLOOKUP(VLOOKUP(O112,O112,1,1),Categories!$K$3:$V$17,7+VLOOKUP(L112,L112,1,1)),"-")</f>
        <v>-</v>
      </c>
      <c r="O112" s="54" t="s">
        <v>0</v>
      </c>
      <c r="P112" s="176" t="s">
        <v>0</v>
      </c>
      <c r="Q112" s="180" t="s">
        <v>0</v>
      </c>
      <c r="R112" s="169"/>
      <c r="S112" s="169"/>
      <c r="T112" s="168"/>
      <c r="U112" s="169"/>
      <c r="V112" s="170"/>
      <c r="W112" s="170"/>
      <c r="X112" s="171"/>
      <c r="Y112" s="172"/>
      <c r="Z112" s="172"/>
      <c r="AA112" s="172"/>
      <c r="AB112" s="172"/>
      <c r="AC112" s="172"/>
      <c r="AD112" s="172"/>
      <c r="AE112" s="172"/>
      <c r="AF112" s="172"/>
      <c r="AG112" s="171"/>
      <c r="AH112" s="173"/>
      <c r="AI112" s="131"/>
      <c r="AJ112" s="55"/>
      <c r="AK112" s="55"/>
      <c r="AL112" s="55"/>
    </row>
    <row r="113" spans="1:38" ht="31.95" customHeight="1" x14ac:dyDescent="0.3">
      <c r="A113" s="167">
        <v>44062</v>
      </c>
      <c r="B113" s="186">
        <v>0.74699074074074068</v>
      </c>
      <c r="C113" s="48"/>
      <c r="D113" s="48"/>
      <c r="E113" s="48">
        <f>IF(I113=Categories!$E$4,VLOOKUP(H113,Categories!$A$4:$C$13,3,1),VLOOKUP(I113,Categories!$E$4:$G$24,3,1))</f>
        <v>120</v>
      </c>
      <c r="F113" s="48"/>
      <c r="G113" s="43">
        <v>14</v>
      </c>
      <c r="H113" s="49" t="s">
        <v>228</v>
      </c>
      <c r="I113" s="50" t="s">
        <v>0</v>
      </c>
      <c r="J113" s="51"/>
      <c r="K113" s="121">
        <v>3100</v>
      </c>
      <c r="L113" s="52" t="s">
        <v>0</v>
      </c>
      <c r="M113" s="53" t="str">
        <f>IFERROR(VLOOKUP(VLOOKUP(O113,O113,1,1),Categories!$K$4:$V$17,2+VLOOKUP(L113,L113,1,1)),"-"  )</f>
        <v>-</v>
      </c>
      <c r="N113" s="53" t="str">
        <f>IFERROR(VLOOKUP(VLOOKUP(O113,O113,1,1),Categories!$K$3:$V$17,7+VLOOKUP(L113,L113,1,1)),"-")</f>
        <v>-</v>
      </c>
      <c r="O113" s="54" t="s">
        <v>0</v>
      </c>
      <c r="P113" s="176" t="s">
        <v>0</v>
      </c>
      <c r="Q113" s="180" t="s">
        <v>0</v>
      </c>
      <c r="R113" s="169"/>
      <c r="S113" s="169"/>
      <c r="T113" s="168"/>
      <c r="U113" s="169"/>
      <c r="V113" s="170">
        <v>5.2</v>
      </c>
      <c r="W113" s="170">
        <v>5.4</v>
      </c>
      <c r="X113" s="171">
        <v>7.08</v>
      </c>
      <c r="Y113" s="172"/>
      <c r="Z113" s="172"/>
      <c r="AA113" s="172"/>
      <c r="AB113" s="172"/>
      <c r="AC113" s="172"/>
      <c r="AD113" s="172"/>
      <c r="AE113" s="172"/>
      <c r="AF113" s="172"/>
      <c r="AG113" s="171"/>
      <c r="AH113" s="173"/>
      <c r="AI113" s="131"/>
      <c r="AJ113" s="55"/>
      <c r="AK113" s="55"/>
      <c r="AL113" s="55" t="s">
        <v>277</v>
      </c>
    </row>
    <row r="114" spans="1:38" ht="31.95" customHeight="1" x14ac:dyDescent="0.3">
      <c r="A114" s="167">
        <v>44062</v>
      </c>
      <c r="B114" s="186">
        <v>0.7486342592592593</v>
      </c>
      <c r="C114" s="48"/>
      <c r="D114" s="48"/>
      <c r="E114" s="48">
        <f>IF(I114=Categories!$E$4,VLOOKUP(H114,Categories!$A$4:$C$13,3,1),VLOOKUP(I114,Categories!$E$4:$G$24,3,1))</f>
        <v>45</v>
      </c>
      <c r="F114" s="48"/>
      <c r="G114" s="43">
        <v>14</v>
      </c>
      <c r="H114" s="49" t="s">
        <v>224</v>
      </c>
      <c r="I114" s="50" t="s">
        <v>2</v>
      </c>
      <c r="J114" s="51"/>
      <c r="K114" s="121">
        <v>2800</v>
      </c>
      <c r="L114" s="52" t="s">
        <v>0</v>
      </c>
      <c r="M114" s="53" t="str">
        <f>IFERROR(VLOOKUP(VLOOKUP(O114,O114,1,1),Categories!$K$4:$V$17,2+VLOOKUP(L114,L114,1,1)),"-"  )</f>
        <v>-</v>
      </c>
      <c r="N114" s="53" t="str">
        <f>IFERROR(VLOOKUP(VLOOKUP(O114,O114,1,1),Categories!$K$3:$V$17,7+VLOOKUP(L114,L114,1,1)),"-")</f>
        <v>-</v>
      </c>
      <c r="O114" s="54" t="s">
        <v>0</v>
      </c>
      <c r="P114" s="176" t="s">
        <v>0</v>
      </c>
      <c r="Q114" s="180" t="s">
        <v>0</v>
      </c>
      <c r="R114" s="169"/>
      <c r="S114" s="169"/>
      <c r="T114" s="168"/>
      <c r="U114" s="169"/>
      <c r="V114" s="170"/>
      <c r="W114" s="170"/>
      <c r="X114" s="171"/>
      <c r="Y114" s="172"/>
      <c r="Z114" s="172"/>
      <c r="AA114" s="172"/>
      <c r="AB114" s="172"/>
      <c r="AC114" s="172"/>
      <c r="AD114" s="172"/>
      <c r="AE114" s="172"/>
      <c r="AF114" s="172"/>
      <c r="AG114" s="171"/>
      <c r="AH114" s="173"/>
      <c r="AI114" s="131"/>
      <c r="AJ114" s="55"/>
      <c r="AK114" s="55"/>
      <c r="AL114" s="55" t="s">
        <v>280</v>
      </c>
    </row>
    <row r="115" spans="1:38" ht="31.95" customHeight="1" x14ac:dyDescent="0.3">
      <c r="A115" s="167">
        <v>44062</v>
      </c>
      <c r="B115" s="186">
        <v>0.7492361111111111</v>
      </c>
      <c r="C115" s="48"/>
      <c r="D115" s="48"/>
      <c r="E115" s="48">
        <f>IF(I115=Categories!$E$4,VLOOKUP(H115,Categories!$A$4:$C$13,3,1),VLOOKUP(I115,Categories!$E$4:$G$24,3,1))</f>
        <v>60</v>
      </c>
      <c r="F115" s="48"/>
      <c r="G115" s="43">
        <v>14</v>
      </c>
      <c r="H115" s="49" t="s">
        <v>226</v>
      </c>
      <c r="I115" s="50" t="s">
        <v>0</v>
      </c>
      <c r="J115" s="51"/>
      <c r="K115" s="121">
        <v>2800</v>
      </c>
      <c r="L115" s="52" t="s">
        <v>0</v>
      </c>
      <c r="M115" s="53" t="str">
        <f>IFERROR(VLOOKUP(VLOOKUP(O115,O115,1,1),Categories!$K$4:$V$17,2+VLOOKUP(L115,L115,1,1)),"-"  )</f>
        <v>-</v>
      </c>
      <c r="N115" s="53" t="str">
        <f>IFERROR(VLOOKUP(VLOOKUP(O115,O115,1,1),Categories!$K$3:$V$17,7+VLOOKUP(L115,L115,1,1)),"-")</f>
        <v>-</v>
      </c>
      <c r="O115" s="54" t="s">
        <v>0</v>
      </c>
      <c r="P115" s="176" t="s">
        <v>0</v>
      </c>
      <c r="Q115" s="180" t="s">
        <v>0</v>
      </c>
      <c r="R115" s="169"/>
      <c r="S115" s="169"/>
      <c r="T115" s="168"/>
      <c r="U115" s="169"/>
      <c r="V115" s="170">
        <v>4.4000000000000004</v>
      </c>
      <c r="W115" s="170">
        <v>4</v>
      </c>
      <c r="X115" s="171">
        <v>6.34</v>
      </c>
      <c r="Y115" s="172"/>
      <c r="Z115" s="172"/>
      <c r="AA115" s="172"/>
      <c r="AB115" s="172"/>
      <c r="AC115" s="172"/>
      <c r="AD115" s="172"/>
      <c r="AE115" s="172"/>
      <c r="AF115" s="172"/>
      <c r="AG115" s="171"/>
      <c r="AH115" s="173"/>
      <c r="AI115" s="131"/>
      <c r="AJ115" s="55"/>
      <c r="AK115" s="55"/>
      <c r="AL115" s="55" t="s">
        <v>276</v>
      </c>
    </row>
    <row r="116" spans="1:38" ht="31.95" customHeight="1" x14ac:dyDescent="0.3">
      <c r="A116" s="167">
        <v>44062</v>
      </c>
      <c r="B116" s="186">
        <v>0.75015046296296306</v>
      </c>
      <c r="C116" s="48"/>
      <c r="D116" s="48"/>
      <c r="E116" s="48">
        <f>IF(I116=Categories!$E$4,VLOOKUP(H116,Categories!$A$4:$C$13,3,1),VLOOKUP(I116,Categories!$E$4:$G$24,3,1))</f>
        <v>45</v>
      </c>
      <c r="F116" s="48"/>
      <c r="G116" s="43">
        <v>14</v>
      </c>
      <c r="H116" s="49" t="s">
        <v>224</v>
      </c>
      <c r="I116" s="50" t="s">
        <v>2</v>
      </c>
      <c r="J116" s="51"/>
      <c r="K116" s="121">
        <v>2500</v>
      </c>
      <c r="L116" s="52" t="s">
        <v>0</v>
      </c>
      <c r="M116" s="53" t="str">
        <f>IFERROR(VLOOKUP(VLOOKUP(O116,O116,1,1),Categories!$K$4:$V$17,2+VLOOKUP(L116,L116,1,1)),"-"  )</f>
        <v>-</v>
      </c>
      <c r="N116" s="53" t="str">
        <f>IFERROR(VLOOKUP(VLOOKUP(O116,O116,1,1),Categories!$K$3:$V$17,7+VLOOKUP(L116,L116,1,1)),"-")</f>
        <v>-</v>
      </c>
      <c r="O116" s="54" t="s">
        <v>0</v>
      </c>
      <c r="P116" s="176" t="s">
        <v>0</v>
      </c>
      <c r="Q116" s="180" t="s">
        <v>0</v>
      </c>
      <c r="R116" s="169"/>
      <c r="S116" s="169"/>
      <c r="T116" s="168"/>
      <c r="U116" s="169"/>
      <c r="V116" s="170"/>
      <c r="W116" s="170"/>
      <c r="X116" s="171"/>
      <c r="Y116" s="172"/>
      <c r="Z116" s="172"/>
      <c r="AA116" s="172"/>
      <c r="AB116" s="172"/>
      <c r="AC116" s="172"/>
      <c r="AD116" s="172"/>
      <c r="AE116" s="172"/>
      <c r="AF116" s="172"/>
      <c r="AG116" s="171"/>
      <c r="AH116" s="173"/>
      <c r="AI116" s="131"/>
      <c r="AJ116" s="55"/>
      <c r="AK116" s="55"/>
      <c r="AL116" s="55" t="s">
        <v>280</v>
      </c>
    </row>
    <row r="117" spans="1:38" ht="31.95" customHeight="1" x14ac:dyDescent="0.3">
      <c r="A117" s="167">
        <v>44062</v>
      </c>
      <c r="B117" s="186">
        <v>0.75070601851851848</v>
      </c>
      <c r="C117" s="48"/>
      <c r="D117" s="48"/>
      <c r="E117" s="48">
        <f>IF(I117=Categories!$E$4,VLOOKUP(H117,Categories!$A$4:$C$13,3,1),VLOOKUP(I117,Categories!$E$4:$G$24,3,1))</f>
        <v>120</v>
      </c>
      <c r="F117" s="48"/>
      <c r="G117" s="43">
        <v>14</v>
      </c>
      <c r="H117" s="49" t="s">
        <v>228</v>
      </c>
      <c r="I117" s="50" t="s">
        <v>0</v>
      </c>
      <c r="J117" s="51"/>
      <c r="K117" s="121">
        <v>2500</v>
      </c>
      <c r="L117" s="52" t="s">
        <v>0</v>
      </c>
      <c r="M117" s="53" t="str">
        <f>IFERROR(VLOOKUP(VLOOKUP(O117,O117,1,1),Categories!$K$4:$V$17,2+VLOOKUP(L117,L117,1,1)),"-"  )</f>
        <v>-</v>
      </c>
      <c r="N117" s="53" t="str">
        <f>IFERROR(VLOOKUP(VLOOKUP(O117,O117,1,1),Categories!$K$3:$V$17,7+VLOOKUP(L117,L117,1,1)),"-")</f>
        <v>-</v>
      </c>
      <c r="O117" s="54" t="s">
        <v>0</v>
      </c>
      <c r="P117" s="176" t="s">
        <v>0</v>
      </c>
      <c r="Q117" s="180" t="s">
        <v>0</v>
      </c>
      <c r="R117" s="169"/>
      <c r="S117" s="169"/>
      <c r="T117" s="168"/>
      <c r="U117" s="169"/>
      <c r="V117" s="170">
        <v>3.9</v>
      </c>
      <c r="W117" s="170">
        <v>2.9</v>
      </c>
      <c r="X117" s="171">
        <v>5.61</v>
      </c>
      <c r="Y117" s="172"/>
      <c r="Z117" s="172"/>
      <c r="AA117" s="172"/>
      <c r="AB117" s="172"/>
      <c r="AC117" s="172"/>
      <c r="AD117" s="172"/>
      <c r="AE117" s="172"/>
      <c r="AF117" s="172"/>
      <c r="AG117" s="171"/>
      <c r="AH117" s="173"/>
      <c r="AI117" s="131"/>
      <c r="AJ117" s="55"/>
      <c r="AK117" s="55"/>
      <c r="AL117" s="55" t="s">
        <v>278</v>
      </c>
    </row>
    <row r="118" spans="1:38" ht="31.95" customHeight="1" x14ac:dyDescent="0.3">
      <c r="A118" s="167">
        <v>44062</v>
      </c>
      <c r="B118" s="186">
        <v>0.7521296296296297</v>
      </c>
      <c r="C118" s="48"/>
      <c r="D118" s="48"/>
      <c r="E118" s="48">
        <f>IF(I118=Categories!$E$4,VLOOKUP(H118,Categories!$A$4:$C$13,3,1),VLOOKUP(I118,Categories!$E$4:$G$24,3,1))</f>
        <v>45</v>
      </c>
      <c r="F118" s="48"/>
      <c r="G118" s="43">
        <v>14</v>
      </c>
      <c r="H118" s="49" t="s">
        <v>224</v>
      </c>
      <c r="I118" s="50" t="s">
        <v>2</v>
      </c>
      <c r="J118" s="51"/>
      <c r="K118" s="121">
        <v>2200</v>
      </c>
      <c r="L118" s="52" t="s">
        <v>0</v>
      </c>
      <c r="M118" s="53" t="str">
        <f>IFERROR(VLOOKUP(VLOOKUP(O118,O118,1,1),Categories!$K$4:$V$17,2+VLOOKUP(L118,L118,1,1)),"-"  )</f>
        <v>-</v>
      </c>
      <c r="N118" s="53" t="str">
        <f>IFERROR(VLOOKUP(VLOOKUP(O118,O118,1,1),Categories!$K$3:$V$17,7+VLOOKUP(L118,L118,1,1)),"-")</f>
        <v>-</v>
      </c>
      <c r="O118" s="54" t="s">
        <v>0</v>
      </c>
      <c r="P118" s="176" t="s">
        <v>0</v>
      </c>
      <c r="Q118" s="180" t="s">
        <v>0</v>
      </c>
      <c r="R118" s="169"/>
      <c r="S118" s="169"/>
      <c r="T118" s="168"/>
      <c r="U118" s="169"/>
      <c r="V118" s="170"/>
      <c r="W118" s="170"/>
      <c r="X118" s="171"/>
      <c r="Y118" s="172"/>
      <c r="Z118" s="172"/>
      <c r="AA118" s="172"/>
      <c r="AB118" s="172"/>
      <c r="AC118" s="172"/>
      <c r="AD118" s="172"/>
      <c r="AE118" s="172"/>
      <c r="AF118" s="172"/>
      <c r="AG118" s="171"/>
      <c r="AH118" s="173"/>
      <c r="AI118" s="131"/>
      <c r="AJ118" s="55"/>
      <c r="AK118" s="55"/>
      <c r="AL118" s="55" t="s">
        <v>280</v>
      </c>
    </row>
    <row r="119" spans="1:38" ht="31.95" customHeight="1" x14ac:dyDescent="0.3">
      <c r="A119" s="167">
        <v>44062</v>
      </c>
      <c r="B119" s="186">
        <v>0.75263888888888886</v>
      </c>
      <c r="C119" s="48"/>
      <c r="D119" s="48"/>
      <c r="E119" s="48">
        <f>IF(I119=Categories!$E$4,VLOOKUP(H119,Categories!$A$4:$C$13,3,1),VLOOKUP(I119,Categories!$E$4:$G$24,3,1))</f>
        <v>120</v>
      </c>
      <c r="F119" s="48"/>
      <c r="G119" s="43">
        <v>14</v>
      </c>
      <c r="H119" s="49" t="s">
        <v>228</v>
      </c>
      <c r="I119" s="50" t="s">
        <v>0</v>
      </c>
      <c r="J119" s="51"/>
      <c r="K119" s="121">
        <v>2200</v>
      </c>
      <c r="L119" s="52" t="s">
        <v>0</v>
      </c>
      <c r="M119" s="53" t="str">
        <f>IFERROR(VLOOKUP(VLOOKUP(O119,O119,1,1),Categories!$K$4:$V$17,2+VLOOKUP(L119,L119,1,1)),"-"  )</f>
        <v>-</v>
      </c>
      <c r="N119" s="53" t="str">
        <f>IFERROR(VLOOKUP(VLOOKUP(O119,O119,1,1),Categories!$K$3:$V$17,7+VLOOKUP(L119,L119,1,1)),"-")</f>
        <v>-</v>
      </c>
      <c r="O119" s="54" t="s">
        <v>0</v>
      </c>
      <c r="P119" s="176" t="s">
        <v>0</v>
      </c>
      <c r="Q119" s="180" t="s">
        <v>0</v>
      </c>
      <c r="R119" s="169"/>
      <c r="S119" s="169"/>
      <c r="T119" s="168"/>
      <c r="U119" s="169"/>
      <c r="V119" s="170">
        <v>3.2</v>
      </c>
      <c r="W119" s="170">
        <v>2</v>
      </c>
      <c r="X119" s="171">
        <v>4.88</v>
      </c>
      <c r="Y119" s="172"/>
      <c r="Z119" s="172"/>
      <c r="AA119" s="172"/>
      <c r="AB119" s="172"/>
      <c r="AC119" s="172"/>
      <c r="AD119" s="172"/>
      <c r="AE119" s="172"/>
      <c r="AF119" s="172"/>
      <c r="AG119" s="171"/>
      <c r="AH119" s="173"/>
      <c r="AI119" s="131"/>
      <c r="AJ119" s="55"/>
      <c r="AK119" s="55"/>
      <c r="AL119" s="55" t="s">
        <v>279</v>
      </c>
    </row>
    <row r="120" spans="1:38" ht="31.95" customHeight="1" x14ac:dyDescent="0.3">
      <c r="A120" s="12">
        <v>44062</v>
      </c>
      <c r="B120" s="187">
        <v>0.75403935185185178</v>
      </c>
      <c r="C120" s="48"/>
      <c r="D120" s="48"/>
      <c r="E120" s="48">
        <f>IF(I120=Categories!$E$4,VLOOKUP(H120,Categories!$A$4:$C$13,3,1),VLOOKUP(I120,Categories!$E$4:$G$24,3,1))</f>
        <v>45</v>
      </c>
      <c r="F120" s="48"/>
      <c r="G120" s="43" t="s">
        <v>0</v>
      </c>
      <c r="H120" s="49" t="s">
        <v>3</v>
      </c>
      <c r="I120" s="50" t="s">
        <v>2</v>
      </c>
      <c r="J120" s="51"/>
      <c r="K120" s="121">
        <v>2200</v>
      </c>
      <c r="L120" s="52" t="s">
        <v>0</v>
      </c>
      <c r="M120" s="53" t="str">
        <f>IFERROR(VLOOKUP(VLOOKUP(O120,O120,1,1),Categories!$K$4:$V$17,2+VLOOKUP(L120,L120,1,1)),"-"  )</f>
        <v>-</v>
      </c>
      <c r="N120" s="53" t="str">
        <f>IFERROR(VLOOKUP(VLOOKUP(O120,O120,1,1),Categories!$K$3:$V$17,7+VLOOKUP(L120,L120,1,1)),"-")</f>
        <v>-</v>
      </c>
      <c r="O120" s="54" t="s">
        <v>0</v>
      </c>
      <c r="P120" s="176" t="s">
        <v>0</v>
      </c>
      <c r="Q120" s="180" t="s">
        <v>0</v>
      </c>
      <c r="R120" s="132"/>
      <c r="S120" s="132"/>
      <c r="T120" s="139"/>
      <c r="U120" s="169"/>
      <c r="V120" s="135"/>
      <c r="W120" s="135"/>
      <c r="X120" s="136"/>
      <c r="Y120" s="137"/>
      <c r="Z120" s="137"/>
      <c r="AA120" s="137"/>
      <c r="AB120" s="137"/>
      <c r="AC120" s="137"/>
      <c r="AD120" s="137"/>
      <c r="AE120" s="137"/>
      <c r="AF120" s="137"/>
      <c r="AG120" s="136"/>
      <c r="AH120" s="138"/>
      <c r="AI120" s="131"/>
      <c r="AJ120" s="47" t="s">
        <v>301</v>
      </c>
      <c r="AK120" s="55"/>
      <c r="AL120" s="55"/>
    </row>
    <row r="121" spans="1:38" ht="31.95" customHeight="1" x14ac:dyDescent="0.3">
      <c r="A121" s="167">
        <v>44063</v>
      </c>
      <c r="B121" s="186">
        <v>0.50814814814814813</v>
      </c>
      <c r="C121" s="48"/>
      <c r="D121" s="48"/>
      <c r="E121" s="48">
        <f>IF(I121=Categories!$E$4,VLOOKUP(H121,Categories!$A$4:$C$13,3,1),VLOOKUP(I121,Categories!$E$4:$G$24,3,1))</f>
        <v>120</v>
      </c>
      <c r="F121" s="48"/>
      <c r="G121" s="43">
        <v>15</v>
      </c>
      <c r="H121" s="49" t="s">
        <v>44</v>
      </c>
      <c r="I121" s="50" t="s">
        <v>0</v>
      </c>
      <c r="J121" s="51"/>
      <c r="K121" s="121">
        <v>3100</v>
      </c>
      <c r="L121" s="52" t="s">
        <v>0</v>
      </c>
      <c r="M121" s="53" t="str">
        <f>IFERROR(VLOOKUP(VLOOKUP(O121,O121,1,1),Categories!$K$4:$V$17,2+VLOOKUP(L121,L121,1,1)),"-"  )</f>
        <v>-</v>
      </c>
      <c r="N121" s="53" t="str">
        <f>IFERROR(VLOOKUP(VLOOKUP(O121,O121,1,1),Categories!$K$3:$V$17,7+VLOOKUP(L121,L121,1,1)),"-")</f>
        <v>-</v>
      </c>
      <c r="O121" s="54" t="s">
        <v>0</v>
      </c>
      <c r="P121" s="176" t="s">
        <v>0</v>
      </c>
      <c r="Q121" s="180" t="s">
        <v>0</v>
      </c>
      <c r="R121" s="169"/>
      <c r="S121" s="169"/>
      <c r="T121" s="168"/>
      <c r="U121" s="169"/>
      <c r="V121" s="170">
        <v>5.3</v>
      </c>
      <c r="W121" s="170">
        <v>5.5</v>
      </c>
      <c r="X121" s="171">
        <v>7.09</v>
      </c>
      <c r="Y121" s="172"/>
      <c r="Z121" s="172"/>
      <c r="AA121" s="172"/>
      <c r="AB121" s="172"/>
      <c r="AC121" s="172"/>
      <c r="AD121" s="172"/>
      <c r="AE121" s="172"/>
      <c r="AF121" s="172"/>
      <c r="AG121" s="171"/>
      <c r="AH121" s="173"/>
      <c r="AI121" s="131" t="s">
        <v>234</v>
      </c>
      <c r="AJ121" s="55" t="s">
        <v>298</v>
      </c>
      <c r="AK121" s="55"/>
      <c r="AL121" s="55" t="s">
        <v>277</v>
      </c>
    </row>
    <row r="122" spans="1:38" ht="31.95" customHeight="1" x14ac:dyDescent="0.3">
      <c r="A122" s="167">
        <v>44063</v>
      </c>
      <c r="B122" s="186">
        <v>0.50983796296296291</v>
      </c>
      <c r="C122" s="48"/>
      <c r="D122" s="48"/>
      <c r="E122" s="48">
        <f>IF(I122=Categories!$E$4,VLOOKUP(H122,Categories!$A$4:$C$13,3,1),VLOOKUP(I122,Categories!$E$4:$G$24,3,1))</f>
        <v>45</v>
      </c>
      <c r="F122" s="48"/>
      <c r="G122" s="43">
        <v>15</v>
      </c>
      <c r="H122" s="49" t="s">
        <v>224</v>
      </c>
      <c r="I122" s="50" t="s">
        <v>2</v>
      </c>
      <c r="J122" s="51"/>
      <c r="K122" s="121">
        <v>2800</v>
      </c>
      <c r="L122" s="52" t="s">
        <v>0</v>
      </c>
      <c r="M122" s="53" t="str">
        <f>IFERROR(VLOOKUP(VLOOKUP(O122,O122,1,1),Categories!$K$4:$V$17,2+VLOOKUP(L122,L122,1,1)),"-"  )</f>
        <v>-</v>
      </c>
      <c r="N122" s="53" t="str">
        <f>IFERROR(VLOOKUP(VLOOKUP(O122,O122,1,1),Categories!$K$3:$V$17,7+VLOOKUP(L122,L122,1,1)),"-")</f>
        <v>-</v>
      </c>
      <c r="O122" s="54" t="s">
        <v>0</v>
      </c>
      <c r="P122" s="176" t="s">
        <v>0</v>
      </c>
      <c r="Q122" s="180" t="s">
        <v>0</v>
      </c>
      <c r="R122" s="169"/>
      <c r="S122" s="169"/>
      <c r="T122" s="168"/>
      <c r="U122" s="169"/>
      <c r="V122" s="170"/>
      <c r="W122" s="170"/>
      <c r="X122" s="171"/>
      <c r="Y122" s="172"/>
      <c r="Z122" s="172"/>
      <c r="AA122" s="172"/>
      <c r="AB122" s="172"/>
      <c r="AC122" s="172"/>
      <c r="AD122" s="172"/>
      <c r="AE122" s="172"/>
      <c r="AF122" s="172"/>
      <c r="AG122" s="171"/>
      <c r="AH122" s="173"/>
      <c r="AI122" s="131"/>
      <c r="AJ122" s="55"/>
      <c r="AK122" s="55"/>
      <c r="AL122" s="55" t="s">
        <v>280</v>
      </c>
    </row>
    <row r="123" spans="1:38" ht="31.95" customHeight="1" x14ac:dyDescent="0.3">
      <c r="A123" s="167">
        <v>44063</v>
      </c>
      <c r="B123" s="186">
        <v>0.51041666666666663</v>
      </c>
      <c r="C123" s="48"/>
      <c r="D123" s="48"/>
      <c r="E123" s="48">
        <f>IF(I123=Categories!$E$4,VLOOKUP(H123,Categories!$A$4:$C$13,3,1),VLOOKUP(I123,Categories!$E$4:$G$24,3,1))</f>
        <v>120</v>
      </c>
      <c r="F123" s="48"/>
      <c r="G123" s="43">
        <v>15</v>
      </c>
      <c r="H123" s="49" t="s">
        <v>1</v>
      </c>
      <c r="I123" s="50" t="s">
        <v>0</v>
      </c>
      <c r="J123" s="51"/>
      <c r="K123" s="121">
        <v>2800</v>
      </c>
      <c r="L123" s="52" t="s">
        <v>0</v>
      </c>
      <c r="M123" s="53" t="str">
        <f>IFERROR(VLOOKUP(VLOOKUP(O123,O123,1,1),Categories!$K$4:$V$17,2+VLOOKUP(L123,L123,1,1)),"-"  )</f>
        <v>-</v>
      </c>
      <c r="N123" s="53" t="str">
        <f>IFERROR(VLOOKUP(VLOOKUP(O123,O123,1,1),Categories!$K$3:$V$17,7+VLOOKUP(L123,L123,1,1)),"-")</f>
        <v>-</v>
      </c>
      <c r="O123" s="54" t="s">
        <v>0</v>
      </c>
      <c r="P123" s="176" t="s">
        <v>0</v>
      </c>
      <c r="Q123" s="180" t="s">
        <v>0</v>
      </c>
      <c r="R123" s="169"/>
      <c r="S123" s="169"/>
      <c r="T123" s="168"/>
      <c r="U123" s="169"/>
      <c r="V123" s="170">
        <v>4.4000000000000004</v>
      </c>
      <c r="W123" s="170">
        <v>4.0999999999999996</v>
      </c>
      <c r="X123" s="171">
        <v>6.34</v>
      </c>
      <c r="Y123" s="172"/>
      <c r="Z123" s="172"/>
      <c r="AA123" s="172"/>
      <c r="AB123" s="172"/>
      <c r="AC123" s="172"/>
      <c r="AD123" s="172"/>
      <c r="AE123" s="172"/>
      <c r="AF123" s="172"/>
      <c r="AG123" s="171"/>
      <c r="AH123" s="173"/>
      <c r="AI123" s="131"/>
      <c r="AJ123" s="55"/>
      <c r="AK123" s="55"/>
      <c r="AL123" s="55" t="s">
        <v>276</v>
      </c>
    </row>
    <row r="124" spans="1:38" ht="31.95" customHeight="1" x14ac:dyDescent="0.3">
      <c r="A124" s="167">
        <v>44063</v>
      </c>
      <c r="B124" s="186">
        <v>0.51250000000000007</v>
      </c>
      <c r="C124" s="48"/>
      <c r="D124" s="48"/>
      <c r="E124" s="48">
        <f>IF(I124=Categories!$E$4,VLOOKUP(H124,Categories!$A$4:$C$13,3,1),VLOOKUP(I124,Categories!$E$4:$G$24,3,1))</f>
        <v>45</v>
      </c>
      <c r="F124" s="48"/>
      <c r="G124" s="43">
        <v>15</v>
      </c>
      <c r="H124" s="49" t="s">
        <v>224</v>
      </c>
      <c r="I124" s="50" t="s">
        <v>2</v>
      </c>
      <c r="J124" s="51"/>
      <c r="K124" s="121">
        <v>2500</v>
      </c>
      <c r="L124" s="52" t="s">
        <v>0</v>
      </c>
      <c r="M124" s="53" t="str">
        <f>IFERROR(VLOOKUP(VLOOKUP(O124,O124,1,1),Categories!$K$4:$V$17,2+VLOOKUP(L124,L124,1,1)),"-"  )</f>
        <v>-</v>
      </c>
      <c r="N124" s="53" t="str">
        <f>IFERROR(VLOOKUP(VLOOKUP(O124,O124,1,1),Categories!$K$3:$V$17,7+VLOOKUP(L124,L124,1,1)),"-")</f>
        <v>-</v>
      </c>
      <c r="O124" s="54" t="s">
        <v>0</v>
      </c>
      <c r="P124" s="176" t="s">
        <v>0</v>
      </c>
      <c r="Q124" s="180" t="s">
        <v>0</v>
      </c>
      <c r="R124" s="169"/>
      <c r="S124" s="169"/>
      <c r="T124" s="168"/>
      <c r="U124" s="169"/>
      <c r="V124" s="170"/>
      <c r="W124" s="170"/>
      <c r="X124" s="171"/>
      <c r="Y124" s="172"/>
      <c r="Z124" s="172"/>
      <c r="AA124" s="172"/>
      <c r="AB124" s="172"/>
      <c r="AC124" s="172"/>
      <c r="AD124" s="172"/>
      <c r="AE124" s="172"/>
      <c r="AF124" s="172"/>
      <c r="AG124" s="171"/>
      <c r="AH124" s="173"/>
      <c r="AI124" s="131"/>
      <c r="AJ124" s="55"/>
      <c r="AK124" s="55"/>
      <c r="AL124" s="55" t="s">
        <v>280</v>
      </c>
    </row>
    <row r="125" spans="1:38" ht="31.95" customHeight="1" x14ac:dyDescent="0.3">
      <c r="A125" s="167">
        <v>44063</v>
      </c>
      <c r="B125" s="186">
        <v>0.51303240740740741</v>
      </c>
      <c r="C125" s="48"/>
      <c r="D125" s="48"/>
      <c r="E125" s="48">
        <f>IF(I125=Categories!$E$4,VLOOKUP(H125,Categories!$A$4:$C$13,3,1),VLOOKUP(I125,Categories!$E$4:$G$24,3,1))</f>
        <v>120</v>
      </c>
      <c r="F125" s="48"/>
      <c r="G125" s="43">
        <v>15</v>
      </c>
      <c r="H125" s="49" t="s">
        <v>44</v>
      </c>
      <c r="I125" s="50" t="s">
        <v>0</v>
      </c>
      <c r="J125" s="51"/>
      <c r="K125" s="121">
        <v>2500</v>
      </c>
      <c r="L125" s="52" t="s">
        <v>0</v>
      </c>
      <c r="M125" s="53" t="str">
        <f>IFERROR(VLOOKUP(VLOOKUP(O125,O125,1,1),Categories!$K$4:$V$17,2+VLOOKUP(L125,L125,1,1)),"-"  )</f>
        <v>-</v>
      </c>
      <c r="N125" s="53" t="str">
        <f>IFERROR(VLOOKUP(VLOOKUP(O125,O125,1,1),Categories!$K$3:$V$17,7+VLOOKUP(L125,L125,1,1)),"-")</f>
        <v>-</v>
      </c>
      <c r="O125" s="54" t="s">
        <v>0</v>
      </c>
      <c r="P125" s="176" t="s">
        <v>0</v>
      </c>
      <c r="Q125" s="180" t="s">
        <v>0</v>
      </c>
      <c r="R125" s="169"/>
      <c r="S125" s="169"/>
      <c r="T125" s="168"/>
      <c r="U125" s="169"/>
      <c r="V125" s="170">
        <v>4</v>
      </c>
      <c r="W125" s="170">
        <v>2.9</v>
      </c>
      <c r="X125" s="171">
        <v>5.6</v>
      </c>
      <c r="Y125" s="172"/>
      <c r="Z125" s="172"/>
      <c r="AA125" s="172"/>
      <c r="AB125" s="172"/>
      <c r="AC125" s="172"/>
      <c r="AD125" s="172"/>
      <c r="AE125" s="172"/>
      <c r="AF125" s="172"/>
      <c r="AG125" s="171"/>
      <c r="AH125" s="173"/>
      <c r="AI125" s="131"/>
      <c r="AJ125" s="55"/>
      <c r="AK125" s="55"/>
      <c r="AL125" s="55" t="s">
        <v>278</v>
      </c>
    </row>
    <row r="126" spans="1:38" ht="31.95" customHeight="1" x14ac:dyDescent="0.3">
      <c r="A126" s="167">
        <v>44063</v>
      </c>
      <c r="B126" s="186">
        <v>0.51506944444444447</v>
      </c>
      <c r="C126" s="48"/>
      <c r="D126" s="48"/>
      <c r="E126" s="48">
        <f>IF(I126=Categories!$E$4,VLOOKUP(H126,Categories!$A$4:$C$13,3,1),VLOOKUP(I126,Categories!$E$4:$G$24,3,1))</f>
        <v>45</v>
      </c>
      <c r="F126" s="48"/>
      <c r="G126" s="43">
        <v>15</v>
      </c>
      <c r="H126" s="49" t="s">
        <v>224</v>
      </c>
      <c r="I126" s="50" t="s">
        <v>2</v>
      </c>
      <c r="J126" s="51"/>
      <c r="K126" s="121">
        <v>2200</v>
      </c>
      <c r="L126" s="52" t="s">
        <v>0</v>
      </c>
      <c r="M126" s="53" t="str">
        <f>IFERROR(VLOOKUP(VLOOKUP(O126,O126,1,1),Categories!$K$4:$V$17,2+VLOOKUP(L126,L126,1,1)),"-"  )</f>
        <v>-</v>
      </c>
      <c r="N126" s="53" t="str">
        <f>IFERROR(VLOOKUP(VLOOKUP(O126,O126,1,1),Categories!$K$3:$V$17,7+VLOOKUP(L126,L126,1,1)),"-")</f>
        <v>-</v>
      </c>
      <c r="O126" s="54" t="s">
        <v>0</v>
      </c>
      <c r="P126" s="176" t="s">
        <v>0</v>
      </c>
      <c r="Q126" s="180" t="s">
        <v>0</v>
      </c>
      <c r="R126" s="169"/>
      <c r="S126" s="169"/>
      <c r="T126" s="168"/>
      <c r="U126" s="169"/>
      <c r="V126" s="170"/>
      <c r="W126" s="170"/>
      <c r="X126" s="171"/>
      <c r="Y126" s="172"/>
      <c r="Z126" s="172"/>
      <c r="AA126" s="172"/>
      <c r="AB126" s="172"/>
      <c r="AC126" s="172"/>
      <c r="AD126" s="172"/>
      <c r="AE126" s="172"/>
      <c r="AF126" s="172"/>
      <c r="AG126" s="171"/>
      <c r="AH126" s="173"/>
      <c r="AI126" s="131"/>
      <c r="AJ126" s="55"/>
      <c r="AK126" s="55"/>
      <c r="AL126" s="55" t="s">
        <v>280</v>
      </c>
    </row>
    <row r="127" spans="1:38" ht="31.95" customHeight="1" x14ac:dyDescent="0.3">
      <c r="A127" s="167">
        <v>44063</v>
      </c>
      <c r="B127" s="186">
        <v>0.515625</v>
      </c>
      <c r="C127" s="48"/>
      <c r="D127" s="48"/>
      <c r="E127" s="48">
        <f>IF(I127=Categories!$E$4,VLOOKUP(H127,Categories!$A$4:$C$13,3,1),VLOOKUP(I127,Categories!$E$4:$G$24,3,1))</f>
        <v>120</v>
      </c>
      <c r="F127" s="48"/>
      <c r="G127" s="43">
        <v>15</v>
      </c>
      <c r="H127" s="49" t="s">
        <v>44</v>
      </c>
      <c r="I127" s="50" t="s">
        <v>0</v>
      </c>
      <c r="J127" s="51"/>
      <c r="K127" s="121">
        <v>2200</v>
      </c>
      <c r="L127" s="52" t="s">
        <v>0</v>
      </c>
      <c r="M127" s="53" t="str">
        <f>IFERROR(VLOOKUP(VLOOKUP(O127,O127,1,1),Categories!$K$4:$V$17,2+VLOOKUP(L127,L127,1,1)),"-"  )</f>
        <v>-</v>
      </c>
      <c r="N127" s="53" t="str">
        <f>IFERROR(VLOOKUP(VLOOKUP(O127,O127,1,1),Categories!$K$3:$V$17,7+VLOOKUP(L127,L127,1,1)),"-")</f>
        <v>-</v>
      </c>
      <c r="O127" s="54" t="s">
        <v>0</v>
      </c>
      <c r="P127" s="176" t="s">
        <v>0</v>
      </c>
      <c r="Q127" s="180" t="s">
        <v>0</v>
      </c>
      <c r="R127" s="169"/>
      <c r="S127" s="169"/>
      <c r="T127" s="168"/>
      <c r="U127" s="169"/>
      <c r="V127" s="170">
        <v>3.3</v>
      </c>
      <c r="W127" s="170">
        <v>2.1</v>
      </c>
      <c r="X127" s="171">
        <v>4.87</v>
      </c>
      <c r="Y127" s="172"/>
      <c r="Z127" s="172"/>
      <c r="AA127" s="172"/>
      <c r="AB127" s="172"/>
      <c r="AC127" s="172"/>
      <c r="AD127" s="172"/>
      <c r="AE127" s="172"/>
      <c r="AF127" s="172"/>
      <c r="AG127" s="171"/>
      <c r="AH127" s="173"/>
      <c r="AI127" s="131"/>
      <c r="AJ127" s="55"/>
      <c r="AK127" s="55"/>
      <c r="AL127" s="55" t="s">
        <v>279</v>
      </c>
    </row>
    <row r="128" spans="1:38" ht="31.95" customHeight="1" x14ac:dyDescent="0.3">
      <c r="A128" s="167">
        <v>44063</v>
      </c>
      <c r="B128" s="186">
        <v>0.51702546296296303</v>
      </c>
      <c r="C128" s="48"/>
      <c r="D128" s="48"/>
      <c r="E128" s="48" t="str">
        <f>IF(I128=Categories!$E$4,VLOOKUP(H128,Categories!$A$4:$C$13,3,1),VLOOKUP(I128,Categories!$E$4:$G$24,3,1))</f>
        <v>-</v>
      </c>
      <c r="F128" s="48"/>
      <c r="G128" s="43" t="s">
        <v>0</v>
      </c>
      <c r="H128" s="49" t="s">
        <v>3</v>
      </c>
      <c r="I128" s="50" t="s">
        <v>62</v>
      </c>
      <c r="J128" s="51"/>
      <c r="K128" s="121">
        <v>2200</v>
      </c>
      <c r="L128" s="52">
        <v>1</v>
      </c>
      <c r="M128" s="53">
        <f>IFERROR(VLOOKUP(VLOOKUP(O128,O128,1,1),Categories!$K$4:$V$17,2+VLOOKUP(L128,L128,1,1)),"-"  )</f>
        <v>2.33</v>
      </c>
      <c r="N128" s="53" t="str">
        <f>IFERROR(VLOOKUP(VLOOKUP(O128,O128,1,1),Categories!$K$3:$V$17,7+VLOOKUP(L128,L128,1,1)),"-")</f>
        <v>0 rev.</v>
      </c>
      <c r="O128" s="54" t="s">
        <v>103</v>
      </c>
      <c r="P128" s="176" t="s">
        <v>0</v>
      </c>
      <c r="Q128" s="180" t="s">
        <v>0</v>
      </c>
      <c r="R128" s="169"/>
      <c r="S128" s="169"/>
      <c r="T128" s="168"/>
      <c r="U128" s="169"/>
      <c r="V128" s="170"/>
      <c r="W128" s="170"/>
      <c r="X128" s="171"/>
      <c r="Y128" s="172"/>
      <c r="Z128" s="172"/>
      <c r="AA128" s="172"/>
      <c r="AB128" s="172"/>
      <c r="AC128" s="172"/>
      <c r="AD128" s="172"/>
      <c r="AE128" s="172"/>
      <c r="AF128" s="172"/>
      <c r="AG128" s="171"/>
      <c r="AH128" s="173"/>
      <c r="AI128" s="131"/>
      <c r="AJ128" s="55"/>
      <c r="AK128" s="55"/>
      <c r="AL128" s="55"/>
    </row>
    <row r="129" spans="1:38" ht="31.95" customHeight="1" x14ac:dyDescent="0.3">
      <c r="A129" s="167">
        <v>44063</v>
      </c>
      <c r="B129" s="186">
        <v>0.56370370370370371</v>
      </c>
      <c r="C129" s="48"/>
      <c r="D129" s="48"/>
      <c r="E129" s="48">
        <f>IF(I129=Categories!$E$4,VLOOKUP(H129,Categories!$A$4:$C$13,3,1),VLOOKUP(I129,Categories!$E$4:$G$24,3,1))</f>
        <v>120</v>
      </c>
      <c r="F129" s="48"/>
      <c r="G129" s="43">
        <v>16</v>
      </c>
      <c r="H129" s="49" t="s">
        <v>44</v>
      </c>
      <c r="I129" s="50" t="s">
        <v>0</v>
      </c>
      <c r="J129" s="51"/>
      <c r="K129" s="121">
        <v>2200</v>
      </c>
      <c r="L129" s="52">
        <v>1</v>
      </c>
      <c r="M129" s="53">
        <f>IFERROR(VLOOKUP(VLOOKUP(O129,O129,1,1),Categories!$K$4:$V$17,2+VLOOKUP(L129,L129,1,1)),"-"  )</f>
        <v>2.33</v>
      </c>
      <c r="N129" s="53" t="str">
        <f>IFERROR(VLOOKUP(VLOOKUP(O129,O129,1,1),Categories!$K$3:$V$17,7+VLOOKUP(L129,L129,1,1)),"-")</f>
        <v>0 rev.</v>
      </c>
      <c r="O129" s="54" t="s">
        <v>103</v>
      </c>
      <c r="P129" s="176" t="s">
        <v>0</v>
      </c>
      <c r="Q129" s="180" t="s">
        <v>0</v>
      </c>
      <c r="R129" s="169"/>
      <c r="S129" s="169"/>
      <c r="T129" s="168"/>
      <c r="U129" s="169"/>
      <c r="V129" s="170">
        <v>3.3</v>
      </c>
      <c r="W129" s="170">
        <v>2.1</v>
      </c>
      <c r="X129" s="171">
        <v>4.83</v>
      </c>
      <c r="Y129" s="172"/>
      <c r="Z129" s="172"/>
      <c r="AA129" s="172"/>
      <c r="AB129" s="172"/>
      <c r="AC129" s="172"/>
      <c r="AD129" s="172"/>
      <c r="AE129" s="172"/>
      <c r="AF129" s="172"/>
      <c r="AG129" s="171"/>
      <c r="AH129" s="173"/>
      <c r="AI129" s="131" t="s">
        <v>234</v>
      </c>
      <c r="AJ129" s="55" t="s">
        <v>303</v>
      </c>
      <c r="AK129" s="55"/>
      <c r="AL129" s="55"/>
    </row>
    <row r="130" spans="1:38" ht="31.95" customHeight="1" x14ac:dyDescent="0.3">
      <c r="A130" s="167">
        <v>44063</v>
      </c>
      <c r="B130" s="186">
        <v>0.56519675925925927</v>
      </c>
      <c r="C130" s="48"/>
      <c r="D130" s="48"/>
      <c r="E130" s="48">
        <v>60</v>
      </c>
      <c r="F130" s="48"/>
      <c r="G130" s="43">
        <v>16</v>
      </c>
      <c r="H130" s="49" t="s">
        <v>224</v>
      </c>
      <c r="I130" s="50" t="s">
        <v>230</v>
      </c>
      <c r="J130" s="51"/>
      <c r="K130" s="121">
        <v>2200</v>
      </c>
      <c r="L130" s="52">
        <v>2</v>
      </c>
      <c r="M130" s="53">
        <f>IFERROR(VLOOKUP(VLOOKUP(O130,O130,1,1),Categories!$K$4:$V$17,2+VLOOKUP(L130,L130,1,1)),"-"  )</f>
        <v>9</v>
      </c>
      <c r="N130" s="53" t="str">
        <f>IFERROR(VLOOKUP(VLOOKUP(O130,O130,1,1),Categories!$K$3:$V$17,7+VLOOKUP(L130,L130,1,1)),"-")</f>
        <v>1.0 rev.</v>
      </c>
      <c r="O130" s="54" t="s">
        <v>103</v>
      </c>
      <c r="P130" s="176" t="s">
        <v>0</v>
      </c>
      <c r="Q130" s="180" t="s">
        <v>0</v>
      </c>
      <c r="R130" s="169"/>
      <c r="S130" s="169"/>
      <c r="T130" s="168"/>
      <c r="U130" s="169"/>
      <c r="V130" s="170"/>
      <c r="W130" s="170"/>
      <c r="X130" s="171"/>
      <c r="Y130" s="172"/>
      <c r="Z130" s="172"/>
      <c r="AA130" s="172"/>
      <c r="AB130" s="172"/>
      <c r="AC130" s="172"/>
      <c r="AD130" s="172"/>
      <c r="AE130" s="172"/>
      <c r="AF130" s="172"/>
      <c r="AG130" s="171"/>
      <c r="AH130" s="173"/>
      <c r="AI130" s="131"/>
      <c r="AJ130" s="55"/>
      <c r="AK130" s="55"/>
      <c r="AL130" s="55"/>
    </row>
    <row r="131" spans="1:38" ht="31.95" customHeight="1" x14ac:dyDescent="0.3">
      <c r="A131" s="12">
        <v>44063</v>
      </c>
      <c r="B131" s="187">
        <v>0.56604166666666667</v>
      </c>
      <c r="C131" s="48"/>
      <c r="D131" s="48"/>
      <c r="E131" s="48">
        <f>IF(I131=Categories!$E$4,VLOOKUP(H131,Categories!$A$4:$C$13,3,1),VLOOKUP(I131,Categories!$E$4:$G$24,3,1))</f>
        <v>120</v>
      </c>
      <c r="F131" s="48"/>
      <c r="G131" s="43">
        <v>16</v>
      </c>
      <c r="H131" s="49" t="s">
        <v>44</v>
      </c>
      <c r="I131" s="44" t="s">
        <v>0</v>
      </c>
      <c r="J131" s="51"/>
      <c r="K131" s="121">
        <v>2200</v>
      </c>
      <c r="L131" s="52">
        <v>2</v>
      </c>
      <c r="M131" s="53">
        <f>IFERROR(VLOOKUP(VLOOKUP(O131,O131,1,1),Categories!$K$4:$V$17,2+VLOOKUP(L131,L131,1,1)),"-"  )</f>
        <v>9</v>
      </c>
      <c r="N131" s="53" t="str">
        <f>IFERROR(VLOOKUP(VLOOKUP(O131,O131,1,1),Categories!$K$3:$V$17,7+VLOOKUP(L131,L131,1,1)),"-")</f>
        <v>1.0 rev.</v>
      </c>
      <c r="O131" s="54" t="s">
        <v>103</v>
      </c>
      <c r="P131" s="176" t="s">
        <v>0</v>
      </c>
      <c r="Q131" s="180" t="s">
        <v>0</v>
      </c>
      <c r="R131" s="132"/>
      <c r="S131" s="132"/>
      <c r="T131" s="139"/>
      <c r="U131" s="169"/>
      <c r="V131" s="135">
        <v>3.5</v>
      </c>
      <c r="W131" s="135">
        <v>2.1</v>
      </c>
      <c r="X131" s="136">
        <v>4.82</v>
      </c>
      <c r="Y131" s="137"/>
      <c r="Z131" s="137"/>
      <c r="AA131" s="137"/>
      <c r="AB131" s="137"/>
      <c r="AC131" s="137"/>
      <c r="AD131" s="137"/>
      <c r="AE131" s="137"/>
      <c r="AF131" s="137"/>
      <c r="AG131" s="136"/>
      <c r="AH131" s="138"/>
      <c r="AI131" s="131"/>
      <c r="AJ131" s="47" t="s">
        <v>304</v>
      </c>
      <c r="AK131" s="55"/>
      <c r="AL131" s="55"/>
    </row>
    <row r="132" spans="1:38" ht="31.95" customHeight="1" x14ac:dyDescent="0.3">
      <c r="A132" s="12">
        <v>44063</v>
      </c>
      <c r="B132" s="187">
        <v>0.56751157407407404</v>
      </c>
      <c r="C132" s="48"/>
      <c r="D132" s="48"/>
      <c r="E132" s="48">
        <v>60</v>
      </c>
      <c r="F132" s="48"/>
      <c r="G132" s="43">
        <v>16</v>
      </c>
      <c r="H132" s="49" t="s">
        <v>224</v>
      </c>
      <c r="I132" s="50" t="s">
        <v>230</v>
      </c>
      <c r="J132" s="51"/>
      <c r="K132" s="121">
        <v>2200</v>
      </c>
      <c r="L132" s="52">
        <v>3</v>
      </c>
      <c r="M132" s="53">
        <f>IFERROR(VLOOKUP(VLOOKUP(O132,O132,1,1),Categories!$K$4:$V$17,2+VLOOKUP(L132,L132,1,1)),"-"  )</f>
        <v>10</v>
      </c>
      <c r="N132" s="53" t="str">
        <f>IFERROR(VLOOKUP(VLOOKUP(O132,O132,1,1),Categories!$K$3:$V$17,7+VLOOKUP(L132,L132,1,1)),"-")</f>
        <v>1.25 rev.</v>
      </c>
      <c r="O132" s="54" t="s">
        <v>103</v>
      </c>
      <c r="P132" s="176" t="s">
        <v>0</v>
      </c>
      <c r="Q132" s="180" t="s">
        <v>0</v>
      </c>
      <c r="R132" s="132"/>
      <c r="S132" s="132"/>
      <c r="T132" s="139"/>
      <c r="U132" s="169"/>
      <c r="V132" s="135"/>
      <c r="W132" s="135"/>
      <c r="X132" s="136"/>
      <c r="Y132" s="137"/>
      <c r="Z132" s="137"/>
      <c r="AA132" s="137"/>
      <c r="AB132" s="137"/>
      <c r="AC132" s="137"/>
      <c r="AD132" s="137"/>
      <c r="AE132" s="137"/>
      <c r="AF132" s="137"/>
      <c r="AG132" s="136"/>
      <c r="AH132" s="138"/>
      <c r="AI132" s="131"/>
      <c r="AJ132" s="47"/>
      <c r="AK132" s="55"/>
      <c r="AL132" s="55"/>
    </row>
    <row r="133" spans="1:38" ht="31.95" customHeight="1" x14ac:dyDescent="0.3">
      <c r="A133" s="12">
        <v>44063</v>
      </c>
      <c r="B133" s="187">
        <v>0.5682638888888889</v>
      </c>
      <c r="C133" s="48"/>
      <c r="D133" s="48"/>
      <c r="E133" s="48">
        <f>IF(I133=Categories!$E$4,VLOOKUP(H133,Categories!$A$4:$C$13,3,1),VLOOKUP(I133,Categories!$E$4:$G$24,3,1))</f>
        <v>120</v>
      </c>
      <c r="F133" s="48"/>
      <c r="G133" s="43">
        <v>16</v>
      </c>
      <c r="H133" s="49" t="s">
        <v>44</v>
      </c>
      <c r="I133" s="44" t="s">
        <v>0</v>
      </c>
      <c r="J133" s="51"/>
      <c r="K133" s="121">
        <v>2200</v>
      </c>
      <c r="L133" s="52">
        <v>3</v>
      </c>
      <c r="M133" s="53">
        <f>IFERROR(VLOOKUP(VLOOKUP(O133,O133,1,1),Categories!$K$4:$V$17,2+VLOOKUP(L133,L133,1,1)),"-"  )</f>
        <v>10</v>
      </c>
      <c r="N133" s="53" t="str">
        <f>IFERROR(VLOOKUP(VLOOKUP(O133,O133,1,1),Categories!$K$3:$V$17,7+VLOOKUP(L133,L133,1,1)),"-")</f>
        <v>1.25 rev.</v>
      </c>
      <c r="O133" s="54" t="s">
        <v>103</v>
      </c>
      <c r="P133" s="176" t="s">
        <v>0</v>
      </c>
      <c r="Q133" s="180" t="s">
        <v>0</v>
      </c>
      <c r="R133" s="132"/>
      <c r="S133" s="132"/>
      <c r="T133" s="139"/>
      <c r="U133" s="169"/>
      <c r="V133" s="135">
        <v>3.1</v>
      </c>
      <c r="W133" s="135">
        <v>2</v>
      </c>
      <c r="X133" s="136">
        <v>4.4000000000000004</v>
      </c>
      <c r="Y133" s="137"/>
      <c r="Z133" s="137"/>
      <c r="AA133" s="137"/>
      <c r="AB133" s="137"/>
      <c r="AC133" s="137"/>
      <c r="AD133" s="137"/>
      <c r="AE133" s="137"/>
      <c r="AF133" s="137"/>
      <c r="AG133" s="136"/>
      <c r="AH133" s="138"/>
      <c r="AI133" s="131"/>
      <c r="AJ133" s="47"/>
      <c r="AK133" s="55"/>
      <c r="AL133" s="55"/>
    </row>
    <row r="134" spans="1:38" ht="31.95" customHeight="1" x14ac:dyDescent="0.3">
      <c r="A134" s="12">
        <v>44063</v>
      </c>
      <c r="B134" s="187">
        <v>0.56999999999999995</v>
      </c>
      <c r="C134" s="48"/>
      <c r="D134" s="48"/>
      <c r="E134" s="48">
        <v>60</v>
      </c>
      <c r="F134" s="48"/>
      <c r="G134" s="43">
        <v>16</v>
      </c>
      <c r="H134" s="49" t="s">
        <v>224</v>
      </c>
      <c r="I134" s="50" t="s">
        <v>230</v>
      </c>
      <c r="J134" s="51"/>
      <c r="K134" s="121">
        <v>2200</v>
      </c>
      <c r="L134" s="52">
        <v>4</v>
      </c>
      <c r="M134" s="53">
        <f>IFERROR(VLOOKUP(VLOOKUP(O134,O134,1,1),Categories!$K$4:$V$17,2+VLOOKUP(L134,L134,1,1)),"-"  )</f>
        <v>11</v>
      </c>
      <c r="N134" s="53" t="str">
        <f>IFERROR(VLOOKUP(VLOOKUP(O134,O134,1,1),Categories!$K$3:$V$17,7+VLOOKUP(L134,L134,1,1)),"-")</f>
        <v>1.5 rev.</v>
      </c>
      <c r="O134" s="54" t="s">
        <v>103</v>
      </c>
      <c r="P134" s="176" t="s">
        <v>0</v>
      </c>
      <c r="Q134" s="180" t="s">
        <v>0</v>
      </c>
      <c r="R134" s="132"/>
      <c r="S134" s="132"/>
      <c r="T134" s="139"/>
      <c r="U134" s="169"/>
      <c r="V134" s="135"/>
      <c r="W134" s="135"/>
      <c r="X134" s="136"/>
      <c r="Y134" s="137"/>
      <c r="Z134" s="137"/>
      <c r="AA134" s="137"/>
      <c r="AB134" s="137"/>
      <c r="AC134" s="137"/>
      <c r="AD134" s="137"/>
      <c r="AE134" s="137"/>
      <c r="AF134" s="137"/>
      <c r="AG134" s="136"/>
      <c r="AH134" s="138"/>
      <c r="AI134" s="131"/>
      <c r="AJ134" s="47"/>
      <c r="AK134" s="55"/>
      <c r="AL134" s="55"/>
    </row>
    <row r="135" spans="1:38" ht="31.95" customHeight="1" x14ac:dyDescent="0.3">
      <c r="A135" s="12">
        <v>44063</v>
      </c>
      <c r="B135" s="187">
        <v>0.57048611111111114</v>
      </c>
      <c r="C135" s="48"/>
      <c r="D135" s="48"/>
      <c r="E135" s="48">
        <f>IF(I135=Categories!$E$4,VLOOKUP(H135,Categories!$A$4:$C$13,3,1),VLOOKUP(I135,Categories!$E$4:$G$24,3,1))</f>
        <v>120</v>
      </c>
      <c r="F135" s="48"/>
      <c r="G135" s="43">
        <v>16</v>
      </c>
      <c r="H135" s="49" t="s">
        <v>44</v>
      </c>
      <c r="I135" s="44" t="s">
        <v>0</v>
      </c>
      <c r="J135" s="51"/>
      <c r="K135" s="121">
        <v>2200</v>
      </c>
      <c r="L135" s="52">
        <v>4</v>
      </c>
      <c r="M135" s="53">
        <f>IFERROR(VLOOKUP(VLOOKUP(O135,O135,1,1),Categories!$K$4:$V$17,2+VLOOKUP(L135,L135,1,1)),"-"  )</f>
        <v>11</v>
      </c>
      <c r="N135" s="53" t="str">
        <f>IFERROR(VLOOKUP(VLOOKUP(O135,O135,1,1),Categories!$K$3:$V$17,7+VLOOKUP(L135,L135,1,1)),"-")</f>
        <v>1.5 rev.</v>
      </c>
      <c r="O135" s="54" t="s">
        <v>103</v>
      </c>
      <c r="P135" s="176" t="s">
        <v>0</v>
      </c>
      <c r="Q135" s="180" t="s">
        <v>0</v>
      </c>
      <c r="R135" s="132"/>
      <c r="S135" s="132"/>
      <c r="T135" s="139"/>
      <c r="U135" s="169"/>
      <c r="V135" s="135">
        <v>2.4</v>
      </c>
      <c r="W135" s="135">
        <v>1.9</v>
      </c>
      <c r="X135" s="136">
        <v>3.85</v>
      </c>
      <c r="Y135" s="137"/>
      <c r="Z135" s="137"/>
      <c r="AA135" s="137"/>
      <c r="AB135" s="137"/>
      <c r="AC135" s="137"/>
      <c r="AD135" s="137"/>
      <c r="AE135" s="137"/>
      <c r="AF135" s="137"/>
      <c r="AG135" s="136"/>
      <c r="AH135" s="138"/>
      <c r="AI135" s="131"/>
      <c r="AJ135" s="47"/>
      <c r="AK135" s="55"/>
      <c r="AL135" s="55"/>
    </row>
    <row r="136" spans="1:38" ht="31.95" customHeight="1" x14ac:dyDescent="0.3">
      <c r="A136" s="12">
        <v>44063</v>
      </c>
      <c r="B136" s="187">
        <v>0.57172453703703707</v>
      </c>
      <c r="C136" s="48"/>
      <c r="D136" s="48"/>
      <c r="E136" s="48">
        <v>60</v>
      </c>
      <c r="F136" s="48"/>
      <c r="G136" s="43">
        <v>16</v>
      </c>
      <c r="H136" s="49" t="s">
        <v>224</v>
      </c>
      <c r="I136" s="50" t="s">
        <v>230</v>
      </c>
      <c r="J136" s="51"/>
      <c r="K136" s="121">
        <v>2200</v>
      </c>
      <c r="L136" s="52">
        <v>5</v>
      </c>
      <c r="M136" s="53">
        <f>IFERROR(VLOOKUP(VLOOKUP(O136,O136,1,1),Categories!$K$4:$V$17,2+VLOOKUP(L136,L136,1,1)),"-"  )</f>
        <v>12</v>
      </c>
      <c r="N136" s="53" t="str">
        <f>IFERROR(VLOOKUP(VLOOKUP(O136,O136,1,1),Categories!$K$3:$V$17,7+VLOOKUP(L136,L136,1,1)),"-")</f>
        <v>2.0 rev.</v>
      </c>
      <c r="O136" s="54" t="s">
        <v>103</v>
      </c>
      <c r="P136" s="176" t="s">
        <v>0</v>
      </c>
      <c r="Q136" s="180" t="s">
        <v>0</v>
      </c>
      <c r="R136" s="132"/>
      <c r="S136" s="132"/>
      <c r="T136" s="139"/>
      <c r="U136" s="169"/>
      <c r="V136" s="135"/>
      <c r="W136" s="135"/>
      <c r="X136" s="136"/>
      <c r="Y136" s="137"/>
      <c r="Z136" s="137"/>
      <c r="AA136" s="137"/>
      <c r="AB136" s="137"/>
      <c r="AC136" s="137"/>
      <c r="AD136" s="137"/>
      <c r="AE136" s="137"/>
      <c r="AF136" s="137"/>
      <c r="AG136" s="136"/>
      <c r="AH136" s="138"/>
      <c r="AI136" s="131"/>
      <c r="AJ136" s="47"/>
      <c r="AK136" s="55"/>
      <c r="AL136" s="55"/>
    </row>
    <row r="137" spans="1:38" ht="31.95" customHeight="1" x14ac:dyDescent="0.3">
      <c r="A137" s="12">
        <v>44063</v>
      </c>
      <c r="B137" s="187">
        <v>0.57317129629629626</v>
      </c>
      <c r="C137" s="48"/>
      <c r="D137" s="48"/>
      <c r="E137" s="48">
        <f>IF(I137=Categories!$E$4,VLOOKUP(H137,Categories!$A$4:$C$13,3,1),VLOOKUP(I137,Categories!$E$4:$G$24,3,1))</f>
        <v>120</v>
      </c>
      <c r="F137" s="48"/>
      <c r="G137" s="43">
        <v>16</v>
      </c>
      <c r="H137" s="49" t="s">
        <v>44</v>
      </c>
      <c r="I137" s="44" t="s">
        <v>0</v>
      </c>
      <c r="J137" s="51"/>
      <c r="K137" s="121">
        <v>2200</v>
      </c>
      <c r="L137" s="52">
        <v>5</v>
      </c>
      <c r="M137" s="53">
        <f>IFERROR(VLOOKUP(VLOOKUP(O137,O137,1,1),Categories!$K$4:$V$17,2+VLOOKUP(L137,L137,1,1)),"-"  )</f>
        <v>12</v>
      </c>
      <c r="N137" s="53" t="str">
        <f>IFERROR(VLOOKUP(VLOOKUP(O137,O137,1,1),Categories!$K$3:$V$17,7+VLOOKUP(L137,L137,1,1)),"-")</f>
        <v>2.0 rev.</v>
      </c>
      <c r="O137" s="54" t="s">
        <v>103</v>
      </c>
      <c r="P137" s="176" t="s">
        <v>0</v>
      </c>
      <c r="Q137" s="180" t="s">
        <v>0</v>
      </c>
      <c r="R137" s="132"/>
      <c r="S137" s="132"/>
      <c r="T137" s="139"/>
      <c r="U137" s="169"/>
      <c r="V137" s="135">
        <v>1.7</v>
      </c>
      <c r="W137" s="135">
        <v>1.7</v>
      </c>
      <c r="X137" s="136">
        <v>2.76</v>
      </c>
      <c r="Y137" s="137"/>
      <c r="Z137" s="137"/>
      <c r="AA137" s="137"/>
      <c r="AB137" s="137"/>
      <c r="AC137" s="137"/>
      <c r="AD137" s="137"/>
      <c r="AE137" s="137"/>
      <c r="AF137" s="137"/>
      <c r="AG137" s="136"/>
      <c r="AH137" s="138"/>
      <c r="AI137" s="131"/>
      <c r="AJ137" s="47"/>
      <c r="AK137" s="55"/>
      <c r="AL137" s="55"/>
    </row>
    <row r="138" spans="1:38" ht="31.95" customHeight="1" x14ac:dyDescent="0.3">
      <c r="A138" s="12">
        <v>44063</v>
      </c>
      <c r="B138" s="187">
        <v>0.57460648148148141</v>
      </c>
      <c r="C138" s="48"/>
      <c r="D138" s="48"/>
      <c r="E138" s="48">
        <v>60</v>
      </c>
      <c r="F138" s="48"/>
      <c r="G138" s="43">
        <v>16</v>
      </c>
      <c r="H138" s="49" t="s">
        <v>224</v>
      </c>
      <c r="I138" s="50" t="s">
        <v>231</v>
      </c>
      <c r="J138" s="51"/>
      <c r="K138" s="121">
        <v>2200</v>
      </c>
      <c r="L138" s="52">
        <v>1</v>
      </c>
      <c r="M138" s="53">
        <f>IFERROR(VLOOKUP(VLOOKUP(O138,O138,1,1),Categories!$K$4:$V$17,2+VLOOKUP(L138,L138,1,1)),"-"  )</f>
        <v>2.33</v>
      </c>
      <c r="N138" s="53" t="str">
        <f>IFERROR(VLOOKUP(VLOOKUP(O138,O138,1,1),Categories!$K$3:$V$17,7+VLOOKUP(L138,L138,1,1)),"-")</f>
        <v>0 rev.</v>
      </c>
      <c r="O138" s="54" t="s">
        <v>103</v>
      </c>
      <c r="P138" s="176" t="s">
        <v>0</v>
      </c>
      <c r="Q138" s="180" t="s">
        <v>0</v>
      </c>
      <c r="R138" s="132"/>
      <c r="S138" s="132"/>
      <c r="T138" s="139"/>
      <c r="U138" s="169"/>
      <c r="V138" s="135"/>
      <c r="W138" s="135"/>
      <c r="X138" s="136"/>
      <c r="Y138" s="137"/>
      <c r="Z138" s="137"/>
      <c r="AA138" s="137"/>
      <c r="AB138" s="137"/>
      <c r="AC138" s="137"/>
      <c r="AD138" s="137"/>
      <c r="AE138" s="137"/>
      <c r="AF138" s="137"/>
      <c r="AG138" s="136"/>
      <c r="AH138" s="138"/>
      <c r="AI138" s="131"/>
      <c r="AJ138" s="47"/>
      <c r="AK138" s="55"/>
      <c r="AL138" s="55"/>
    </row>
    <row r="139" spans="1:38" ht="31.95" customHeight="1" x14ac:dyDescent="0.3">
      <c r="A139" s="12">
        <v>44063</v>
      </c>
      <c r="B139" s="187">
        <v>0.57533564814814808</v>
      </c>
      <c r="C139" s="48"/>
      <c r="D139" s="48"/>
      <c r="E139" s="48">
        <f>IF(I139=Categories!$E$4,VLOOKUP(H139,Categories!$A$4:$C$13,3,1),VLOOKUP(I139,Categories!$E$4:$G$24,3,1))</f>
        <v>120</v>
      </c>
      <c r="F139" s="48"/>
      <c r="G139" s="43">
        <v>16</v>
      </c>
      <c r="H139" s="49" t="s">
        <v>228</v>
      </c>
      <c r="I139" s="44" t="s">
        <v>0</v>
      </c>
      <c r="J139" s="51"/>
      <c r="K139" s="121">
        <v>2200</v>
      </c>
      <c r="L139" s="52">
        <v>1</v>
      </c>
      <c r="M139" s="53">
        <f>IFERROR(VLOOKUP(VLOOKUP(O139,O139,1,1),Categories!$K$4:$V$17,2+VLOOKUP(L139,L139,1,1)),"-"  )</f>
        <v>2.33</v>
      </c>
      <c r="N139" s="53" t="str">
        <f>IFERROR(VLOOKUP(VLOOKUP(O139,O139,1,1),Categories!$K$3:$V$17,7+VLOOKUP(L139,L139,1,1)),"-")</f>
        <v>0 rev.</v>
      </c>
      <c r="O139" s="54" t="s">
        <v>103</v>
      </c>
      <c r="P139" s="176" t="s">
        <v>0</v>
      </c>
      <c r="Q139" s="180" t="s">
        <v>0</v>
      </c>
      <c r="R139" s="132"/>
      <c r="S139" s="132"/>
      <c r="T139" s="139"/>
      <c r="U139" s="169"/>
      <c r="V139" s="135">
        <v>3.3</v>
      </c>
      <c r="W139" s="135">
        <v>2.1</v>
      </c>
      <c r="X139" s="136">
        <v>4.84</v>
      </c>
      <c r="Y139" s="137"/>
      <c r="Z139" s="137"/>
      <c r="AA139" s="137"/>
      <c r="AB139" s="137"/>
      <c r="AC139" s="137"/>
      <c r="AD139" s="137"/>
      <c r="AE139" s="137"/>
      <c r="AF139" s="137"/>
      <c r="AG139" s="136"/>
      <c r="AH139" s="138"/>
      <c r="AI139" s="131"/>
      <c r="AJ139" s="47"/>
      <c r="AK139" s="55"/>
      <c r="AL139" s="55"/>
    </row>
    <row r="140" spans="1:38" ht="31.95" customHeight="1" x14ac:dyDescent="0.3">
      <c r="A140" s="12">
        <v>44063</v>
      </c>
      <c r="B140" s="187">
        <v>0.57673611111111112</v>
      </c>
      <c r="C140" s="48"/>
      <c r="D140" s="48"/>
      <c r="E140" s="48">
        <v>45</v>
      </c>
      <c r="F140" s="48"/>
      <c r="G140" s="43" t="s">
        <v>0</v>
      </c>
      <c r="H140" s="49" t="s">
        <v>3</v>
      </c>
      <c r="I140" s="50" t="s">
        <v>2</v>
      </c>
      <c r="J140" s="51"/>
      <c r="K140" s="121">
        <v>2500</v>
      </c>
      <c r="L140" s="52">
        <v>1</v>
      </c>
      <c r="M140" s="53">
        <f>IFERROR(VLOOKUP(VLOOKUP(O140,O140,1,1),Categories!$K$4:$V$17,2+VLOOKUP(L140,L140,1,1)),"-"  )</f>
        <v>2.33</v>
      </c>
      <c r="N140" s="53" t="str">
        <f>IFERROR(VLOOKUP(VLOOKUP(O140,O140,1,1),Categories!$K$3:$V$17,7+VLOOKUP(L140,L140,1,1)),"-")</f>
        <v>0 rev.</v>
      </c>
      <c r="O140" s="54" t="s">
        <v>103</v>
      </c>
      <c r="P140" s="176" t="s">
        <v>0</v>
      </c>
      <c r="Q140" s="180" t="s">
        <v>0</v>
      </c>
      <c r="R140" s="132"/>
      <c r="S140" s="132"/>
      <c r="T140" s="139"/>
      <c r="U140" s="169"/>
      <c r="V140" s="135"/>
      <c r="W140" s="135"/>
      <c r="X140" s="136"/>
      <c r="Y140" s="137"/>
      <c r="Z140" s="137"/>
      <c r="AA140" s="137"/>
      <c r="AB140" s="137"/>
      <c r="AC140" s="137"/>
      <c r="AD140" s="137"/>
      <c r="AE140" s="137"/>
      <c r="AF140" s="137"/>
      <c r="AG140" s="136"/>
      <c r="AH140" s="138"/>
      <c r="AI140" s="131"/>
      <c r="AJ140" s="47"/>
      <c r="AK140" s="55"/>
      <c r="AL140" s="55"/>
    </row>
    <row r="141" spans="1:38" ht="31.95" customHeight="1" x14ac:dyDescent="0.3">
      <c r="A141" s="167">
        <v>44063</v>
      </c>
      <c r="B141" s="186">
        <v>0.5816203703703704</v>
      </c>
      <c r="C141" s="48"/>
      <c r="D141" s="48"/>
      <c r="E141" s="48">
        <f>IF(I141=Categories!$E$4,VLOOKUP(H141,Categories!$A$4:$C$13,3,1),VLOOKUP(I141,Categories!$E$4:$G$24,3,1))</f>
        <v>120</v>
      </c>
      <c r="F141" s="48"/>
      <c r="G141" s="43">
        <v>17</v>
      </c>
      <c r="H141" s="49" t="s">
        <v>44</v>
      </c>
      <c r="I141" s="50" t="s">
        <v>0</v>
      </c>
      <c r="J141" s="51"/>
      <c r="K141" s="121">
        <v>2500</v>
      </c>
      <c r="L141" s="52">
        <v>1</v>
      </c>
      <c r="M141" s="53">
        <f>IFERROR(VLOOKUP(VLOOKUP(O141,O141,1,1),Categories!$K$4:$V$17,2+VLOOKUP(L141,L141,1,1)),"-"  )</f>
        <v>2.33</v>
      </c>
      <c r="N141" s="53" t="str">
        <f>IFERROR(VLOOKUP(VLOOKUP(O141,O141,1,1),Categories!$K$3:$V$17,7+VLOOKUP(L141,L141,1,1)),"-")</f>
        <v>0 rev.</v>
      </c>
      <c r="O141" s="54" t="s">
        <v>103</v>
      </c>
      <c r="P141" s="176" t="s">
        <v>0</v>
      </c>
      <c r="Q141" s="180" t="s">
        <v>0</v>
      </c>
      <c r="R141" s="169"/>
      <c r="S141" s="169"/>
      <c r="T141" s="168"/>
      <c r="U141" s="169"/>
      <c r="V141" s="170">
        <v>3.9</v>
      </c>
      <c r="W141" s="170">
        <v>2.9</v>
      </c>
      <c r="X141" s="171">
        <v>5.56</v>
      </c>
      <c r="Y141" s="172"/>
      <c r="Z141" s="172"/>
      <c r="AA141" s="172"/>
      <c r="AB141" s="172"/>
      <c r="AC141" s="172"/>
      <c r="AD141" s="172"/>
      <c r="AE141" s="172"/>
      <c r="AF141" s="172"/>
      <c r="AG141" s="171"/>
      <c r="AH141" s="173"/>
      <c r="AI141" s="131"/>
      <c r="AJ141" s="55"/>
      <c r="AK141" s="55"/>
      <c r="AL141" s="55"/>
    </row>
    <row r="142" spans="1:38" ht="31.95" customHeight="1" x14ac:dyDescent="0.3">
      <c r="A142" s="167">
        <v>44063</v>
      </c>
      <c r="B142" s="186">
        <v>0.58300925925925928</v>
      </c>
      <c r="C142" s="48"/>
      <c r="D142" s="48"/>
      <c r="E142" s="48">
        <v>60</v>
      </c>
      <c r="F142" s="48"/>
      <c r="G142" s="43">
        <v>17</v>
      </c>
      <c r="H142" s="49" t="s">
        <v>224</v>
      </c>
      <c r="I142" s="50" t="s">
        <v>230</v>
      </c>
      <c r="J142" s="51"/>
      <c r="K142" s="121">
        <v>2500</v>
      </c>
      <c r="L142" s="52">
        <v>2</v>
      </c>
      <c r="M142" s="53">
        <f>IFERROR(VLOOKUP(VLOOKUP(O142,O142,1,1),Categories!$K$4:$V$17,2+VLOOKUP(L142,L142,1,1)),"-"  )</f>
        <v>9</v>
      </c>
      <c r="N142" s="53" t="str">
        <f>IFERROR(VLOOKUP(VLOOKUP(O142,O142,1,1),Categories!$K$3:$V$17,7+VLOOKUP(L142,L142,1,1)),"-")</f>
        <v>1.0 rev.</v>
      </c>
      <c r="O142" s="54" t="s">
        <v>103</v>
      </c>
      <c r="P142" s="176" t="s">
        <v>0</v>
      </c>
      <c r="Q142" s="180" t="s">
        <v>0</v>
      </c>
      <c r="R142" s="169"/>
      <c r="S142" s="169"/>
      <c r="T142" s="168"/>
      <c r="U142" s="169"/>
      <c r="V142" s="170"/>
      <c r="W142" s="170"/>
      <c r="X142" s="171"/>
      <c r="Y142" s="172"/>
      <c r="Z142" s="172"/>
      <c r="AA142" s="172"/>
      <c r="AB142" s="172"/>
      <c r="AC142" s="172"/>
      <c r="AD142" s="172"/>
      <c r="AE142" s="172"/>
      <c r="AF142" s="172"/>
      <c r="AG142" s="171"/>
      <c r="AH142" s="173"/>
      <c r="AI142" s="131"/>
      <c r="AJ142" s="55"/>
      <c r="AK142" s="55"/>
      <c r="AL142" s="55"/>
    </row>
    <row r="143" spans="1:38" ht="31.95" customHeight="1" x14ac:dyDescent="0.3">
      <c r="A143" s="12">
        <v>44063</v>
      </c>
      <c r="B143" s="187">
        <v>0.58370370370370372</v>
      </c>
      <c r="C143" s="48"/>
      <c r="D143" s="48"/>
      <c r="E143" s="48">
        <f>IF(I143=Categories!$E$4,VLOOKUP(H143,Categories!$A$4:$C$13,3,1),VLOOKUP(I143,Categories!$E$4:$G$24,3,1))</f>
        <v>120</v>
      </c>
      <c r="F143" s="48"/>
      <c r="G143" s="43">
        <v>17</v>
      </c>
      <c r="H143" s="49" t="s">
        <v>44</v>
      </c>
      <c r="I143" s="44" t="s">
        <v>0</v>
      </c>
      <c r="J143" s="51"/>
      <c r="K143" s="121">
        <v>2500</v>
      </c>
      <c r="L143" s="52">
        <v>2</v>
      </c>
      <c r="M143" s="53">
        <f>IFERROR(VLOOKUP(VLOOKUP(O143,O143,1,1),Categories!$K$4:$V$17,2+VLOOKUP(L143,L143,1,1)),"-"  )</f>
        <v>9</v>
      </c>
      <c r="N143" s="53" t="str">
        <f>IFERROR(VLOOKUP(VLOOKUP(O143,O143,1,1),Categories!$K$3:$V$17,7+VLOOKUP(L143,L143,1,1)),"-")</f>
        <v>1.0 rev.</v>
      </c>
      <c r="O143" s="54" t="s">
        <v>103</v>
      </c>
      <c r="P143" s="176" t="s">
        <v>0</v>
      </c>
      <c r="Q143" s="180" t="s">
        <v>0</v>
      </c>
      <c r="R143" s="132"/>
      <c r="S143" s="132"/>
      <c r="T143" s="139"/>
      <c r="U143" s="169"/>
      <c r="V143" s="135">
        <v>4.2</v>
      </c>
      <c r="W143" s="135">
        <v>3</v>
      </c>
      <c r="X143" s="136">
        <v>5.56</v>
      </c>
      <c r="Y143" s="137"/>
      <c r="Z143" s="137"/>
      <c r="AA143" s="137"/>
      <c r="AB143" s="137"/>
      <c r="AC143" s="137"/>
      <c r="AD143" s="137"/>
      <c r="AE143" s="137"/>
      <c r="AF143" s="137"/>
      <c r="AG143" s="136"/>
      <c r="AH143" s="138"/>
      <c r="AI143" s="131"/>
      <c r="AJ143" s="47" t="s">
        <v>304</v>
      </c>
      <c r="AK143" s="55"/>
      <c r="AL143" s="55"/>
    </row>
    <row r="144" spans="1:38" ht="31.95" customHeight="1" x14ac:dyDescent="0.3">
      <c r="A144" s="12">
        <v>44063</v>
      </c>
      <c r="B144" s="187">
        <v>0.58521990740740748</v>
      </c>
      <c r="C144" s="48"/>
      <c r="D144" s="48"/>
      <c r="E144" s="48">
        <v>60</v>
      </c>
      <c r="F144" s="48"/>
      <c r="G144" s="43">
        <v>17</v>
      </c>
      <c r="H144" s="49" t="s">
        <v>224</v>
      </c>
      <c r="I144" s="50" t="s">
        <v>230</v>
      </c>
      <c r="J144" s="51"/>
      <c r="K144" s="121">
        <v>2500</v>
      </c>
      <c r="L144" s="52">
        <v>3</v>
      </c>
      <c r="M144" s="53">
        <f>IFERROR(VLOOKUP(VLOOKUP(O144,O144,1,1),Categories!$K$4:$V$17,2+VLOOKUP(L144,L144,1,1)),"-"  )</f>
        <v>10</v>
      </c>
      <c r="N144" s="53" t="str">
        <f>IFERROR(VLOOKUP(VLOOKUP(O144,O144,1,1),Categories!$K$3:$V$17,7+VLOOKUP(L144,L144,1,1)),"-")</f>
        <v>1.25 rev.</v>
      </c>
      <c r="O144" s="54" t="s">
        <v>103</v>
      </c>
      <c r="P144" s="176" t="s">
        <v>0</v>
      </c>
      <c r="Q144" s="180" t="s">
        <v>0</v>
      </c>
      <c r="R144" s="132"/>
      <c r="S144" s="132"/>
      <c r="T144" s="139"/>
      <c r="U144" s="169"/>
      <c r="V144" s="135"/>
      <c r="W144" s="135"/>
      <c r="X144" s="136"/>
      <c r="Y144" s="137"/>
      <c r="Z144" s="137"/>
      <c r="AA144" s="137"/>
      <c r="AB144" s="137"/>
      <c r="AC144" s="137"/>
      <c r="AD144" s="137"/>
      <c r="AE144" s="137"/>
      <c r="AF144" s="137"/>
      <c r="AG144" s="136"/>
      <c r="AH144" s="138"/>
      <c r="AI144" s="131"/>
      <c r="AJ144" s="47"/>
      <c r="AK144" s="55"/>
      <c r="AL144" s="55"/>
    </row>
    <row r="145" spans="1:38" ht="31.95" customHeight="1" x14ac:dyDescent="0.3">
      <c r="A145" s="12">
        <v>44063</v>
      </c>
      <c r="B145" s="187">
        <v>0.58591435185185181</v>
      </c>
      <c r="C145" s="48"/>
      <c r="D145" s="48"/>
      <c r="E145" s="48">
        <f>IF(I145=Categories!$E$4,VLOOKUP(H145,Categories!$A$4:$C$13,3,1),VLOOKUP(I145,Categories!$E$4:$G$24,3,1))</f>
        <v>120</v>
      </c>
      <c r="F145" s="48"/>
      <c r="G145" s="43">
        <v>17</v>
      </c>
      <c r="H145" s="49" t="s">
        <v>44</v>
      </c>
      <c r="I145" s="44" t="s">
        <v>0</v>
      </c>
      <c r="J145" s="51"/>
      <c r="K145" s="121">
        <v>2500</v>
      </c>
      <c r="L145" s="52">
        <v>3</v>
      </c>
      <c r="M145" s="53">
        <f>IFERROR(VLOOKUP(VLOOKUP(O145,O145,1,1),Categories!$K$4:$V$17,2+VLOOKUP(L145,L145,1,1)),"-"  )</f>
        <v>10</v>
      </c>
      <c r="N145" s="53" t="str">
        <f>IFERROR(VLOOKUP(VLOOKUP(O145,O145,1,1),Categories!$K$3:$V$17,7+VLOOKUP(L145,L145,1,1)),"-")</f>
        <v>1.25 rev.</v>
      </c>
      <c r="O145" s="54" t="s">
        <v>103</v>
      </c>
      <c r="P145" s="176" t="s">
        <v>0</v>
      </c>
      <c r="Q145" s="180" t="s">
        <v>0</v>
      </c>
      <c r="R145" s="132"/>
      <c r="S145" s="132"/>
      <c r="T145" s="139"/>
      <c r="U145" s="169"/>
      <c r="V145" s="135">
        <v>3.6</v>
      </c>
      <c r="W145" s="135">
        <v>2.9</v>
      </c>
      <c r="X145" s="136">
        <v>5.13</v>
      </c>
      <c r="Y145" s="137"/>
      <c r="Z145" s="137"/>
      <c r="AA145" s="137"/>
      <c r="AB145" s="137"/>
      <c r="AC145" s="137"/>
      <c r="AD145" s="137"/>
      <c r="AE145" s="137"/>
      <c r="AF145" s="137"/>
      <c r="AG145" s="136"/>
      <c r="AH145" s="138"/>
      <c r="AI145" s="131"/>
      <c r="AJ145" s="47"/>
      <c r="AK145" s="55"/>
      <c r="AL145" s="55"/>
    </row>
    <row r="146" spans="1:38" ht="31.95" customHeight="1" x14ac:dyDescent="0.3">
      <c r="A146" s="12">
        <v>44063</v>
      </c>
      <c r="B146" s="187">
        <v>0.58754629629629629</v>
      </c>
      <c r="C146" s="48"/>
      <c r="D146" s="48"/>
      <c r="E146" s="48">
        <v>60</v>
      </c>
      <c r="F146" s="48"/>
      <c r="G146" s="43">
        <v>17</v>
      </c>
      <c r="H146" s="49" t="s">
        <v>224</v>
      </c>
      <c r="I146" s="50" t="s">
        <v>230</v>
      </c>
      <c r="J146" s="51"/>
      <c r="K146" s="121">
        <v>2500</v>
      </c>
      <c r="L146" s="52">
        <v>4</v>
      </c>
      <c r="M146" s="53">
        <f>IFERROR(VLOOKUP(VLOOKUP(O146,O146,1,1),Categories!$K$4:$V$17,2+VLOOKUP(L146,L146,1,1)),"-"  )</f>
        <v>11</v>
      </c>
      <c r="N146" s="53" t="str">
        <f>IFERROR(VLOOKUP(VLOOKUP(O146,O146,1,1),Categories!$K$3:$V$17,7+VLOOKUP(L146,L146,1,1)),"-")</f>
        <v>1.5 rev.</v>
      </c>
      <c r="O146" s="54" t="s">
        <v>103</v>
      </c>
      <c r="P146" s="176" t="s">
        <v>0</v>
      </c>
      <c r="Q146" s="180" t="s">
        <v>0</v>
      </c>
      <c r="R146" s="132"/>
      <c r="S146" s="132"/>
      <c r="T146" s="139"/>
      <c r="U146" s="169"/>
      <c r="V146" s="135"/>
      <c r="W146" s="135"/>
      <c r="X146" s="136"/>
      <c r="Y146" s="137"/>
      <c r="Z146" s="137"/>
      <c r="AA146" s="137"/>
      <c r="AB146" s="137"/>
      <c r="AC146" s="137"/>
      <c r="AD146" s="137"/>
      <c r="AE146" s="137"/>
      <c r="AF146" s="137"/>
      <c r="AG146" s="136"/>
      <c r="AH146" s="138"/>
      <c r="AI146" s="131"/>
      <c r="AJ146" s="47"/>
      <c r="AK146" s="55"/>
      <c r="AL146" s="55"/>
    </row>
    <row r="147" spans="1:38" ht="31.95" customHeight="1" x14ac:dyDescent="0.3">
      <c r="A147" s="12">
        <v>44063</v>
      </c>
      <c r="B147" s="187">
        <v>0.58824074074074073</v>
      </c>
      <c r="C147" s="48"/>
      <c r="D147" s="48"/>
      <c r="E147" s="48">
        <f>IF(I147=Categories!$E$4,VLOOKUP(H147,Categories!$A$4:$C$13,3,1),VLOOKUP(I147,Categories!$E$4:$G$24,3,1))</f>
        <v>120</v>
      </c>
      <c r="F147" s="48"/>
      <c r="G147" s="43">
        <v>17</v>
      </c>
      <c r="H147" s="49" t="s">
        <v>44</v>
      </c>
      <c r="I147" s="44" t="s">
        <v>0</v>
      </c>
      <c r="J147" s="51"/>
      <c r="K147" s="121">
        <v>2500</v>
      </c>
      <c r="L147" s="52">
        <v>4</v>
      </c>
      <c r="M147" s="53">
        <f>IFERROR(VLOOKUP(VLOOKUP(O147,O147,1,1),Categories!$K$4:$V$17,2+VLOOKUP(L147,L147,1,1)),"-"  )</f>
        <v>11</v>
      </c>
      <c r="N147" s="53" t="str">
        <f>IFERROR(VLOOKUP(VLOOKUP(O147,O147,1,1),Categories!$K$3:$V$17,7+VLOOKUP(L147,L147,1,1)),"-")</f>
        <v>1.5 rev.</v>
      </c>
      <c r="O147" s="54" t="s">
        <v>103</v>
      </c>
      <c r="P147" s="176" t="s">
        <v>0</v>
      </c>
      <c r="Q147" s="180" t="s">
        <v>0</v>
      </c>
      <c r="R147" s="132"/>
      <c r="S147" s="132"/>
      <c r="T147" s="139"/>
      <c r="U147" s="169"/>
      <c r="V147" s="135">
        <v>3.3</v>
      </c>
      <c r="W147" s="135">
        <v>2.7</v>
      </c>
      <c r="X147" s="136">
        <v>4.6100000000000003</v>
      </c>
      <c r="Y147" s="137"/>
      <c r="Z147" s="137"/>
      <c r="AA147" s="137"/>
      <c r="AB147" s="137"/>
      <c r="AC147" s="137"/>
      <c r="AD147" s="137"/>
      <c r="AE147" s="137"/>
      <c r="AF147" s="137"/>
      <c r="AG147" s="136"/>
      <c r="AH147" s="138"/>
      <c r="AI147" s="131"/>
      <c r="AJ147" s="47"/>
      <c r="AK147" s="55"/>
      <c r="AL147" s="55"/>
    </row>
    <row r="148" spans="1:38" ht="31.95" customHeight="1" x14ac:dyDescent="0.3">
      <c r="A148" s="12">
        <v>44063</v>
      </c>
      <c r="B148" s="187">
        <v>0.58991898148148147</v>
      </c>
      <c r="C148" s="48"/>
      <c r="D148" s="48"/>
      <c r="E148" s="48">
        <v>60</v>
      </c>
      <c r="F148" s="48"/>
      <c r="G148" s="43">
        <v>17</v>
      </c>
      <c r="H148" s="49" t="s">
        <v>224</v>
      </c>
      <c r="I148" s="50" t="s">
        <v>230</v>
      </c>
      <c r="J148" s="51"/>
      <c r="K148" s="121">
        <v>2500</v>
      </c>
      <c r="L148" s="52">
        <v>5</v>
      </c>
      <c r="M148" s="53">
        <f>IFERROR(VLOOKUP(VLOOKUP(O148,O148,1,1),Categories!$K$4:$V$17,2+VLOOKUP(L148,L148,1,1)),"-"  )</f>
        <v>12</v>
      </c>
      <c r="N148" s="53" t="str">
        <f>IFERROR(VLOOKUP(VLOOKUP(O148,O148,1,1),Categories!$K$3:$V$17,7+VLOOKUP(L148,L148,1,1)),"-")</f>
        <v>2.0 rev.</v>
      </c>
      <c r="O148" s="54" t="s">
        <v>103</v>
      </c>
      <c r="P148" s="176" t="s">
        <v>0</v>
      </c>
      <c r="Q148" s="180" t="s">
        <v>0</v>
      </c>
      <c r="R148" s="132"/>
      <c r="S148" s="132"/>
      <c r="T148" s="139"/>
      <c r="U148" s="169"/>
      <c r="V148" s="135"/>
      <c r="W148" s="135"/>
      <c r="X148" s="136"/>
      <c r="Y148" s="137"/>
      <c r="Z148" s="137"/>
      <c r="AA148" s="137"/>
      <c r="AB148" s="137"/>
      <c r="AC148" s="137"/>
      <c r="AD148" s="137"/>
      <c r="AE148" s="137"/>
      <c r="AF148" s="137"/>
      <c r="AG148" s="136"/>
      <c r="AH148" s="138"/>
      <c r="AI148" s="131"/>
      <c r="AJ148" s="47"/>
      <c r="AK148" s="55"/>
      <c r="AL148" s="55"/>
    </row>
    <row r="149" spans="1:38" ht="31.95" customHeight="1" x14ac:dyDescent="0.3">
      <c r="A149" s="12">
        <v>44063</v>
      </c>
      <c r="B149" s="187">
        <v>0.59063657407407411</v>
      </c>
      <c r="C149" s="48"/>
      <c r="D149" s="48"/>
      <c r="E149" s="48">
        <f>IF(I149=Categories!$E$4,VLOOKUP(H149,Categories!$A$4:$C$13,3,1),VLOOKUP(I149,Categories!$E$4:$G$24,3,1))</f>
        <v>120</v>
      </c>
      <c r="F149" s="48"/>
      <c r="G149" s="43">
        <v>17</v>
      </c>
      <c r="H149" s="49" t="s">
        <v>44</v>
      </c>
      <c r="I149" s="44" t="s">
        <v>0</v>
      </c>
      <c r="J149" s="51"/>
      <c r="K149" s="121">
        <v>2500</v>
      </c>
      <c r="L149" s="52">
        <v>5</v>
      </c>
      <c r="M149" s="53">
        <f>IFERROR(VLOOKUP(VLOOKUP(O149,O149,1,1),Categories!$K$4:$V$17,2+VLOOKUP(L149,L149,1,1)),"-"  )</f>
        <v>12</v>
      </c>
      <c r="N149" s="53" t="str">
        <f>IFERROR(VLOOKUP(VLOOKUP(O149,O149,1,1),Categories!$K$3:$V$17,7+VLOOKUP(L149,L149,1,1)),"-")</f>
        <v>2.0 rev.</v>
      </c>
      <c r="O149" s="54" t="s">
        <v>103</v>
      </c>
      <c r="P149" s="176" t="s">
        <v>0</v>
      </c>
      <c r="Q149" s="180" t="s">
        <v>0</v>
      </c>
      <c r="R149" s="132"/>
      <c r="S149" s="132"/>
      <c r="T149" s="139"/>
      <c r="U149" s="169"/>
      <c r="V149" s="135">
        <v>2.1</v>
      </c>
      <c r="W149" s="135">
        <v>2.2999999999999998</v>
      </c>
      <c r="X149" s="136">
        <v>3.17</v>
      </c>
      <c r="Y149" s="137"/>
      <c r="Z149" s="137"/>
      <c r="AA149" s="137"/>
      <c r="AB149" s="137"/>
      <c r="AC149" s="137"/>
      <c r="AD149" s="137"/>
      <c r="AE149" s="137"/>
      <c r="AF149" s="137"/>
      <c r="AG149" s="136"/>
      <c r="AH149" s="138"/>
      <c r="AI149" s="131"/>
      <c r="AJ149" s="47"/>
      <c r="AK149" s="55"/>
      <c r="AL149" s="55"/>
    </row>
    <row r="150" spans="1:38" ht="31.95" customHeight="1" x14ac:dyDescent="0.3">
      <c r="A150" s="12">
        <v>44063</v>
      </c>
      <c r="B150" s="187">
        <v>0.59204861111111107</v>
      </c>
      <c r="C150" s="48"/>
      <c r="D150" s="48"/>
      <c r="E150" s="48">
        <v>60</v>
      </c>
      <c r="F150" s="48"/>
      <c r="G150" s="43">
        <v>17</v>
      </c>
      <c r="H150" s="49" t="s">
        <v>224</v>
      </c>
      <c r="I150" s="50" t="s">
        <v>231</v>
      </c>
      <c r="J150" s="51"/>
      <c r="K150" s="121">
        <v>2500</v>
      </c>
      <c r="L150" s="52">
        <v>1</v>
      </c>
      <c r="M150" s="53">
        <f>IFERROR(VLOOKUP(VLOOKUP(O150,O150,1,1),Categories!$K$4:$V$17,2+VLOOKUP(L150,L150,1,1)),"-"  )</f>
        <v>2.33</v>
      </c>
      <c r="N150" s="53" t="str">
        <f>IFERROR(VLOOKUP(VLOOKUP(O150,O150,1,1),Categories!$K$3:$V$17,7+VLOOKUP(L150,L150,1,1)),"-")</f>
        <v>0 rev.</v>
      </c>
      <c r="O150" s="54" t="s">
        <v>103</v>
      </c>
      <c r="P150" s="176" t="s">
        <v>0</v>
      </c>
      <c r="Q150" s="180" t="s">
        <v>0</v>
      </c>
      <c r="R150" s="132"/>
      <c r="S150" s="132"/>
      <c r="T150" s="139"/>
      <c r="U150" s="169"/>
      <c r="V150" s="135"/>
      <c r="W150" s="135"/>
      <c r="X150" s="136"/>
      <c r="Y150" s="137"/>
      <c r="Z150" s="137"/>
      <c r="AA150" s="137"/>
      <c r="AB150" s="137"/>
      <c r="AC150" s="137"/>
      <c r="AD150" s="137"/>
      <c r="AE150" s="137"/>
      <c r="AF150" s="137"/>
      <c r="AG150" s="136"/>
      <c r="AH150" s="138"/>
      <c r="AI150" s="131"/>
      <c r="AJ150" s="47"/>
      <c r="AK150" s="55"/>
      <c r="AL150" s="55"/>
    </row>
    <row r="151" spans="1:38" ht="31.95" customHeight="1" x14ac:dyDescent="0.3">
      <c r="A151" s="12">
        <v>44063</v>
      </c>
      <c r="B151" s="187">
        <v>0.59280092592592593</v>
      </c>
      <c r="C151" s="48"/>
      <c r="D151" s="48"/>
      <c r="E151" s="48">
        <f>IF(I151=Categories!$E$4,VLOOKUP(H151,Categories!$A$4:$C$13,3,1),VLOOKUP(I151,Categories!$E$4:$G$24,3,1))</f>
        <v>120</v>
      </c>
      <c r="F151" s="48"/>
      <c r="G151" s="43">
        <v>17</v>
      </c>
      <c r="H151" s="49" t="s">
        <v>228</v>
      </c>
      <c r="I151" s="44" t="s">
        <v>0</v>
      </c>
      <c r="J151" s="51"/>
      <c r="K151" s="121">
        <v>2500</v>
      </c>
      <c r="L151" s="52">
        <v>1</v>
      </c>
      <c r="M151" s="53">
        <f>IFERROR(VLOOKUP(VLOOKUP(O151,O151,1,1),Categories!$K$4:$V$17,2+VLOOKUP(L151,L151,1,1)),"-"  )</f>
        <v>2.33</v>
      </c>
      <c r="N151" s="53" t="str">
        <f>IFERROR(VLOOKUP(VLOOKUP(O151,O151,1,1),Categories!$K$3:$V$17,7+VLOOKUP(L151,L151,1,1)),"-")</f>
        <v>0 rev.</v>
      </c>
      <c r="O151" s="54" t="s">
        <v>103</v>
      </c>
      <c r="P151" s="176" t="s">
        <v>0</v>
      </c>
      <c r="Q151" s="180" t="s">
        <v>0</v>
      </c>
      <c r="R151" s="132"/>
      <c r="S151" s="132"/>
      <c r="T151" s="139"/>
      <c r="U151" s="169"/>
      <c r="V151" s="135">
        <v>3.9</v>
      </c>
      <c r="W151" s="135">
        <v>2.9</v>
      </c>
      <c r="X151" s="136">
        <v>5.57</v>
      </c>
      <c r="Y151" s="137"/>
      <c r="Z151" s="137"/>
      <c r="AA151" s="137"/>
      <c r="AB151" s="137"/>
      <c r="AC151" s="137"/>
      <c r="AD151" s="137"/>
      <c r="AE151" s="137"/>
      <c r="AF151" s="137"/>
      <c r="AG151" s="136"/>
      <c r="AH151" s="138"/>
      <c r="AI151" s="131"/>
      <c r="AJ151" s="47"/>
      <c r="AK151" s="55"/>
      <c r="AL151" s="55"/>
    </row>
    <row r="152" spans="1:38" ht="31.95" customHeight="1" x14ac:dyDescent="0.3">
      <c r="A152" s="12">
        <v>44063</v>
      </c>
      <c r="B152" s="187">
        <v>0.59314814814814809</v>
      </c>
      <c r="C152" s="48"/>
      <c r="D152" s="48"/>
      <c r="E152" s="48">
        <f>IF(I152=Categories!$E$4,VLOOKUP(H152,Categories!$A$4:$C$13,3,1),VLOOKUP(I152,Categories!$E$4:$G$24,3,1))</f>
        <v>45</v>
      </c>
      <c r="F152" s="48"/>
      <c r="G152" s="43" t="s">
        <v>0</v>
      </c>
      <c r="H152" s="49" t="s">
        <v>3</v>
      </c>
      <c r="I152" s="50" t="s">
        <v>2</v>
      </c>
      <c r="J152" s="51"/>
      <c r="K152" s="121">
        <v>2800</v>
      </c>
      <c r="L152" s="52">
        <v>1</v>
      </c>
      <c r="M152" s="53">
        <f>IFERROR(VLOOKUP(VLOOKUP(O152,O152,1,1),Categories!$K$4:$V$17,2+VLOOKUP(L152,L152,1,1)),"-"  )</f>
        <v>2.33</v>
      </c>
      <c r="N152" s="53" t="str">
        <f>IFERROR(VLOOKUP(VLOOKUP(O152,O152,1,1),Categories!$K$3:$V$17,7+VLOOKUP(L152,L152,1,1)),"-")</f>
        <v>0 rev.</v>
      </c>
      <c r="O152" s="54" t="s">
        <v>103</v>
      </c>
      <c r="P152" s="176" t="s">
        <v>0</v>
      </c>
      <c r="Q152" s="180" t="s">
        <v>0</v>
      </c>
      <c r="R152" s="132"/>
      <c r="S152" s="132"/>
      <c r="T152" s="139"/>
      <c r="U152" s="169"/>
      <c r="V152" s="135"/>
      <c r="W152" s="135"/>
      <c r="X152" s="136"/>
      <c r="Y152" s="137"/>
      <c r="Z152" s="137"/>
      <c r="AA152" s="137"/>
      <c r="AB152" s="137"/>
      <c r="AC152" s="137"/>
      <c r="AD152" s="137"/>
      <c r="AE152" s="137"/>
      <c r="AF152" s="137"/>
      <c r="AG152" s="136"/>
      <c r="AH152" s="138"/>
      <c r="AI152" s="131" t="s">
        <v>234</v>
      </c>
      <c r="AJ152" s="55" t="s">
        <v>305</v>
      </c>
      <c r="AK152" s="55"/>
      <c r="AL152" s="55"/>
    </row>
    <row r="153" spans="1:38" ht="31.95" customHeight="1" x14ac:dyDescent="0.3">
      <c r="A153" s="167">
        <v>44063</v>
      </c>
      <c r="B153" s="186">
        <v>0.59436342592592595</v>
      </c>
      <c r="C153" s="48"/>
      <c r="D153" s="48"/>
      <c r="E153" s="48">
        <f>IF(I153=Categories!$E$4,VLOOKUP(H153,Categories!$A$4:$C$13,3,1),VLOOKUP(I153,Categories!$E$4:$G$24,3,1))</f>
        <v>120</v>
      </c>
      <c r="F153" s="48"/>
      <c r="G153" s="43">
        <v>18</v>
      </c>
      <c r="H153" s="49" t="s">
        <v>44</v>
      </c>
      <c r="I153" s="50" t="s">
        <v>0</v>
      </c>
      <c r="J153" s="51"/>
      <c r="K153" s="121">
        <v>2800</v>
      </c>
      <c r="L153" s="52">
        <v>1</v>
      </c>
      <c r="M153" s="53">
        <f>IFERROR(VLOOKUP(VLOOKUP(O153,O153,1,1),Categories!$K$4:$V$17,2+VLOOKUP(L153,L153,1,1)),"-"  )</f>
        <v>2.33</v>
      </c>
      <c r="N153" s="53" t="str">
        <f>IFERROR(VLOOKUP(VLOOKUP(O153,O153,1,1),Categories!$K$3:$V$17,7+VLOOKUP(L153,L153,1,1)),"-")</f>
        <v>0 rev.</v>
      </c>
      <c r="O153" s="54" t="s">
        <v>103</v>
      </c>
      <c r="P153" s="176" t="s">
        <v>0</v>
      </c>
      <c r="Q153" s="180" t="s">
        <v>0</v>
      </c>
      <c r="R153" s="169"/>
      <c r="S153" s="169"/>
      <c r="T153" s="168"/>
      <c r="U153" s="169"/>
      <c r="V153" s="170">
        <v>4.4000000000000004</v>
      </c>
      <c r="W153" s="170">
        <v>4</v>
      </c>
      <c r="X153" s="171">
        <v>6.29</v>
      </c>
      <c r="Y153" s="172"/>
      <c r="Z153" s="172"/>
      <c r="AA153" s="172"/>
      <c r="AB153" s="172"/>
      <c r="AC153" s="172"/>
      <c r="AD153" s="172"/>
      <c r="AE153" s="172"/>
      <c r="AF153" s="172"/>
      <c r="AG153" s="171"/>
      <c r="AH153" s="173"/>
      <c r="AI153" s="131" t="s">
        <v>244</v>
      </c>
      <c r="AJ153" s="55"/>
      <c r="AK153" s="55"/>
      <c r="AL153" s="55"/>
    </row>
    <row r="154" spans="1:38" ht="31.95" customHeight="1" x14ac:dyDescent="0.3">
      <c r="A154" s="167">
        <v>44063</v>
      </c>
      <c r="B154" s="186">
        <v>0.59581018518518525</v>
      </c>
      <c r="C154" s="48"/>
      <c r="D154" s="48"/>
      <c r="E154" s="48">
        <v>60</v>
      </c>
      <c r="F154" s="48"/>
      <c r="G154" s="43">
        <v>18</v>
      </c>
      <c r="H154" s="49" t="s">
        <v>224</v>
      </c>
      <c r="I154" s="50" t="s">
        <v>230</v>
      </c>
      <c r="J154" s="51"/>
      <c r="K154" s="121">
        <v>2800</v>
      </c>
      <c r="L154" s="52">
        <v>2</v>
      </c>
      <c r="M154" s="53">
        <f>IFERROR(VLOOKUP(VLOOKUP(O154,O154,1,1),Categories!$K$4:$V$17,2+VLOOKUP(L154,L154,1,1)),"-"  )</f>
        <v>9</v>
      </c>
      <c r="N154" s="53" t="str">
        <f>IFERROR(VLOOKUP(VLOOKUP(O154,O154,1,1),Categories!$K$3:$V$17,7+VLOOKUP(L154,L154,1,1)),"-")</f>
        <v>1.0 rev.</v>
      </c>
      <c r="O154" s="54" t="s">
        <v>103</v>
      </c>
      <c r="P154" s="176" t="s">
        <v>0</v>
      </c>
      <c r="Q154" s="180" t="s">
        <v>0</v>
      </c>
      <c r="R154" s="169"/>
      <c r="S154" s="169"/>
      <c r="T154" s="168"/>
      <c r="U154" s="169"/>
      <c r="V154" s="170"/>
      <c r="W154" s="170"/>
      <c r="X154" s="171"/>
      <c r="Y154" s="172"/>
      <c r="Z154" s="172"/>
      <c r="AA154" s="172"/>
      <c r="AB154" s="172"/>
      <c r="AC154" s="172"/>
      <c r="AD154" s="172"/>
      <c r="AE154" s="172"/>
      <c r="AF154" s="172"/>
      <c r="AG154" s="171"/>
      <c r="AH154" s="173"/>
      <c r="AI154" s="131"/>
      <c r="AJ154" s="55"/>
      <c r="AK154" s="55"/>
      <c r="AL154" s="55"/>
    </row>
    <row r="155" spans="1:38" ht="31.95" customHeight="1" x14ac:dyDescent="0.3">
      <c r="A155" s="12">
        <v>44063</v>
      </c>
      <c r="B155" s="187">
        <v>0.59650462962962958</v>
      </c>
      <c r="C155" s="48"/>
      <c r="D155" s="48"/>
      <c r="E155" s="48">
        <f>IF(I155=Categories!$E$4,VLOOKUP(H155,Categories!$A$4:$C$13,3,1),VLOOKUP(I155,Categories!$E$4:$G$24,3,1))</f>
        <v>120</v>
      </c>
      <c r="F155" s="48"/>
      <c r="G155" s="43">
        <v>18</v>
      </c>
      <c r="H155" s="49" t="s">
        <v>44</v>
      </c>
      <c r="I155" s="44" t="s">
        <v>0</v>
      </c>
      <c r="J155" s="51"/>
      <c r="K155" s="121">
        <v>2800</v>
      </c>
      <c r="L155" s="52">
        <v>2</v>
      </c>
      <c r="M155" s="53">
        <f>IFERROR(VLOOKUP(VLOOKUP(O155,O155,1,1),Categories!$K$4:$V$17,2+VLOOKUP(L155,L155,1,1)),"-"  )</f>
        <v>9</v>
      </c>
      <c r="N155" s="53" t="str">
        <f>IFERROR(VLOOKUP(VLOOKUP(O155,O155,1,1),Categories!$K$3:$V$17,7+VLOOKUP(L155,L155,1,1)),"-")</f>
        <v>1.0 rev.</v>
      </c>
      <c r="O155" s="54" t="s">
        <v>103</v>
      </c>
      <c r="P155" s="176" t="s">
        <v>0</v>
      </c>
      <c r="Q155" s="180" t="s">
        <v>0</v>
      </c>
      <c r="R155" s="132"/>
      <c r="S155" s="132"/>
      <c r="T155" s="139"/>
      <c r="U155" s="169"/>
      <c r="V155" s="135">
        <v>4.5999999999999996</v>
      </c>
      <c r="W155" s="135">
        <v>4.0999999999999996</v>
      </c>
      <c r="X155" s="136">
        <v>6.23</v>
      </c>
      <c r="Y155" s="137"/>
      <c r="Z155" s="137"/>
      <c r="AA155" s="137"/>
      <c r="AB155" s="137"/>
      <c r="AC155" s="137"/>
      <c r="AD155" s="137"/>
      <c r="AE155" s="137"/>
      <c r="AF155" s="137"/>
      <c r="AG155" s="136"/>
      <c r="AH155" s="138"/>
      <c r="AI155" s="131" t="s">
        <v>244</v>
      </c>
      <c r="AJ155" s="47"/>
      <c r="AK155" s="55"/>
      <c r="AL155" s="55"/>
    </row>
    <row r="156" spans="1:38" ht="31.95" customHeight="1" x14ac:dyDescent="0.3">
      <c r="A156" s="12">
        <v>44063</v>
      </c>
      <c r="B156" s="187">
        <v>0.59814814814814821</v>
      </c>
      <c r="C156" s="48"/>
      <c r="D156" s="48"/>
      <c r="E156" s="48">
        <v>60</v>
      </c>
      <c r="F156" s="48"/>
      <c r="G156" s="43">
        <v>18</v>
      </c>
      <c r="H156" s="49" t="s">
        <v>224</v>
      </c>
      <c r="I156" s="50" t="s">
        <v>230</v>
      </c>
      <c r="J156" s="51"/>
      <c r="K156" s="121">
        <v>2800</v>
      </c>
      <c r="L156" s="52">
        <v>3</v>
      </c>
      <c r="M156" s="53">
        <f>IFERROR(VLOOKUP(VLOOKUP(O156,O156,1,1),Categories!$K$4:$V$17,2+VLOOKUP(L156,L156,1,1)),"-"  )</f>
        <v>10</v>
      </c>
      <c r="N156" s="53" t="str">
        <f>IFERROR(VLOOKUP(VLOOKUP(O156,O156,1,1),Categories!$K$3:$V$17,7+VLOOKUP(L156,L156,1,1)),"-")</f>
        <v>1.25 rev.</v>
      </c>
      <c r="O156" s="54" t="s">
        <v>103</v>
      </c>
      <c r="P156" s="176" t="s">
        <v>0</v>
      </c>
      <c r="Q156" s="180" t="s">
        <v>0</v>
      </c>
      <c r="R156" s="132"/>
      <c r="S156" s="132"/>
      <c r="T156" s="139"/>
      <c r="U156" s="169"/>
      <c r="V156" s="135"/>
      <c r="W156" s="135"/>
      <c r="X156" s="136"/>
      <c r="Y156" s="137"/>
      <c r="Z156" s="137"/>
      <c r="AA156" s="137"/>
      <c r="AB156" s="137"/>
      <c r="AC156" s="137"/>
      <c r="AD156" s="137"/>
      <c r="AE156" s="137"/>
      <c r="AF156" s="137"/>
      <c r="AG156" s="136"/>
      <c r="AH156" s="138"/>
      <c r="AI156" s="131"/>
      <c r="AJ156" s="47"/>
      <c r="AK156" s="55"/>
      <c r="AL156" s="55"/>
    </row>
    <row r="157" spans="1:38" ht="31.95" customHeight="1" x14ac:dyDescent="0.3">
      <c r="A157" s="12">
        <v>44063</v>
      </c>
      <c r="B157" s="187">
        <v>0.59892361111111114</v>
      </c>
      <c r="C157" s="48"/>
      <c r="D157" s="48"/>
      <c r="E157" s="48">
        <f>IF(I157=Categories!$E$4,VLOOKUP(H157,Categories!$A$4:$C$13,3,1),VLOOKUP(I157,Categories!$E$4:$G$24,3,1))</f>
        <v>120</v>
      </c>
      <c r="F157" s="48"/>
      <c r="G157" s="43">
        <v>18</v>
      </c>
      <c r="H157" s="49" t="s">
        <v>44</v>
      </c>
      <c r="I157" s="44" t="s">
        <v>0</v>
      </c>
      <c r="J157" s="51"/>
      <c r="K157" s="121">
        <v>2800</v>
      </c>
      <c r="L157" s="52">
        <v>3</v>
      </c>
      <c r="M157" s="53">
        <f>IFERROR(VLOOKUP(VLOOKUP(O157,O157,1,1),Categories!$K$4:$V$17,2+VLOOKUP(L157,L157,1,1)),"-"  )</f>
        <v>10</v>
      </c>
      <c r="N157" s="53" t="str">
        <f>IFERROR(VLOOKUP(VLOOKUP(O157,O157,1,1),Categories!$K$3:$V$17,7+VLOOKUP(L157,L157,1,1)),"-")</f>
        <v>1.25 rev.</v>
      </c>
      <c r="O157" s="54" t="s">
        <v>103</v>
      </c>
      <c r="P157" s="176" t="s">
        <v>0</v>
      </c>
      <c r="Q157" s="180" t="s">
        <v>0</v>
      </c>
      <c r="R157" s="132"/>
      <c r="S157" s="132"/>
      <c r="T157" s="139"/>
      <c r="U157" s="169"/>
      <c r="V157" s="135">
        <v>4.2</v>
      </c>
      <c r="W157" s="135">
        <v>4</v>
      </c>
      <c r="X157" s="136">
        <v>5.91</v>
      </c>
      <c r="Y157" s="137"/>
      <c r="Z157" s="137"/>
      <c r="AA157" s="137"/>
      <c r="AB157" s="137"/>
      <c r="AC157" s="137"/>
      <c r="AD157" s="137"/>
      <c r="AE157" s="137"/>
      <c r="AF157" s="137"/>
      <c r="AG157" s="136"/>
      <c r="AH157" s="138"/>
      <c r="AI157" s="131" t="s">
        <v>244</v>
      </c>
      <c r="AJ157" s="47" t="s">
        <v>306</v>
      </c>
      <c r="AK157" s="55"/>
      <c r="AL157" s="55"/>
    </row>
    <row r="158" spans="1:38" ht="31.95" customHeight="1" x14ac:dyDescent="0.3">
      <c r="A158" s="12">
        <v>44063</v>
      </c>
      <c r="B158" s="187">
        <v>0.60041666666666671</v>
      </c>
      <c r="C158" s="48"/>
      <c r="D158" s="48"/>
      <c r="E158" s="48">
        <v>60</v>
      </c>
      <c r="F158" s="48"/>
      <c r="G158" s="43">
        <v>18</v>
      </c>
      <c r="H158" s="49" t="s">
        <v>224</v>
      </c>
      <c r="I158" s="50" t="s">
        <v>230</v>
      </c>
      <c r="J158" s="51"/>
      <c r="K158" s="121">
        <v>2800</v>
      </c>
      <c r="L158" s="52">
        <v>4</v>
      </c>
      <c r="M158" s="53">
        <f>IFERROR(VLOOKUP(VLOOKUP(O158,O158,1,1),Categories!$K$4:$V$17,2+VLOOKUP(L158,L158,1,1)),"-"  )</f>
        <v>11</v>
      </c>
      <c r="N158" s="53" t="str">
        <f>IFERROR(VLOOKUP(VLOOKUP(O158,O158,1,1),Categories!$K$3:$V$17,7+VLOOKUP(L158,L158,1,1)),"-")</f>
        <v>1.5 rev.</v>
      </c>
      <c r="O158" s="54" t="s">
        <v>103</v>
      </c>
      <c r="P158" s="176" t="s">
        <v>0</v>
      </c>
      <c r="Q158" s="180" t="s">
        <v>0</v>
      </c>
      <c r="R158" s="132"/>
      <c r="S158" s="132"/>
      <c r="T158" s="139"/>
      <c r="U158" s="169"/>
      <c r="V158" s="135"/>
      <c r="W158" s="135"/>
      <c r="X158" s="136"/>
      <c r="Y158" s="137"/>
      <c r="Z158" s="137"/>
      <c r="AA158" s="137"/>
      <c r="AB158" s="137"/>
      <c r="AC158" s="137"/>
      <c r="AD158" s="137"/>
      <c r="AE158" s="137"/>
      <c r="AF158" s="137"/>
      <c r="AG158" s="136"/>
      <c r="AH158" s="138"/>
      <c r="AI158" s="131"/>
      <c r="AJ158" s="47"/>
      <c r="AK158" s="55"/>
      <c r="AL158" s="55"/>
    </row>
    <row r="159" spans="1:38" ht="31.95" customHeight="1" x14ac:dyDescent="0.3">
      <c r="A159" s="12">
        <v>44063</v>
      </c>
      <c r="B159" s="187">
        <v>0.60115740740740742</v>
      </c>
      <c r="C159" s="48"/>
      <c r="D159" s="48"/>
      <c r="E159" s="48">
        <f>IF(I159=Categories!$E$4,VLOOKUP(H159,Categories!$A$4:$C$13,3,1),VLOOKUP(I159,Categories!$E$4:$G$24,3,1))</f>
        <v>120</v>
      </c>
      <c r="F159" s="48"/>
      <c r="G159" s="43">
        <v>18</v>
      </c>
      <c r="H159" s="49" t="s">
        <v>44</v>
      </c>
      <c r="I159" s="44" t="s">
        <v>0</v>
      </c>
      <c r="J159" s="51"/>
      <c r="K159" s="121">
        <v>2800</v>
      </c>
      <c r="L159" s="52">
        <v>4</v>
      </c>
      <c r="M159" s="53">
        <f>IFERROR(VLOOKUP(VLOOKUP(O159,O159,1,1),Categories!$K$4:$V$17,2+VLOOKUP(L159,L159,1,1)),"-"  )</f>
        <v>11</v>
      </c>
      <c r="N159" s="53" t="str">
        <f>IFERROR(VLOOKUP(VLOOKUP(O159,O159,1,1),Categories!$K$3:$V$17,7+VLOOKUP(L159,L159,1,1)),"-")</f>
        <v>1.5 rev.</v>
      </c>
      <c r="O159" s="54" t="s">
        <v>103</v>
      </c>
      <c r="P159" s="176" t="s">
        <v>0</v>
      </c>
      <c r="Q159" s="180" t="s">
        <v>0</v>
      </c>
      <c r="R159" s="132"/>
      <c r="S159" s="132"/>
      <c r="T159" s="139"/>
      <c r="U159" s="169"/>
      <c r="V159" s="135">
        <v>3.4</v>
      </c>
      <c r="W159" s="135">
        <v>3.7</v>
      </c>
      <c r="X159" s="136">
        <v>5.18</v>
      </c>
      <c r="Y159" s="137"/>
      <c r="Z159" s="137"/>
      <c r="AA159" s="137"/>
      <c r="AB159" s="137"/>
      <c r="AC159" s="137"/>
      <c r="AD159" s="137"/>
      <c r="AE159" s="137"/>
      <c r="AF159" s="137"/>
      <c r="AG159" s="136"/>
      <c r="AH159" s="138"/>
      <c r="AI159" s="131" t="s">
        <v>244</v>
      </c>
      <c r="AJ159" s="47"/>
      <c r="AK159" s="55"/>
      <c r="AL159" s="55"/>
    </row>
    <row r="160" spans="1:38" ht="31.95" customHeight="1" x14ac:dyDescent="0.3">
      <c r="A160" s="12">
        <v>44063</v>
      </c>
      <c r="B160" s="187">
        <v>0.60268518518518521</v>
      </c>
      <c r="C160" s="48"/>
      <c r="D160" s="48"/>
      <c r="E160" s="48">
        <f>IF(I160=Categories!$E$4,VLOOKUP(H160,Categories!$A$4:$C$13,3,1),VLOOKUP(I160,Categories!$E$4:$G$24,3,1))</f>
        <v>45</v>
      </c>
      <c r="F160" s="48"/>
      <c r="G160" s="43">
        <v>18</v>
      </c>
      <c r="H160" s="49" t="s">
        <v>224</v>
      </c>
      <c r="I160" s="50" t="s">
        <v>230</v>
      </c>
      <c r="J160" s="51"/>
      <c r="K160" s="121">
        <v>2800</v>
      </c>
      <c r="L160" s="52">
        <v>5</v>
      </c>
      <c r="M160" s="53">
        <f>IFERROR(VLOOKUP(VLOOKUP(O160,O160,1,1),Categories!$K$4:$V$17,2+VLOOKUP(L160,L160,1,1)),"-"  )</f>
        <v>12</v>
      </c>
      <c r="N160" s="53" t="str">
        <f>IFERROR(VLOOKUP(VLOOKUP(O160,O160,1,1),Categories!$K$3:$V$17,7+VLOOKUP(L160,L160,1,1)),"-")</f>
        <v>2.0 rev.</v>
      </c>
      <c r="O160" s="54" t="s">
        <v>103</v>
      </c>
      <c r="P160" s="176" t="s">
        <v>0</v>
      </c>
      <c r="Q160" s="180" t="s">
        <v>0</v>
      </c>
      <c r="R160" s="132"/>
      <c r="S160" s="132"/>
      <c r="T160" s="139"/>
      <c r="U160" s="169"/>
      <c r="V160" s="135"/>
      <c r="W160" s="135"/>
      <c r="X160" s="136"/>
      <c r="Y160" s="137"/>
      <c r="Z160" s="137"/>
      <c r="AA160" s="137"/>
      <c r="AB160" s="137"/>
      <c r="AC160" s="137"/>
      <c r="AD160" s="137"/>
      <c r="AE160" s="137"/>
      <c r="AF160" s="137"/>
      <c r="AG160" s="136"/>
      <c r="AH160" s="138"/>
      <c r="AI160" s="131"/>
      <c r="AJ160" s="47"/>
      <c r="AK160" s="55"/>
      <c r="AL160" s="55"/>
    </row>
    <row r="161" spans="1:38" ht="31.95" customHeight="1" x14ac:dyDescent="0.3">
      <c r="A161" s="12">
        <v>44063</v>
      </c>
      <c r="B161" s="187">
        <v>0.60337962962962965</v>
      </c>
      <c r="C161" s="48"/>
      <c r="D161" s="48"/>
      <c r="E161" s="48">
        <f>IF(I161=Categories!$E$4,VLOOKUP(H161,Categories!$A$4:$C$13,3,1),VLOOKUP(I161,Categories!$E$4:$G$24,3,1))</f>
        <v>120</v>
      </c>
      <c r="F161" s="48"/>
      <c r="G161" s="43">
        <v>18</v>
      </c>
      <c r="H161" s="49" t="s">
        <v>44</v>
      </c>
      <c r="I161" s="44" t="s">
        <v>0</v>
      </c>
      <c r="J161" s="51"/>
      <c r="K161" s="121">
        <v>2800</v>
      </c>
      <c r="L161" s="52">
        <v>5</v>
      </c>
      <c r="M161" s="53">
        <f>IFERROR(VLOOKUP(VLOOKUP(O161,O161,1,1),Categories!$K$4:$V$17,2+VLOOKUP(L161,L161,1,1)),"-"  )</f>
        <v>12</v>
      </c>
      <c r="N161" s="53" t="str">
        <f>IFERROR(VLOOKUP(VLOOKUP(O161,O161,1,1),Categories!$K$3:$V$17,7+VLOOKUP(L161,L161,1,1)),"-")</f>
        <v>2.0 rev.</v>
      </c>
      <c r="O161" s="54" t="s">
        <v>103</v>
      </c>
      <c r="P161" s="176" t="s">
        <v>0</v>
      </c>
      <c r="Q161" s="180" t="s">
        <v>0</v>
      </c>
      <c r="R161" s="132"/>
      <c r="S161" s="132"/>
      <c r="T161" s="139"/>
      <c r="U161" s="169"/>
      <c r="V161" s="135">
        <v>4.4000000000000004</v>
      </c>
      <c r="W161" s="135">
        <v>4</v>
      </c>
      <c r="X161" s="136">
        <v>6.3</v>
      </c>
      <c r="Y161" s="137"/>
      <c r="Z161" s="137"/>
      <c r="AA161" s="137"/>
      <c r="AB161" s="137"/>
      <c r="AC161" s="137"/>
      <c r="AD161" s="137"/>
      <c r="AE161" s="137"/>
      <c r="AF161" s="137"/>
      <c r="AG161" s="136"/>
      <c r="AH161" s="138"/>
      <c r="AI161" s="131" t="s">
        <v>244</v>
      </c>
      <c r="AJ161" s="47"/>
      <c r="AK161" s="55"/>
      <c r="AL161" s="55"/>
    </row>
    <row r="162" spans="1:38" ht="31.95" customHeight="1" x14ac:dyDescent="0.3">
      <c r="A162" s="12">
        <v>44063</v>
      </c>
      <c r="B162" s="187">
        <v>0.60428240740740746</v>
      </c>
      <c r="C162" s="48"/>
      <c r="D162" s="48"/>
      <c r="E162" s="48">
        <f>IF(I162=Categories!$E$4,VLOOKUP(H162,Categories!$A$4:$C$13,3,1),VLOOKUP(I162,Categories!$E$4:$G$24,3,1))</f>
        <v>45</v>
      </c>
      <c r="F162" s="48"/>
      <c r="G162" s="43">
        <v>18</v>
      </c>
      <c r="H162" s="49" t="s">
        <v>224</v>
      </c>
      <c r="I162" s="50" t="s">
        <v>231</v>
      </c>
      <c r="J162" s="51"/>
      <c r="K162" s="121">
        <v>2800</v>
      </c>
      <c r="L162" s="52">
        <v>1</v>
      </c>
      <c r="M162" s="53">
        <f>IFERROR(VLOOKUP(VLOOKUP(O162,O162,1,1),Categories!$K$4:$V$17,2+VLOOKUP(L162,L162,1,1)),"-"  )</f>
        <v>2.33</v>
      </c>
      <c r="N162" s="53" t="str">
        <f>IFERROR(VLOOKUP(VLOOKUP(O162,O162,1,1),Categories!$K$3:$V$17,7+VLOOKUP(L162,L162,1,1)),"-")</f>
        <v>0 rev.</v>
      </c>
      <c r="O162" s="54" t="s">
        <v>103</v>
      </c>
      <c r="P162" s="176" t="s">
        <v>0</v>
      </c>
      <c r="Q162" s="180" t="s">
        <v>0</v>
      </c>
      <c r="R162" s="132"/>
      <c r="S162" s="132"/>
      <c r="T162" s="139"/>
      <c r="U162" s="169"/>
      <c r="V162" s="135"/>
      <c r="W162" s="135"/>
      <c r="X162" s="136"/>
      <c r="Y162" s="137"/>
      <c r="Z162" s="137"/>
      <c r="AA162" s="137"/>
      <c r="AB162" s="137"/>
      <c r="AC162" s="137"/>
      <c r="AD162" s="137"/>
      <c r="AE162" s="137"/>
      <c r="AF162" s="137"/>
      <c r="AG162" s="136"/>
      <c r="AH162" s="138"/>
      <c r="AI162" s="131"/>
      <c r="AJ162" s="47" t="s">
        <v>307</v>
      </c>
      <c r="AK162" s="55"/>
      <c r="AL162" s="55"/>
    </row>
    <row r="163" spans="1:38" ht="31.95" customHeight="1" x14ac:dyDescent="0.3">
      <c r="A163" s="12">
        <v>44063</v>
      </c>
      <c r="B163" s="187">
        <v>0.60497685185185179</v>
      </c>
      <c r="C163" s="48"/>
      <c r="D163" s="48"/>
      <c r="E163" s="48">
        <f>IF(I163=Categories!$E$4,VLOOKUP(H163,Categories!$A$4:$C$13,3,1),VLOOKUP(I163,Categories!$E$4:$G$24,3,1))</f>
        <v>120</v>
      </c>
      <c r="F163" s="48"/>
      <c r="G163" s="43">
        <v>18</v>
      </c>
      <c r="H163" s="49" t="s">
        <v>228</v>
      </c>
      <c r="I163" s="44" t="s">
        <v>0</v>
      </c>
      <c r="J163" s="51"/>
      <c r="K163" s="121">
        <v>2800</v>
      </c>
      <c r="L163" s="52">
        <v>1</v>
      </c>
      <c r="M163" s="53">
        <f>IFERROR(VLOOKUP(VLOOKUP(O163,O163,1,1),Categories!$K$4:$V$17,2+VLOOKUP(L163,L163,1,1)),"-"  )</f>
        <v>2.33</v>
      </c>
      <c r="N163" s="53" t="str">
        <f>IFERROR(VLOOKUP(VLOOKUP(O163,O163,1,1),Categories!$K$3:$V$17,7+VLOOKUP(L163,L163,1,1)),"-")</f>
        <v>0 rev.</v>
      </c>
      <c r="O163" s="54" t="s">
        <v>103</v>
      </c>
      <c r="P163" s="176" t="s">
        <v>0</v>
      </c>
      <c r="Q163" s="180" t="s">
        <v>0</v>
      </c>
      <c r="R163" s="132"/>
      <c r="S163" s="132"/>
      <c r="T163" s="139"/>
      <c r="U163" s="169"/>
      <c r="V163" s="135">
        <v>4.4000000000000004</v>
      </c>
      <c r="W163" s="135">
        <v>4</v>
      </c>
      <c r="X163" s="136">
        <v>6.29</v>
      </c>
      <c r="Y163" s="137"/>
      <c r="Z163" s="137"/>
      <c r="AA163" s="137"/>
      <c r="AB163" s="137"/>
      <c r="AC163" s="137"/>
      <c r="AD163" s="137"/>
      <c r="AE163" s="137"/>
      <c r="AF163" s="137"/>
      <c r="AG163" s="136"/>
      <c r="AH163" s="138"/>
      <c r="AI163" s="131"/>
      <c r="AJ163" s="47" t="s">
        <v>307</v>
      </c>
      <c r="AK163" s="55"/>
      <c r="AL163" s="55"/>
    </row>
    <row r="164" spans="1:38" ht="31.95" customHeight="1" x14ac:dyDescent="0.3">
      <c r="A164" s="12">
        <v>44063</v>
      </c>
      <c r="B164" s="187">
        <v>0.60644675925925928</v>
      </c>
      <c r="C164" s="48"/>
      <c r="D164" s="48"/>
      <c r="E164" s="48">
        <f>IF(I164=Categories!$E$4,VLOOKUP(H164,Categories!$A$4:$C$13,3,1),VLOOKUP(I164,Categories!$E$4:$G$24,3,1))</f>
        <v>45</v>
      </c>
      <c r="F164" s="48"/>
      <c r="G164" s="43" t="s">
        <v>0</v>
      </c>
      <c r="H164" s="49" t="s">
        <v>224</v>
      </c>
      <c r="I164" s="50" t="s">
        <v>2</v>
      </c>
      <c r="J164" s="51"/>
      <c r="K164" s="121">
        <v>3100</v>
      </c>
      <c r="L164" s="52">
        <v>1</v>
      </c>
      <c r="M164" s="53">
        <f>IFERROR(VLOOKUP(VLOOKUP(O164,O164,1,1),Categories!$K$4:$V$17,2+VLOOKUP(L164,L164,1,1)),"-"  )</f>
        <v>2.33</v>
      </c>
      <c r="N164" s="53" t="str">
        <f>IFERROR(VLOOKUP(VLOOKUP(O164,O164,1,1),Categories!$K$3:$V$17,7+VLOOKUP(L164,L164,1,1)),"-")</f>
        <v>0 rev.</v>
      </c>
      <c r="O164" s="54" t="s">
        <v>103</v>
      </c>
      <c r="P164" s="176" t="s">
        <v>0</v>
      </c>
      <c r="Q164" s="180" t="s">
        <v>0</v>
      </c>
      <c r="R164" s="132"/>
      <c r="S164" s="132"/>
      <c r="T164" s="139"/>
      <c r="U164" s="169"/>
      <c r="V164" s="135"/>
      <c r="W164" s="135"/>
      <c r="X164" s="136"/>
      <c r="Y164" s="137"/>
      <c r="Z164" s="137"/>
      <c r="AA164" s="137"/>
      <c r="AB164" s="137"/>
      <c r="AC164" s="137"/>
      <c r="AD164" s="137"/>
      <c r="AE164" s="137"/>
      <c r="AF164" s="137"/>
      <c r="AG164" s="136"/>
      <c r="AH164" s="138"/>
      <c r="AI164" s="131"/>
      <c r="AJ164" s="47"/>
      <c r="AK164" s="55"/>
      <c r="AL164" s="55"/>
    </row>
    <row r="165" spans="1:38" ht="31.95" customHeight="1" x14ac:dyDescent="0.3">
      <c r="A165" s="167">
        <v>44063</v>
      </c>
      <c r="B165" s="186">
        <v>0.61079861111111111</v>
      </c>
      <c r="C165" s="48"/>
      <c r="D165" s="48"/>
      <c r="E165" s="48">
        <f>IF(I165=Categories!$E$4,VLOOKUP(H165,Categories!$A$4:$C$13,3,1),VLOOKUP(I165,Categories!$E$4:$G$24,3,1))</f>
        <v>120</v>
      </c>
      <c r="F165" s="48"/>
      <c r="G165" s="43">
        <v>19</v>
      </c>
      <c r="H165" s="49" t="s">
        <v>44</v>
      </c>
      <c r="I165" s="50" t="s">
        <v>0</v>
      </c>
      <c r="J165" s="51"/>
      <c r="K165" s="121">
        <v>3100</v>
      </c>
      <c r="L165" s="52">
        <v>1</v>
      </c>
      <c r="M165" s="53">
        <f>IFERROR(VLOOKUP(VLOOKUP(O165,O165,1,1),Categories!$K$4:$V$17,2+VLOOKUP(L165,L165,1,1)),"-"  )</f>
        <v>2.33</v>
      </c>
      <c r="N165" s="53" t="str">
        <f>IFERROR(VLOOKUP(VLOOKUP(O165,O165,1,1),Categories!$K$3:$V$17,7+VLOOKUP(L165,L165,1,1)),"-")</f>
        <v>0 rev.</v>
      </c>
      <c r="O165" s="54" t="s">
        <v>103</v>
      </c>
      <c r="P165" s="176" t="s">
        <v>0</v>
      </c>
      <c r="Q165" s="180" t="s">
        <v>0</v>
      </c>
      <c r="R165" s="169"/>
      <c r="S165" s="169"/>
      <c r="T165" s="168"/>
      <c r="U165" s="169"/>
      <c r="V165" s="170">
        <v>5.2</v>
      </c>
      <c r="W165" s="170">
        <v>5.4</v>
      </c>
      <c r="X165" s="171">
        <v>7.03</v>
      </c>
      <c r="Y165" s="172"/>
      <c r="Z165" s="172"/>
      <c r="AA165" s="172"/>
      <c r="AB165" s="172"/>
      <c r="AC165" s="172"/>
      <c r="AD165" s="172"/>
      <c r="AE165" s="172"/>
      <c r="AF165" s="172"/>
      <c r="AG165" s="171"/>
      <c r="AH165" s="173"/>
      <c r="AI165" s="131" t="s">
        <v>234</v>
      </c>
      <c r="AJ165" s="55" t="s">
        <v>308</v>
      </c>
      <c r="AK165" s="55"/>
      <c r="AL165" s="55"/>
    </row>
    <row r="166" spans="1:38" ht="31.95" customHeight="1" x14ac:dyDescent="0.3">
      <c r="A166" s="167">
        <v>44063</v>
      </c>
      <c r="B166" s="194">
        <v>0.61217592592592596</v>
      </c>
      <c r="C166" s="48"/>
      <c r="D166" s="48"/>
      <c r="E166" s="48">
        <v>60</v>
      </c>
      <c r="F166" s="48"/>
      <c r="G166" s="43">
        <v>19</v>
      </c>
      <c r="H166" s="49" t="s">
        <v>224</v>
      </c>
      <c r="I166" s="50" t="s">
        <v>230</v>
      </c>
      <c r="J166" s="51"/>
      <c r="K166" s="121">
        <v>3100</v>
      </c>
      <c r="L166" s="52">
        <v>2</v>
      </c>
      <c r="M166" s="53">
        <f>IFERROR(VLOOKUP(VLOOKUP(O166,O166,1,1),Categories!$K$4:$V$17,2+VLOOKUP(L166,L166,1,1)),"-"  )</f>
        <v>9</v>
      </c>
      <c r="N166" s="53" t="str">
        <f>IFERROR(VLOOKUP(VLOOKUP(O166,O166,1,1),Categories!$K$3:$V$17,7+VLOOKUP(L166,L166,1,1)),"-")</f>
        <v>1.0 rev.</v>
      </c>
      <c r="O166" s="54" t="s">
        <v>103</v>
      </c>
      <c r="P166" s="176" t="s">
        <v>0</v>
      </c>
      <c r="Q166" s="180" t="s">
        <v>0</v>
      </c>
      <c r="R166" s="169"/>
      <c r="S166" s="169"/>
      <c r="T166" s="168"/>
      <c r="U166" s="169"/>
      <c r="V166" s="170"/>
      <c r="W166" s="170"/>
      <c r="X166" s="171"/>
      <c r="Y166" s="172"/>
      <c r="Z166" s="172"/>
      <c r="AA166" s="172"/>
      <c r="AB166" s="172"/>
      <c r="AC166" s="172"/>
      <c r="AD166" s="172"/>
      <c r="AE166" s="172"/>
      <c r="AF166" s="172"/>
      <c r="AG166" s="171"/>
      <c r="AH166" s="173"/>
      <c r="AI166" s="131"/>
      <c r="AJ166" s="55"/>
      <c r="AK166" s="55"/>
      <c r="AL166" s="55"/>
    </row>
    <row r="167" spans="1:38" ht="31.95" customHeight="1" x14ac:dyDescent="0.3">
      <c r="A167" s="12">
        <v>44063</v>
      </c>
      <c r="B167" s="195">
        <v>0.6128703703703704</v>
      </c>
      <c r="C167" s="48"/>
      <c r="D167" s="48"/>
      <c r="E167" s="48">
        <f>IF(I167=Categories!$E$4,VLOOKUP(H167,Categories!$A$4:$C$13,3,1),VLOOKUP(I167,Categories!$E$4:$G$24,3,1))</f>
        <v>120</v>
      </c>
      <c r="F167" s="48"/>
      <c r="G167" s="43">
        <v>19</v>
      </c>
      <c r="H167" s="49" t="s">
        <v>44</v>
      </c>
      <c r="I167" s="44" t="s">
        <v>0</v>
      </c>
      <c r="J167" s="51"/>
      <c r="K167" s="121">
        <v>3100</v>
      </c>
      <c r="L167" s="52">
        <v>2</v>
      </c>
      <c r="M167" s="53">
        <f>IFERROR(VLOOKUP(VLOOKUP(O167,O167,1,1),Categories!$K$4:$V$17,2+VLOOKUP(L167,L167,1,1)),"-"  )</f>
        <v>9</v>
      </c>
      <c r="N167" s="53" t="str">
        <f>IFERROR(VLOOKUP(VLOOKUP(O167,O167,1,1),Categories!$K$3:$V$17,7+VLOOKUP(L167,L167,1,1)),"-")</f>
        <v>1.0 rev.</v>
      </c>
      <c r="O167" s="54" t="s">
        <v>103</v>
      </c>
      <c r="P167" s="176" t="s">
        <v>0</v>
      </c>
      <c r="Q167" s="180" t="s">
        <v>0</v>
      </c>
      <c r="R167" s="132"/>
      <c r="S167" s="132"/>
      <c r="T167" s="139"/>
      <c r="U167" s="169"/>
      <c r="V167" s="135">
        <v>5.4</v>
      </c>
      <c r="W167" s="135">
        <v>5.5</v>
      </c>
      <c r="X167" s="136">
        <v>6.84</v>
      </c>
      <c r="Y167" s="137"/>
      <c r="Z167" s="137"/>
      <c r="AA167" s="137"/>
      <c r="AB167" s="137"/>
      <c r="AC167" s="137"/>
      <c r="AD167" s="137"/>
      <c r="AE167" s="137"/>
      <c r="AF167" s="137"/>
      <c r="AG167" s="136"/>
      <c r="AH167" s="138"/>
      <c r="AI167" s="131"/>
      <c r="AJ167" s="47"/>
      <c r="AK167" s="55"/>
      <c r="AL167" s="55"/>
    </row>
    <row r="168" spans="1:38" ht="31.95" customHeight="1" x14ac:dyDescent="0.3">
      <c r="A168" s="12">
        <v>44063</v>
      </c>
      <c r="B168" s="195">
        <v>0.6144560185185185</v>
      </c>
      <c r="C168" s="48"/>
      <c r="D168" s="48"/>
      <c r="E168" s="48">
        <v>60</v>
      </c>
      <c r="F168" s="48"/>
      <c r="G168" s="43">
        <v>19</v>
      </c>
      <c r="H168" s="49" t="s">
        <v>224</v>
      </c>
      <c r="I168" s="50" t="s">
        <v>230</v>
      </c>
      <c r="J168" s="51"/>
      <c r="K168" s="121">
        <v>3100</v>
      </c>
      <c r="L168" s="52">
        <v>3</v>
      </c>
      <c r="M168" s="53">
        <f>IFERROR(VLOOKUP(VLOOKUP(O168,O168,1,1),Categories!$K$4:$V$17,2+VLOOKUP(L168,L168,1,1)),"-"  )</f>
        <v>10</v>
      </c>
      <c r="N168" s="53" t="str">
        <f>IFERROR(VLOOKUP(VLOOKUP(O168,O168,1,1),Categories!$K$3:$V$17,7+VLOOKUP(L168,L168,1,1)),"-")</f>
        <v>1.25 rev.</v>
      </c>
      <c r="O168" s="54" t="s">
        <v>103</v>
      </c>
      <c r="P168" s="176" t="s">
        <v>0</v>
      </c>
      <c r="Q168" s="180" t="s">
        <v>0</v>
      </c>
      <c r="R168" s="132"/>
      <c r="S168" s="132"/>
      <c r="T168" s="139"/>
      <c r="U168" s="169"/>
      <c r="V168" s="135"/>
      <c r="W168" s="135"/>
      <c r="X168" s="136"/>
      <c r="Y168" s="137"/>
      <c r="Z168" s="137"/>
      <c r="AA168" s="137"/>
      <c r="AB168" s="137"/>
      <c r="AC168" s="137"/>
      <c r="AD168" s="137"/>
      <c r="AE168" s="137"/>
      <c r="AF168" s="137"/>
      <c r="AG168" s="136"/>
      <c r="AH168" s="138"/>
      <c r="AI168" s="131"/>
      <c r="AJ168" s="47"/>
      <c r="AK168" s="55"/>
      <c r="AL168" s="55"/>
    </row>
    <row r="169" spans="1:38" ht="31.95" customHeight="1" x14ac:dyDescent="0.3">
      <c r="A169" s="12">
        <v>44063</v>
      </c>
      <c r="B169" s="195">
        <v>0.61526620370370366</v>
      </c>
      <c r="C169" s="48"/>
      <c r="D169" s="48"/>
      <c r="E169" s="48">
        <f>IF(I169=Categories!$E$4,VLOOKUP(H169,Categories!$A$4:$C$13,3,1),VLOOKUP(I169,Categories!$E$4:$G$24,3,1))</f>
        <v>120</v>
      </c>
      <c r="F169" s="48"/>
      <c r="G169" s="43">
        <v>19</v>
      </c>
      <c r="H169" s="49" t="s">
        <v>44</v>
      </c>
      <c r="I169" s="44" t="s">
        <v>0</v>
      </c>
      <c r="J169" s="51"/>
      <c r="K169" s="121">
        <v>3100</v>
      </c>
      <c r="L169" s="52">
        <v>3</v>
      </c>
      <c r="M169" s="53">
        <f>IFERROR(VLOOKUP(VLOOKUP(O169,O169,1,1),Categories!$K$4:$V$17,2+VLOOKUP(L169,L169,1,1)),"-"  )</f>
        <v>10</v>
      </c>
      <c r="N169" s="53" t="str">
        <f>IFERROR(VLOOKUP(VLOOKUP(O169,O169,1,1),Categories!$K$3:$V$17,7+VLOOKUP(L169,L169,1,1)),"-")</f>
        <v>1.25 rev.</v>
      </c>
      <c r="O169" s="54" t="s">
        <v>103</v>
      </c>
      <c r="P169" s="176" t="s">
        <v>0</v>
      </c>
      <c r="Q169" s="180" t="s">
        <v>0</v>
      </c>
      <c r="R169" s="132"/>
      <c r="S169" s="132"/>
      <c r="T169" s="139"/>
      <c r="U169" s="169"/>
      <c r="V169" s="135">
        <v>4.5999999999999996</v>
      </c>
      <c r="W169" s="135">
        <v>5.2</v>
      </c>
      <c r="X169" s="136">
        <v>6.32</v>
      </c>
      <c r="Y169" s="137"/>
      <c r="Z169" s="137"/>
      <c r="AA169" s="137"/>
      <c r="AB169" s="137"/>
      <c r="AC169" s="137"/>
      <c r="AD169" s="137"/>
      <c r="AE169" s="137"/>
      <c r="AF169" s="137"/>
      <c r="AG169" s="136"/>
      <c r="AH169" s="138"/>
      <c r="AI169" s="131"/>
      <c r="AJ169" s="47"/>
      <c r="AK169" s="55"/>
      <c r="AL169" s="55"/>
    </row>
    <row r="170" spans="1:38" ht="31.95" customHeight="1" x14ac:dyDescent="0.3">
      <c r="A170" s="12">
        <v>44063</v>
      </c>
      <c r="B170" s="195">
        <v>0.61677083333333338</v>
      </c>
      <c r="C170" s="48"/>
      <c r="D170" s="48"/>
      <c r="E170" s="48">
        <v>60</v>
      </c>
      <c r="F170" s="48"/>
      <c r="G170" s="43">
        <v>19</v>
      </c>
      <c r="H170" s="49" t="s">
        <v>224</v>
      </c>
      <c r="I170" s="50" t="s">
        <v>230</v>
      </c>
      <c r="J170" s="51"/>
      <c r="K170" s="121">
        <v>3100</v>
      </c>
      <c r="L170" s="52">
        <v>4</v>
      </c>
      <c r="M170" s="53">
        <f>IFERROR(VLOOKUP(VLOOKUP(O170,O170,1,1),Categories!$K$4:$V$17,2+VLOOKUP(L170,L170,1,1)),"-"  )</f>
        <v>11</v>
      </c>
      <c r="N170" s="53" t="str">
        <f>IFERROR(VLOOKUP(VLOOKUP(O170,O170,1,1),Categories!$K$3:$V$17,7+VLOOKUP(L170,L170,1,1)),"-")</f>
        <v>1.5 rev.</v>
      </c>
      <c r="O170" s="54" t="s">
        <v>103</v>
      </c>
      <c r="P170" s="176" t="s">
        <v>0</v>
      </c>
      <c r="Q170" s="180" t="s">
        <v>0</v>
      </c>
      <c r="R170" s="132"/>
      <c r="S170" s="132"/>
      <c r="T170" s="139"/>
      <c r="U170" s="169"/>
      <c r="V170" s="135"/>
      <c r="W170" s="135"/>
      <c r="X170" s="136"/>
      <c r="Y170" s="137"/>
      <c r="Z170" s="137"/>
      <c r="AA170" s="137"/>
      <c r="AB170" s="137"/>
      <c r="AC170" s="137"/>
      <c r="AD170" s="137"/>
      <c r="AE170" s="137"/>
      <c r="AF170" s="137"/>
      <c r="AG170" s="136"/>
      <c r="AH170" s="138"/>
      <c r="AI170" s="131"/>
      <c r="AJ170" s="47"/>
      <c r="AK170" s="55"/>
      <c r="AL170" s="55"/>
    </row>
    <row r="171" spans="1:38" ht="31.95" customHeight="1" x14ac:dyDescent="0.3">
      <c r="A171" s="12">
        <v>44063</v>
      </c>
      <c r="B171" s="195">
        <v>0.61746527777777771</v>
      </c>
      <c r="C171" s="48"/>
      <c r="D171" s="48"/>
      <c r="E171" s="48">
        <f>IF(I171=Categories!$E$4,VLOOKUP(H171,Categories!$A$4:$C$13,3,1),VLOOKUP(I171,Categories!$E$4:$G$24,3,1))</f>
        <v>120</v>
      </c>
      <c r="F171" s="48"/>
      <c r="G171" s="43">
        <v>19</v>
      </c>
      <c r="H171" s="49" t="s">
        <v>44</v>
      </c>
      <c r="I171" s="44" t="s">
        <v>0</v>
      </c>
      <c r="J171" s="51"/>
      <c r="K171" s="121">
        <v>3100</v>
      </c>
      <c r="L171" s="52">
        <v>4</v>
      </c>
      <c r="M171" s="53">
        <f>IFERROR(VLOOKUP(VLOOKUP(O171,O171,1,1),Categories!$K$4:$V$17,2+VLOOKUP(L171,L171,1,1)),"-"  )</f>
        <v>11</v>
      </c>
      <c r="N171" s="53" t="str">
        <f>IFERROR(VLOOKUP(VLOOKUP(O171,O171,1,1),Categories!$K$3:$V$17,7+VLOOKUP(L171,L171,1,1)),"-")</f>
        <v>1.5 rev.</v>
      </c>
      <c r="O171" s="54" t="s">
        <v>103</v>
      </c>
      <c r="P171" s="176" t="s">
        <v>0</v>
      </c>
      <c r="Q171" s="180" t="s">
        <v>0</v>
      </c>
      <c r="R171" s="132"/>
      <c r="S171" s="132"/>
      <c r="T171" s="139"/>
      <c r="U171" s="169"/>
      <c r="V171" s="135">
        <v>4.2</v>
      </c>
      <c r="W171" s="135">
        <v>5</v>
      </c>
      <c r="X171" s="136">
        <v>5.84</v>
      </c>
      <c r="Y171" s="137"/>
      <c r="Z171" s="137"/>
      <c r="AA171" s="137"/>
      <c r="AB171" s="137"/>
      <c r="AC171" s="137"/>
      <c r="AD171" s="137"/>
      <c r="AE171" s="137"/>
      <c r="AF171" s="137"/>
      <c r="AG171" s="136"/>
      <c r="AH171" s="138"/>
      <c r="AI171" s="131"/>
      <c r="AJ171" s="47"/>
      <c r="AK171" s="55"/>
      <c r="AL171" s="55"/>
    </row>
    <row r="172" spans="1:38" ht="31.95" customHeight="1" x14ac:dyDescent="0.3">
      <c r="A172" s="12">
        <v>44063</v>
      </c>
      <c r="B172" s="195">
        <v>0.6191550925925926</v>
      </c>
      <c r="C172" s="48"/>
      <c r="D172" s="48"/>
      <c r="E172" s="48">
        <v>60</v>
      </c>
      <c r="F172" s="48"/>
      <c r="G172" s="43">
        <v>19</v>
      </c>
      <c r="H172" s="49" t="s">
        <v>224</v>
      </c>
      <c r="I172" s="50"/>
      <c r="J172" s="51"/>
      <c r="K172" s="121">
        <v>3100</v>
      </c>
      <c r="L172" s="52">
        <v>5</v>
      </c>
      <c r="M172" s="53">
        <f>IFERROR(VLOOKUP(VLOOKUP(O172,O172,1,1),Categories!$K$4:$V$17,2+VLOOKUP(L172,L172,1,1)),"-"  )</f>
        <v>12</v>
      </c>
      <c r="N172" s="53" t="str">
        <f>IFERROR(VLOOKUP(VLOOKUP(O172,O172,1,1),Categories!$K$3:$V$17,7+VLOOKUP(L172,L172,1,1)),"-")</f>
        <v>2.0 rev.</v>
      </c>
      <c r="O172" s="54" t="s">
        <v>103</v>
      </c>
      <c r="P172" s="176" t="s">
        <v>0</v>
      </c>
      <c r="Q172" s="180" t="s">
        <v>0</v>
      </c>
      <c r="R172" s="132"/>
      <c r="S172" s="132"/>
      <c r="T172" s="139"/>
      <c r="U172" s="169"/>
      <c r="V172" s="135"/>
      <c r="W172" s="135"/>
      <c r="X172" s="136"/>
      <c r="Y172" s="137"/>
      <c r="Z172" s="137"/>
      <c r="AA172" s="137"/>
      <c r="AB172" s="137"/>
      <c r="AC172" s="137"/>
      <c r="AD172" s="137"/>
      <c r="AE172" s="137"/>
      <c r="AF172" s="137"/>
      <c r="AG172" s="136"/>
      <c r="AH172" s="138"/>
      <c r="AI172" s="131"/>
      <c r="AJ172" s="47"/>
      <c r="AK172" s="55"/>
      <c r="AL172" s="55"/>
    </row>
    <row r="173" spans="1:38" ht="31.95" customHeight="1" x14ac:dyDescent="0.3">
      <c r="A173" s="12">
        <v>44063</v>
      </c>
      <c r="B173" s="195">
        <v>0.61989583333333331</v>
      </c>
      <c r="C173" s="48"/>
      <c r="D173" s="48"/>
      <c r="E173" s="48">
        <f>IF(I173=Categories!$E$4,VLOOKUP(H173,Categories!$A$4:$C$13,3,1),VLOOKUP(I173,Categories!$E$4:$G$24,3,1))</f>
        <v>120</v>
      </c>
      <c r="F173" s="48"/>
      <c r="G173" s="43">
        <v>19</v>
      </c>
      <c r="H173" s="49" t="s">
        <v>44</v>
      </c>
      <c r="I173" s="44" t="s">
        <v>0</v>
      </c>
      <c r="J173" s="51"/>
      <c r="K173" s="121">
        <v>3100</v>
      </c>
      <c r="L173" s="52">
        <v>5</v>
      </c>
      <c r="M173" s="53">
        <f>IFERROR(VLOOKUP(VLOOKUP(O173,O173,1,1),Categories!$K$4:$V$17,2+VLOOKUP(L173,L173,1,1)),"-"  )</f>
        <v>12</v>
      </c>
      <c r="N173" s="53" t="str">
        <f>IFERROR(VLOOKUP(VLOOKUP(O173,O173,1,1),Categories!$K$3:$V$17,7+VLOOKUP(L173,L173,1,1)),"-")</f>
        <v>2.0 rev.</v>
      </c>
      <c r="O173" s="54" t="s">
        <v>103</v>
      </c>
      <c r="P173" s="176" t="s">
        <v>0</v>
      </c>
      <c r="Q173" s="180" t="s">
        <v>0</v>
      </c>
      <c r="R173" s="132"/>
      <c r="S173" s="132"/>
      <c r="T173" s="139"/>
      <c r="U173" s="169"/>
      <c r="V173" s="135">
        <v>2.5</v>
      </c>
      <c r="W173" s="135">
        <v>4</v>
      </c>
      <c r="X173" s="136">
        <v>4.04</v>
      </c>
      <c r="Y173" s="137"/>
      <c r="Z173" s="137"/>
      <c r="AA173" s="137"/>
      <c r="AB173" s="137"/>
      <c r="AC173" s="137"/>
      <c r="AD173" s="137"/>
      <c r="AE173" s="137"/>
      <c r="AF173" s="137"/>
      <c r="AG173" s="136"/>
      <c r="AH173" s="138"/>
      <c r="AI173" s="131"/>
      <c r="AJ173" s="47"/>
      <c r="AK173" s="55"/>
      <c r="AL173" s="55"/>
    </row>
    <row r="174" spans="1:38" ht="31.95" customHeight="1" x14ac:dyDescent="0.3">
      <c r="A174" s="12">
        <v>44063</v>
      </c>
      <c r="B174" s="195">
        <v>0.6213657407407408</v>
      </c>
      <c r="C174" s="48"/>
      <c r="D174" s="48"/>
      <c r="E174" s="48">
        <v>60</v>
      </c>
      <c r="F174" s="48"/>
      <c r="G174" s="43">
        <v>19</v>
      </c>
      <c r="H174" s="49" t="s">
        <v>224</v>
      </c>
      <c r="I174" s="50" t="s">
        <v>231</v>
      </c>
      <c r="J174" s="51"/>
      <c r="K174" s="121">
        <v>3100</v>
      </c>
      <c r="L174" s="52">
        <v>1</v>
      </c>
      <c r="M174" s="53">
        <f>IFERROR(VLOOKUP(VLOOKUP(O174,O174,1,1),Categories!$K$4:$V$17,2+VLOOKUP(L174,L174,1,1)),"-"  )</f>
        <v>2.33</v>
      </c>
      <c r="N174" s="53" t="str">
        <f>IFERROR(VLOOKUP(VLOOKUP(O174,O174,1,1),Categories!$K$3:$V$17,7+VLOOKUP(L174,L174,1,1)),"-")</f>
        <v>0 rev.</v>
      </c>
      <c r="O174" s="54" t="s">
        <v>103</v>
      </c>
      <c r="P174" s="176" t="s">
        <v>0</v>
      </c>
      <c r="Q174" s="180" t="s">
        <v>0</v>
      </c>
      <c r="R174" s="132"/>
      <c r="S174" s="132"/>
      <c r="T174" s="139"/>
      <c r="U174" s="169"/>
      <c r="V174" s="135"/>
      <c r="W174" s="135"/>
      <c r="X174" s="136"/>
      <c r="Y174" s="137"/>
      <c r="Z174" s="137"/>
      <c r="AA174" s="137"/>
      <c r="AB174" s="137"/>
      <c r="AC174" s="137"/>
      <c r="AD174" s="137"/>
      <c r="AE174" s="137"/>
      <c r="AF174" s="137"/>
      <c r="AG174" s="136"/>
      <c r="AH174" s="138"/>
      <c r="AI174" s="131"/>
      <c r="AJ174" s="47"/>
      <c r="AK174" s="55"/>
      <c r="AL174" s="55"/>
    </row>
    <row r="175" spans="1:38" ht="31.95" customHeight="1" x14ac:dyDescent="0.3">
      <c r="A175" s="12">
        <v>44063</v>
      </c>
      <c r="B175" s="195">
        <v>0.62204861111111109</v>
      </c>
      <c r="C175" s="48"/>
      <c r="D175" s="48"/>
      <c r="E175" s="48">
        <f>IF(I175=Categories!$E$4,VLOOKUP(H175,Categories!$A$4:$C$13,3,1),VLOOKUP(I175,Categories!$E$4:$G$24,3,1))</f>
        <v>120</v>
      </c>
      <c r="F175" s="48"/>
      <c r="G175" s="43">
        <v>19</v>
      </c>
      <c r="H175" s="49" t="s">
        <v>228</v>
      </c>
      <c r="I175" s="44" t="s">
        <v>0</v>
      </c>
      <c r="J175" s="51"/>
      <c r="K175" s="121">
        <v>3100</v>
      </c>
      <c r="L175" s="52">
        <v>1</v>
      </c>
      <c r="M175" s="53">
        <f>IFERROR(VLOOKUP(VLOOKUP(O175,O175,1,1),Categories!$K$4:$V$17,2+VLOOKUP(L175,L175,1,1)),"-"  )</f>
        <v>2.33</v>
      </c>
      <c r="N175" s="53" t="str">
        <f>IFERROR(VLOOKUP(VLOOKUP(O175,O175,1,1),Categories!$K$3:$V$17,7+VLOOKUP(L175,L175,1,1)),"-")</f>
        <v>0 rev.</v>
      </c>
      <c r="O175" s="54" t="s">
        <v>103</v>
      </c>
      <c r="P175" s="176" t="s">
        <v>0</v>
      </c>
      <c r="Q175" s="180" t="s">
        <v>0</v>
      </c>
      <c r="R175" s="132"/>
      <c r="S175" s="132"/>
      <c r="T175" s="139"/>
      <c r="U175" s="169"/>
      <c r="V175" s="135">
        <v>5.2</v>
      </c>
      <c r="W175" s="135">
        <v>5.5</v>
      </c>
      <c r="X175" s="136">
        <v>7.02</v>
      </c>
      <c r="Y175" s="137"/>
      <c r="Z175" s="137"/>
      <c r="AA175" s="137"/>
      <c r="AB175" s="137"/>
      <c r="AC175" s="137"/>
      <c r="AD175" s="137"/>
      <c r="AE175" s="137"/>
      <c r="AF175" s="137"/>
      <c r="AG175" s="136"/>
      <c r="AH175" s="138"/>
      <c r="AI175" s="131"/>
      <c r="AJ175" s="47"/>
      <c r="AK175" s="55"/>
      <c r="AL175" s="55"/>
    </row>
    <row r="176" spans="1:38" ht="31.95" customHeight="1" thickBot="1" x14ac:dyDescent="0.35">
      <c r="A176" s="167">
        <v>44063</v>
      </c>
      <c r="B176" s="194">
        <v>0.62355324074074081</v>
      </c>
      <c r="C176" s="48"/>
      <c r="D176" s="48"/>
      <c r="E176" s="48" t="str">
        <f>IF(I176=Categories!$E$4,VLOOKUP(H176,Categories!$A$4:$C$13,3,1),VLOOKUP(I176,Categories!$E$4:$G$24,3,1))</f>
        <v>-</v>
      </c>
      <c r="F176" s="48"/>
      <c r="G176" s="43" t="s">
        <v>0</v>
      </c>
      <c r="H176" s="49" t="s">
        <v>224</v>
      </c>
      <c r="I176" s="50" t="s">
        <v>61</v>
      </c>
      <c r="J176" s="51"/>
      <c r="K176" s="121">
        <v>3100</v>
      </c>
      <c r="L176" s="52" t="s">
        <v>0</v>
      </c>
      <c r="M176" s="53" t="str">
        <f>IFERROR(VLOOKUP(VLOOKUP(O176,O176,1,1),Categories!$K$4:$V$17,2+VLOOKUP(L176,L176,1,1)),"-"  )</f>
        <v>-</v>
      </c>
      <c r="N176" s="53" t="str">
        <f>IFERROR(VLOOKUP(VLOOKUP(O176,O176,1,1),Categories!$K$3:$V$17,7+VLOOKUP(L176,L176,1,1)),"-")</f>
        <v>-</v>
      </c>
      <c r="O176" s="54" t="s">
        <v>0</v>
      </c>
      <c r="P176" s="176" t="s">
        <v>0</v>
      </c>
      <c r="Q176" s="180" t="s">
        <v>0</v>
      </c>
      <c r="R176" s="169"/>
      <c r="S176" s="169"/>
      <c r="T176" s="168"/>
      <c r="U176" s="169"/>
      <c r="V176" s="170"/>
      <c r="W176" s="170"/>
      <c r="X176" s="171"/>
      <c r="Y176" s="172"/>
      <c r="Z176" s="172"/>
      <c r="AA176" s="172"/>
      <c r="AB176" s="172"/>
      <c r="AC176" s="172"/>
      <c r="AD176" s="172"/>
      <c r="AE176" s="172"/>
      <c r="AF176" s="172"/>
      <c r="AG176" s="171"/>
      <c r="AH176" s="173"/>
      <c r="AI176" s="131"/>
      <c r="AJ176" s="55"/>
      <c r="AK176" s="55"/>
      <c r="AL176" s="55"/>
    </row>
    <row r="177" spans="1:38" ht="31.95" customHeight="1" thickBot="1" x14ac:dyDescent="0.35">
      <c r="A177" s="167">
        <v>44063</v>
      </c>
      <c r="B177" s="194">
        <v>0.62400462962962966</v>
      </c>
      <c r="C177" s="48"/>
      <c r="D177" s="48"/>
      <c r="E177" s="48">
        <f>IF(I177=Categories!$E$4,VLOOKUP(H177,Categories!$A$4:$C$13,3,1),VLOOKUP(I177,Categories!$E$4:$G$24,3,1))</f>
        <v>120</v>
      </c>
      <c r="F177" s="48"/>
      <c r="G177" s="43">
        <v>20</v>
      </c>
      <c r="H177" s="49" t="s">
        <v>44</v>
      </c>
      <c r="I177" s="50" t="s">
        <v>0</v>
      </c>
      <c r="J177" s="51"/>
      <c r="K177" s="121">
        <v>3100</v>
      </c>
      <c r="L177" s="52" t="s">
        <v>0</v>
      </c>
      <c r="M177" s="53" t="str">
        <f>IFERROR(VLOOKUP(VLOOKUP(O177,O177,1,1),Categories!$K$4:$V$17,2+VLOOKUP(L177,L177,1,1)),"-"  )</f>
        <v>-</v>
      </c>
      <c r="N177" s="53" t="str">
        <f>IFERROR(VLOOKUP(VLOOKUP(O177,O177,1,1),Categories!$K$3:$V$17,7+VLOOKUP(L177,L177,1,1)),"-")</f>
        <v>-</v>
      </c>
      <c r="O177" s="54" t="s">
        <v>0</v>
      </c>
      <c r="P177" s="176" t="s">
        <v>0</v>
      </c>
      <c r="Q177" s="180" t="s">
        <v>0</v>
      </c>
      <c r="R177" s="169"/>
      <c r="S177" s="169"/>
      <c r="T177" s="168"/>
      <c r="U177" s="169"/>
      <c r="V177" s="170">
        <v>5.2</v>
      </c>
      <c r="W177" s="170">
        <v>5.5</v>
      </c>
      <c r="X177" s="179">
        <v>7.05</v>
      </c>
      <c r="Y177" s="172"/>
      <c r="Z177" s="172"/>
      <c r="AA177" s="172"/>
      <c r="AB177" s="172"/>
      <c r="AC177" s="172"/>
      <c r="AD177" s="172"/>
      <c r="AE177" s="172"/>
      <c r="AF177" s="172"/>
      <c r="AG177" s="171"/>
      <c r="AH177" s="173"/>
      <c r="AI177" s="131"/>
      <c r="AJ177" s="55"/>
      <c r="AK177" s="55"/>
      <c r="AL177" s="55" t="s">
        <v>312</v>
      </c>
    </row>
    <row r="178" spans="1:38" ht="31.95" customHeight="1" thickBot="1" x14ac:dyDescent="0.35">
      <c r="A178" s="167">
        <v>44063</v>
      </c>
      <c r="B178" s="194">
        <v>0.62561342592592595</v>
      </c>
      <c r="C178" s="48"/>
      <c r="D178" s="48"/>
      <c r="E178" s="48">
        <f>IF(I178=Categories!$E$4,VLOOKUP(H178,Categories!$A$4:$C$13,3,1),VLOOKUP(I178,Categories!$E$4:$G$24,3,1))</f>
        <v>45</v>
      </c>
      <c r="F178" s="48"/>
      <c r="G178" s="43">
        <v>20</v>
      </c>
      <c r="H178" s="49" t="s">
        <v>224</v>
      </c>
      <c r="I178" s="50" t="s">
        <v>2</v>
      </c>
      <c r="J178" s="51"/>
      <c r="K178" s="121">
        <v>2800</v>
      </c>
      <c r="L178" s="52" t="s">
        <v>0</v>
      </c>
      <c r="M178" s="53" t="str">
        <f>IFERROR(VLOOKUP(VLOOKUP(O178,O178,1,1),Categories!$K$4:$V$17,2+VLOOKUP(L178,L178,1,1)),"-"  )</f>
        <v>-</v>
      </c>
      <c r="N178" s="53" t="str">
        <f>IFERROR(VLOOKUP(VLOOKUP(O178,O178,1,1),Categories!$K$3:$V$17,7+VLOOKUP(L178,L178,1,1)),"-")</f>
        <v>-</v>
      </c>
      <c r="O178" s="54" t="s">
        <v>0</v>
      </c>
      <c r="P178" s="176" t="s">
        <v>0</v>
      </c>
      <c r="Q178" s="180" t="s">
        <v>0</v>
      </c>
      <c r="R178" s="169"/>
      <c r="S178" s="169"/>
      <c r="T178" s="168"/>
      <c r="U178" s="169"/>
      <c r="V178" s="170"/>
      <c r="W178" s="170"/>
      <c r="X178" s="171"/>
      <c r="Y178" s="172"/>
      <c r="Z178" s="172"/>
      <c r="AA178" s="172"/>
      <c r="AB178" s="172"/>
      <c r="AC178" s="172"/>
      <c r="AD178" s="172"/>
      <c r="AE178" s="172"/>
      <c r="AF178" s="172"/>
      <c r="AG178" s="171"/>
      <c r="AH178" s="173"/>
      <c r="AI178" s="131"/>
      <c r="AJ178" s="55"/>
      <c r="AK178" s="55"/>
      <c r="AL178" s="55" t="s">
        <v>311</v>
      </c>
    </row>
    <row r="179" spans="1:38" ht="31.95" customHeight="1" thickBot="1" x14ac:dyDescent="0.35">
      <c r="A179" s="167">
        <v>44063</v>
      </c>
      <c r="B179" s="194">
        <v>0.62675925925925924</v>
      </c>
      <c r="C179" s="48"/>
      <c r="D179" s="48"/>
      <c r="E179" s="48">
        <f>IF(I179=Categories!$E$4,VLOOKUP(H179,Categories!$A$4:$C$13,3,1),VLOOKUP(I179,Categories!$E$4:$G$24,3,1))</f>
        <v>120</v>
      </c>
      <c r="F179" s="48"/>
      <c r="G179" s="43">
        <v>20</v>
      </c>
      <c r="H179" s="49" t="s">
        <v>1</v>
      </c>
      <c r="I179" s="50" t="s">
        <v>0</v>
      </c>
      <c r="J179" s="51"/>
      <c r="K179" s="121">
        <v>2800</v>
      </c>
      <c r="L179" s="52" t="s">
        <v>0</v>
      </c>
      <c r="M179" s="53" t="str">
        <f>IFERROR(VLOOKUP(VLOOKUP(O179,O179,1,1),Categories!$K$4:$V$17,2+VLOOKUP(L179,L179,1,1)),"-"  )</f>
        <v>-</v>
      </c>
      <c r="N179" s="53" t="str">
        <f>IFERROR(VLOOKUP(VLOOKUP(O179,O179,1,1),Categories!$K$3:$V$17,7+VLOOKUP(L179,L179,1,1)),"-")</f>
        <v>-</v>
      </c>
      <c r="O179" s="54" t="s">
        <v>0</v>
      </c>
      <c r="P179" s="176" t="s">
        <v>0</v>
      </c>
      <c r="Q179" s="180" t="s">
        <v>0</v>
      </c>
      <c r="R179" s="169"/>
      <c r="S179" s="169"/>
      <c r="T179" s="168"/>
      <c r="U179" s="169"/>
      <c r="V179" s="170">
        <v>4.4000000000000004</v>
      </c>
      <c r="W179" s="170">
        <v>4</v>
      </c>
      <c r="X179" s="179">
        <v>6.31</v>
      </c>
      <c r="Y179" s="172"/>
      <c r="Z179" s="172"/>
      <c r="AA179" s="172"/>
      <c r="AB179" s="172"/>
      <c r="AC179" s="172"/>
      <c r="AD179" s="172"/>
      <c r="AE179" s="172"/>
      <c r="AF179" s="172"/>
      <c r="AG179" s="171"/>
      <c r="AH179" s="173"/>
      <c r="AI179" s="131"/>
      <c r="AJ179" s="55"/>
      <c r="AK179" s="55"/>
      <c r="AL179" s="55" t="s">
        <v>313</v>
      </c>
    </row>
    <row r="180" spans="1:38" ht="31.95" customHeight="1" thickBot="1" x14ac:dyDescent="0.35">
      <c r="A180" s="167">
        <v>44063</v>
      </c>
      <c r="B180" s="194">
        <v>0.62814814814814812</v>
      </c>
      <c r="C180" s="48"/>
      <c r="D180" s="48"/>
      <c r="E180" s="48">
        <f>IF(I180=Categories!$E$4,VLOOKUP(H180,Categories!$A$4:$C$13,3,1),VLOOKUP(I180,Categories!$E$4:$G$24,3,1))</f>
        <v>45</v>
      </c>
      <c r="F180" s="48"/>
      <c r="G180" s="43">
        <v>20</v>
      </c>
      <c r="H180" s="49" t="s">
        <v>224</v>
      </c>
      <c r="I180" s="50" t="s">
        <v>2</v>
      </c>
      <c r="J180" s="51"/>
      <c r="K180" s="121">
        <v>2500</v>
      </c>
      <c r="L180" s="52" t="s">
        <v>0</v>
      </c>
      <c r="M180" s="53" t="str">
        <f>IFERROR(VLOOKUP(VLOOKUP(O180,O180,1,1),Categories!$K$4:$V$17,2+VLOOKUP(L180,L180,1,1)),"-"  )</f>
        <v>-</v>
      </c>
      <c r="N180" s="53" t="str">
        <f>IFERROR(VLOOKUP(VLOOKUP(O180,O180,1,1),Categories!$K$3:$V$17,7+VLOOKUP(L180,L180,1,1)),"-")</f>
        <v>-</v>
      </c>
      <c r="O180" s="54" t="s">
        <v>0</v>
      </c>
      <c r="P180" s="176" t="s">
        <v>0</v>
      </c>
      <c r="Q180" s="180" t="s">
        <v>0</v>
      </c>
      <c r="R180" s="169"/>
      <c r="S180" s="169"/>
      <c r="T180" s="168"/>
      <c r="U180" s="169"/>
      <c r="V180" s="170"/>
      <c r="W180" s="170"/>
      <c r="X180" s="171"/>
      <c r="Y180" s="172"/>
      <c r="Z180" s="172"/>
      <c r="AA180" s="172"/>
      <c r="AB180" s="172"/>
      <c r="AC180" s="172"/>
      <c r="AD180" s="172"/>
      <c r="AE180" s="172"/>
      <c r="AF180" s="172"/>
      <c r="AG180" s="171"/>
      <c r="AH180" s="173"/>
      <c r="AI180" s="131"/>
      <c r="AJ180" s="55"/>
      <c r="AK180" s="55"/>
      <c r="AL180" s="55" t="s">
        <v>314</v>
      </c>
    </row>
    <row r="181" spans="1:38" ht="31.95" customHeight="1" thickBot="1" x14ac:dyDescent="0.35">
      <c r="A181" s="167">
        <v>44063</v>
      </c>
      <c r="B181" s="194">
        <v>0.62866898148148154</v>
      </c>
      <c r="C181" s="48"/>
      <c r="D181" s="48"/>
      <c r="E181" s="48">
        <f>IF(I181=Categories!$E$4,VLOOKUP(H181,Categories!$A$4:$C$13,3,1),VLOOKUP(I181,Categories!$E$4:$G$24,3,1))</f>
        <v>120</v>
      </c>
      <c r="F181" s="48"/>
      <c r="G181" s="43">
        <v>20</v>
      </c>
      <c r="H181" s="49" t="s">
        <v>44</v>
      </c>
      <c r="I181" s="50" t="s">
        <v>0</v>
      </c>
      <c r="J181" s="51"/>
      <c r="K181" s="121">
        <v>2500</v>
      </c>
      <c r="L181" s="52" t="s">
        <v>0</v>
      </c>
      <c r="M181" s="53" t="str">
        <f>IFERROR(VLOOKUP(VLOOKUP(O181,O181,1,1),Categories!$K$4:$V$17,2+VLOOKUP(L181,L181,1,1)),"-"  )</f>
        <v>-</v>
      </c>
      <c r="N181" s="53" t="str">
        <f>IFERROR(VLOOKUP(VLOOKUP(O181,O181,1,1),Categories!$K$3:$V$17,7+VLOOKUP(L181,L181,1,1)),"-")</f>
        <v>-</v>
      </c>
      <c r="O181" s="54" t="s">
        <v>0</v>
      </c>
      <c r="P181" s="176" t="s">
        <v>0</v>
      </c>
      <c r="Q181" s="180" t="s">
        <v>0</v>
      </c>
      <c r="R181" s="169"/>
      <c r="S181" s="169"/>
      <c r="T181" s="168"/>
      <c r="U181" s="169"/>
      <c r="V181" s="170">
        <v>3.8</v>
      </c>
      <c r="W181" s="170">
        <v>2.9</v>
      </c>
      <c r="X181" s="179">
        <v>5.59</v>
      </c>
      <c r="Y181" s="172"/>
      <c r="Z181" s="172"/>
      <c r="AA181" s="172"/>
      <c r="AB181" s="172"/>
      <c r="AC181" s="172"/>
      <c r="AD181" s="172"/>
      <c r="AE181" s="172"/>
      <c r="AF181" s="172"/>
      <c r="AG181" s="171"/>
      <c r="AH181" s="173"/>
      <c r="AI181" s="131"/>
      <c r="AJ181" s="55"/>
      <c r="AK181" s="55"/>
      <c r="AL181" s="55" t="s">
        <v>310</v>
      </c>
    </row>
    <row r="182" spans="1:38" ht="31.95" customHeight="1" thickBot="1" x14ac:dyDescent="0.35">
      <c r="A182" s="167">
        <v>44063</v>
      </c>
      <c r="B182" s="194">
        <v>0.62998842592592597</v>
      </c>
      <c r="C182" s="48"/>
      <c r="D182" s="48"/>
      <c r="E182" s="48">
        <f>IF(I182=Categories!$E$4,VLOOKUP(H182,Categories!$A$4:$C$13,3,1),VLOOKUP(I182,Categories!$E$4:$G$24,3,1))</f>
        <v>45</v>
      </c>
      <c r="F182" s="48"/>
      <c r="G182" s="43">
        <v>20</v>
      </c>
      <c r="H182" s="49" t="s">
        <v>224</v>
      </c>
      <c r="I182" s="50" t="s">
        <v>2</v>
      </c>
      <c r="J182" s="51"/>
      <c r="K182" s="121">
        <v>2200</v>
      </c>
      <c r="L182" s="52" t="s">
        <v>0</v>
      </c>
      <c r="M182" s="53" t="str">
        <f>IFERROR(VLOOKUP(VLOOKUP(O182,O182,1,1),Categories!$K$4:$V$17,2+VLOOKUP(L182,L182,1,1)),"-"  )</f>
        <v>-</v>
      </c>
      <c r="N182" s="53" t="str">
        <f>IFERROR(VLOOKUP(VLOOKUP(O182,O182,1,1),Categories!$K$3:$V$17,7+VLOOKUP(L182,L182,1,1)),"-")</f>
        <v>-</v>
      </c>
      <c r="O182" s="54" t="s">
        <v>0</v>
      </c>
      <c r="P182" s="176" t="s">
        <v>0</v>
      </c>
      <c r="Q182" s="180" t="s">
        <v>0</v>
      </c>
      <c r="R182" s="169"/>
      <c r="S182" s="169"/>
      <c r="T182" s="168"/>
      <c r="U182" s="169"/>
      <c r="V182" s="170"/>
      <c r="W182" s="170"/>
      <c r="X182" s="171"/>
      <c r="Y182" s="172"/>
      <c r="Z182" s="172"/>
      <c r="AA182" s="172"/>
      <c r="AB182" s="172"/>
      <c r="AC182" s="172"/>
      <c r="AD182" s="172"/>
      <c r="AE182" s="172"/>
      <c r="AF182" s="172"/>
      <c r="AG182" s="171"/>
      <c r="AH182" s="173"/>
      <c r="AI182" s="131"/>
      <c r="AJ182" s="55"/>
      <c r="AK182" s="55"/>
      <c r="AL182" s="55" t="s">
        <v>310</v>
      </c>
    </row>
    <row r="183" spans="1:38" ht="31.95" customHeight="1" thickBot="1" x14ac:dyDescent="0.35">
      <c r="A183" s="167">
        <v>44063</v>
      </c>
      <c r="B183" s="194">
        <v>0.63050925925925927</v>
      </c>
      <c r="C183" s="48"/>
      <c r="D183" s="48"/>
      <c r="E183" s="48">
        <f>IF(I183=Categories!$E$4,VLOOKUP(H183,Categories!$A$4:$C$13,3,1),VLOOKUP(I183,Categories!$E$4:$G$24,3,1))</f>
        <v>120</v>
      </c>
      <c r="F183" s="48"/>
      <c r="G183" s="43">
        <v>20</v>
      </c>
      <c r="H183" s="49" t="s">
        <v>44</v>
      </c>
      <c r="I183" s="50" t="s">
        <v>0</v>
      </c>
      <c r="J183" s="51"/>
      <c r="K183" s="121">
        <v>2200</v>
      </c>
      <c r="L183" s="52" t="s">
        <v>0</v>
      </c>
      <c r="M183" s="53" t="str">
        <f>IFERROR(VLOOKUP(VLOOKUP(O183,O183,1,1),Categories!$K$4:$V$17,2+VLOOKUP(L183,L183,1,1)),"-"  )</f>
        <v>-</v>
      </c>
      <c r="N183" s="53" t="str">
        <f>IFERROR(VLOOKUP(VLOOKUP(O183,O183,1,1),Categories!$K$3:$V$17,7+VLOOKUP(L183,L183,1,1)),"-")</f>
        <v>-</v>
      </c>
      <c r="O183" s="54" t="s">
        <v>0</v>
      </c>
      <c r="P183" s="176" t="s">
        <v>0</v>
      </c>
      <c r="Q183" s="180" t="s">
        <v>0</v>
      </c>
      <c r="R183" s="169"/>
      <c r="S183" s="169"/>
      <c r="T183" s="168"/>
      <c r="U183" s="169"/>
      <c r="V183" s="170">
        <v>3.2</v>
      </c>
      <c r="W183" s="170">
        <v>2.1</v>
      </c>
      <c r="X183" s="179">
        <v>4.8600000000000003</v>
      </c>
      <c r="Y183" s="172"/>
      <c r="Z183" s="172"/>
      <c r="AA183" s="172"/>
      <c r="AB183" s="172"/>
      <c r="AC183" s="172"/>
      <c r="AD183" s="172"/>
      <c r="AE183" s="172"/>
      <c r="AF183" s="172"/>
      <c r="AG183" s="171"/>
      <c r="AH183" s="173"/>
      <c r="AI183" s="131"/>
      <c r="AJ183" s="55"/>
      <c r="AK183" s="55"/>
      <c r="AL183" s="55" t="s">
        <v>310</v>
      </c>
    </row>
    <row r="184" spans="1:38" ht="31.95" customHeight="1" x14ac:dyDescent="0.3">
      <c r="A184" s="167">
        <v>44063</v>
      </c>
      <c r="B184" s="194">
        <v>0.63189814814814815</v>
      </c>
      <c r="C184" s="48"/>
      <c r="D184" s="48"/>
      <c r="E184" s="48" t="str">
        <f>IF(I184=Categories!$E$4,VLOOKUP(H184,Categories!$A$4:$C$13,3,1),VLOOKUP(I184,Categories!$E$4:$G$24,3,1))</f>
        <v>-</v>
      </c>
      <c r="F184" s="48"/>
      <c r="G184" s="43" t="s">
        <v>0</v>
      </c>
      <c r="H184" s="49" t="s">
        <v>3</v>
      </c>
      <c r="I184" s="50" t="s">
        <v>0</v>
      </c>
      <c r="J184" s="51"/>
      <c r="K184" s="121">
        <v>2200</v>
      </c>
      <c r="L184" s="52" t="s">
        <v>0</v>
      </c>
      <c r="M184" s="53" t="str">
        <f>IFERROR(VLOOKUP(VLOOKUP(O184,O184,1,1),Categories!$K$4:$V$17,2+VLOOKUP(L184,L184,1,1)),"-"  )</f>
        <v>-</v>
      </c>
      <c r="N184" s="53" t="str">
        <f>IFERROR(VLOOKUP(VLOOKUP(O184,O184,1,1),Categories!$K$3:$V$17,7+VLOOKUP(L184,L184,1,1)),"-")</f>
        <v>-</v>
      </c>
      <c r="O184" s="54" t="s">
        <v>0</v>
      </c>
      <c r="P184" s="176" t="s">
        <v>0</v>
      </c>
      <c r="Q184" s="180" t="s">
        <v>0</v>
      </c>
      <c r="R184" s="169"/>
      <c r="S184" s="169"/>
      <c r="T184" s="168"/>
      <c r="U184" s="169"/>
      <c r="V184" s="170"/>
      <c r="W184" s="170"/>
      <c r="X184" s="171"/>
      <c r="Y184" s="172"/>
      <c r="Z184" s="172"/>
      <c r="AA184" s="172"/>
      <c r="AB184" s="172"/>
      <c r="AC184" s="172"/>
      <c r="AD184" s="172"/>
      <c r="AE184" s="172"/>
      <c r="AF184" s="172"/>
      <c r="AG184" s="171"/>
      <c r="AH184" s="173"/>
      <c r="AI184" s="131"/>
      <c r="AJ184" s="55"/>
      <c r="AK184" s="55"/>
      <c r="AL184" s="55"/>
    </row>
    <row r="185" spans="1:38" ht="31.95" customHeight="1" x14ac:dyDescent="0.3">
      <c r="A185" s="167">
        <v>44063</v>
      </c>
      <c r="B185" s="194">
        <v>0.65879629629629632</v>
      </c>
      <c r="C185" s="48"/>
      <c r="D185" s="48"/>
      <c r="E185" s="48">
        <f>IF(I185=Categories!$E$4,VLOOKUP(H185,Categories!$A$4:$C$13,3,1),VLOOKUP(I185,Categories!$E$4:$G$24,3,1))</f>
        <v>60</v>
      </c>
      <c r="F185" s="48"/>
      <c r="G185" s="43" t="s">
        <v>0</v>
      </c>
      <c r="H185" s="49" t="s">
        <v>224</v>
      </c>
      <c r="I185" s="50" t="s">
        <v>60</v>
      </c>
      <c r="J185" s="51"/>
      <c r="K185" s="121">
        <v>2200</v>
      </c>
      <c r="L185" s="52" t="s">
        <v>0</v>
      </c>
      <c r="M185" s="53" t="str">
        <f>IFERROR(VLOOKUP(VLOOKUP(O185,O185,1,1),Categories!$K$4:$V$17,2+VLOOKUP(L185,L185,1,1)),"-"  )</f>
        <v>-</v>
      </c>
      <c r="N185" s="53" t="str">
        <f>IFERROR(VLOOKUP(VLOOKUP(O185,O185,1,1),Categories!$K$3:$V$17,7+VLOOKUP(L185,L185,1,1)),"-")</f>
        <v>-</v>
      </c>
      <c r="O185" s="54" t="s">
        <v>0</v>
      </c>
      <c r="P185" s="178">
        <v>20</v>
      </c>
      <c r="Q185" s="180">
        <f>IF(P185="-","-",$X$183*(1-P185/100))</f>
        <v>3.8880000000000003</v>
      </c>
      <c r="R185" s="169"/>
      <c r="S185" s="169"/>
      <c r="T185" s="168"/>
      <c r="U185" s="169"/>
      <c r="V185" s="170"/>
      <c r="W185" s="170"/>
      <c r="X185" s="171"/>
      <c r="Y185" s="172"/>
      <c r="Z185" s="172"/>
      <c r="AA185" s="172"/>
      <c r="AB185" s="172"/>
      <c r="AC185" s="172"/>
      <c r="AD185" s="172"/>
      <c r="AE185" s="172"/>
      <c r="AF185" s="172"/>
      <c r="AG185" s="171"/>
      <c r="AH185" s="173"/>
      <c r="AI185" s="131" t="s">
        <v>234</v>
      </c>
      <c r="AJ185" s="55" t="s">
        <v>309</v>
      </c>
      <c r="AK185" s="55"/>
      <c r="AL185" s="55" t="s">
        <v>269</v>
      </c>
    </row>
    <row r="186" spans="1:38" ht="31.95" customHeight="1" x14ac:dyDescent="0.3">
      <c r="A186" s="12">
        <v>44063</v>
      </c>
      <c r="B186" s="195">
        <v>0.65894675925925927</v>
      </c>
      <c r="C186" s="48"/>
      <c r="D186" s="48"/>
      <c r="E186" s="48">
        <f>IF(I186=Categories!$E$4,VLOOKUP(H186,Categories!$A$4:$C$13,3,1),VLOOKUP(I186,Categories!$E$4:$G$24,3,1))</f>
        <v>120</v>
      </c>
      <c r="F186" s="48"/>
      <c r="G186" s="43">
        <v>21</v>
      </c>
      <c r="H186" s="49" t="s">
        <v>44</v>
      </c>
      <c r="I186" s="44" t="s">
        <v>0</v>
      </c>
      <c r="J186" s="51"/>
      <c r="K186" s="121">
        <v>2200</v>
      </c>
      <c r="L186" s="52" t="s">
        <v>0</v>
      </c>
      <c r="M186" s="53" t="str">
        <f>IFERROR(VLOOKUP(VLOOKUP(O186,O186,1,1),Categories!$K$4:$V$17,2+VLOOKUP(L186,L186,1,1)),"-"  )</f>
        <v>-</v>
      </c>
      <c r="N186" s="53" t="str">
        <f>IFERROR(VLOOKUP(VLOOKUP(O186,O186,1,1),Categories!$K$3:$V$17,7+VLOOKUP(L186,L186,1,1)),"-")</f>
        <v>-</v>
      </c>
      <c r="O186" s="54" t="s">
        <v>0</v>
      </c>
      <c r="P186" s="176">
        <v>20</v>
      </c>
      <c r="Q186" s="180">
        <f>IF(P186="-","-",$X$183*(1-P186/100))</f>
        <v>3.8880000000000003</v>
      </c>
      <c r="R186" s="132"/>
      <c r="S186" s="132"/>
      <c r="T186" s="139"/>
      <c r="U186" s="169"/>
      <c r="V186" s="135">
        <v>2.4</v>
      </c>
      <c r="W186" s="135">
        <v>1.9</v>
      </c>
      <c r="X186" s="136"/>
      <c r="Y186" s="137"/>
      <c r="Z186" s="137"/>
      <c r="AA186" s="137"/>
      <c r="AB186" s="137"/>
      <c r="AC186" s="137"/>
      <c r="AD186" s="137"/>
      <c r="AE186" s="137"/>
      <c r="AF186" s="137"/>
      <c r="AG186" s="136"/>
      <c r="AH186" s="138"/>
      <c r="AI186" s="131"/>
      <c r="AJ186" s="47"/>
      <c r="AK186" s="55"/>
      <c r="AL186" s="55" t="s">
        <v>270</v>
      </c>
    </row>
    <row r="187" spans="1:38" ht="31.95" customHeight="1" x14ac:dyDescent="0.3">
      <c r="A187" s="12">
        <v>44063</v>
      </c>
      <c r="B187" s="195">
        <v>0.6598032407407407</v>
      </c>
      <c r="C187" s="48"/>
      <c r="D187" s="48"/>
      <c r="E187" s="48">
        <f>IF(I187=Categories!$E$4,VLOOKUP(H187,Categories!$A$4:$C$13,3,1),VLOOKUP(I187,Categories!$E$4:$G$24,3,1))</f>
        <v>60</v>
      </c>
      <c r="F187" s="48"/>
      <c r="G187" s="43">
        <v>21</v>
      </c>
      <c r="H187" s="49" t="s">
        <v>224</v>
      </c>
      <c r="I187" s="50" t="s">
        <v>60</v>
      </c>
      <c r="J187" s="51"/>
      <c r="K187" s="121">
        <v>2200</v>
      </c>
      <c r="L187" s="52" t="s">
        <v>0</v>
      </c>
      <c r="M187" s="53" t="str">
        <f>IFERROR(VLOOKUP(VLOOKUP(O187,O187,1,1),Categories!$K$4:$V$17,2+VLOOKUP(L187,L187,1,1)),"-"  )</f>
        <v>-</v>
      </c>
      <c r="N187" s="53" t="str">
        <f>IFERROR(VLOOKUP(VLOOKUP(O187,O187,1,1),Categories!$K$3:$V$17,7+VLOOKUP(L187,L187,1,1)),"-")</f>
        <v>-</v>
      </c>
      <c r="O187" s="54" t="s">
        <v>0</v>
      </c>
      <c r="P187" s="178">
        <v>40</v>
      </c>
      <c r="Q187" s="180">
        <f t="shared" ref="Q187:Q192" si="0">IF(P187="-","-",$X$183*(1-P187/100))</f>
        <v>2.9159999999999999</v>
      </c>
      <c r="R187" s="132"/>
      <c r="S187" s="132"/>
      <c r="T187" s="139"/>
      <c r="U187" s="169"/>
      <c r="V187" s="135"/>
      <c r="W187" s="135"/>
      <c r="X187" s="136"/>
      <c r="Y187" s="137"/>
      <c r="Z187" s="137"/>
      <c r="AA187" s="137"/>
      <c r="AB187" s="137"/>
      <c r="AC187" s="137"/>
      <c r="AD187" s="137"/>
      <c r="AE187" s="137"/>
      <c r="AF187" s="137"/>
      <c r="AG187" s="136"/>
      <c r="AH187" s="138"/>
      <c r="AI187" s="131"/>
      <c r="AJ187" s="47"/>
      <c r="AK187" s="55"/>
      <c r="AL187" s="55" t="s">
        <v>269</v>
      </c>
    </row>
    <row r="188" spans="1:38" ht="31.95" customHeight="1" x14ac:dyDescent="0.3">
      <c r="A188" s="12">
        <v>44063</v>
      </c>
      <c r="B188" s="195">
        <v>0.66041666666666665</v>
      </c>
      <c r="C188" s="48"/>
      <c r="D188" s="48"/>
      <c r="E188" s="48">
        <f>IF(I188=Categories!$E$4,VLOOKUP(H188,Categories!$A$4:$C$13,3,1),VLOOKUP(I188,Categories!$E$4:$G$24,3,1))</f>
        <v>120</v>
      </c>
      <c r="F188" s="48"/>
      <c r="G188" s="43">
        <v>21</v>
      </c>
      <c r="H188" s="49" t="s">
        <v>44</v>
      </c>
      <c r="I188" s="44" t="s">
        <v>0</v>
      </c>
      <c r="J188" s="51"/>
      <c r="K188" s="121">
        <v>2200</v>
      </c>
      <c r="L188" s="52" t="s">
        <v>0</v>
      </c>
      <c r="M188" s="53" t="str">
        <f>IFERROR(VLOOKUP(VLOOKUP(O188,O188,1,1),Categories!$K$4:$V$17,2+VLOOKUP(L188,L188,1,1)),"-"  )</f>
        <v>-</v>
      </c>
      <c r="N188" s="53" t="str">
        <f>IFERROR(VLOOKUP(VLOOKUP(O188,O188,1,1),Categories!$K$3:$V$17,7+VLOOKUP(L188,L188,1,1)),"-")</f>
        <v>-</v>
      </c>
      <c r="O188" s="54" t="s">
        <v>0</v>
      </c>
      <c r="P188" s="176">
        <v>40</v>
      </c>
      <c r="Q188" s="180">
        <f t="shared" si="0"/>
        <v>2.9159999999999999</v>
      </c>
      <c r="R188" s="132"/>
      <c r="S188" s="132"/>
      <c r="T188" s="139"/>
      <c r="U188" s="169"/>
      <c r="V188" s="135">
        <v>1.7</v>
      </c>
      <c r="W188" s="135">
        <v>1.7</v>
      </c>
      <c r="X188" s="136"/>
      <c r="Y188" s="137"/>
      <c r="Z188" s="137"/>
      <c r="AA188" s="137"/>
      <c r="AB188" s="137"/>
      <c r="AC188" s="137"/>
      <c r="AD188" s="137"/>
      <c r="AE188" s="137"/>
      <c r="AF188" s="137"/>
      <c r="AG188" s="136"/>
      <c r="AH188" s="138"/>
      <c r="AI188" s="131"/>
      <c r="AJ188" s="47"/>
      <c r="AK188" s="55"/>
      <c r="AL188" s="55" t="s">
        <v>273</v>
      </c>
    </row>
    <row r="189" spans="1:38" ht="31.95" customHeight="1" x14ac:dyDescent="0.3">
      <c r="A189" s="12">
        <v>44063</v>
      </c>
      <c r="B189" s="195">
        <v>0.66204861111111113</v>
      </c>
      <c r="C189" s="48"/>
      <c r="D189" s="48"/>
      <c r="E189" s="48">
        <f>IF(I189=Categories!$E$4,VLOOKUP(H189,Categories!$A$4:$C$13,3,1),VLOOKUP(I189,Categories!$E$4:$G$24,3,1))</f>
        <v>60</v>
      </c>
      <c r="F189" s="48"/>
      <c r="G189" s="43">
        <v>21</v>
      </c>
      <c r="H189" s="49" t="s">
        <v>224</v>
      </c>
      <c r="I189" s="50" t="s">
        <v>60</v>
      </c>
      <c r="J189" s="51"/>
      <c r="K189" s="121">
        <v>2200</v>
      </c>
      <c r="L189" s="52" t="s">
        <v>0</v>
      </c>
      <c r="M189" s="53" t="str">
        <f>IFERROR(VLOOKUP(VLOOKUP(O189,O189,1,1),Categories!$K$4:$V$17,2+VLOOKUP(L189,L189,1,1)),"-"  )</f>
        <v>-</v>
      </c>
      <c r="N189" s="53" t="str">
        <f>IFERROR(VLOOKUP(VLOOKUP(O189,O189,1,1),Categories!$K$3:$V$17,7+VLOOKUP(L189,L189,1,1)),"-")</f>
        <v>-</v>
      </c>
      <c r="O189" s="54" t="s">
        <v>0</v>
      </c>
      <c r="P189" s="178">
        <v>60</v>
      </c>
      <c r="Q189" s="180">
        <f t="shared" si="0"/>
        <v>1.9440000000000002</v>
      </c>
      <c r="R189" s="132"/>
      <c r="S189" s="132"/>
      <c r="T189" s="139"/>
      <c r="U189" s="169"/>
      <c r="V189" s="135"/>
      <c r="W189" s="135"/>
      <c r="X189" s="136"/>
      <c r="Y189" s="137"/>
      <c r="Z189" s="137"/>
      <c r="AA189" s="137"/>
      <c r="AB189" s="137"/>
      <c r="AC189" s="137"/>
      <c r="AD189" s="137"/>
      <c r="AE189" s="137"/>
      <c r="AF189" s="137"/>
      <c r="AG189" s="136"/>
      <c r="AH189" s="138"/>
      <c r="AI189" s="131"/>
      <c r="AJ189" s="47"/>
      <c r="AK189" s="55"/>
      <c r="AL189" s="55" t="s">
        <v>269</v>
      </c>
    </row>
    <row r="190" spans="1:38" ht="31.95" customHeight="1" x14ac:dyDescent="0.3">
      <c r="A190" s="12">
        <v>44063</v>
      </c>
      <c r="B190" s="195">
        <v>0.66265046296296293</v>
      </c>
      <c r="C190" s="48"/>
      <c r="D190" s="48"/>
      <c r="E190" s="48">
        <f>IF(I190=Categories!$E$4,VLOOKUP(H190,Categories!$A$4:$C$13,3,1),VLOOKUP(I190,Categories!$E$4:$G$24,3,1))</f>
        <v>120</v>
      </c>
      <c r="F190" s="48"/>
      <c r="G190" s="43">
        <v>21</v>
      </c>
      <c r="H190" s="49" t="s">
        <v>44</v>
      </c>
      <c r="I190" s="44" t="s">
        <v>0</v>
      </c>
      <c r="J190" s="51"/>
      <c r="K190" s="121">
        <v>2200</v>
      </c>
      <c r="L190" s="52" t="s">
        <v>0</v>
      </c>
      <c r="M190" s="53" t="str">
        <f>IFERROR(VLOOKUP(VLOOKUP(O190,O190,1,1),Categories!$K$4:$V$17,2+VLOOKUP(L190,L190,1,1)),"-"  )</f>
        <v>-</v>
      </c>
      <c r="N190" s="53" t="str">
        <f>IFERROR(VLOOKUP(VLOOKUP(O190,O190,1,1),Categories!$K$3:$V$17,7+VLOOKUP(L190,L190,1,1)),"-")</f>
        <v>-</v>
      </c>
      <c r="O190" s="54" t="s">
        <v>0</v>
      </c>
      <c r="P190" s="176">
        <v>60</v>
      </c>
      <c r="Q190" s="180">
        <f t="shared" si="0"/>
        <v>1.9440000000000002</v>
      </c>
      <c r="R190" s="132"/>
      <c r="S190" s="132"/>
      <c r="T190" s="139"/>
      <c r="U190" s="169"/>
      <c r="V190" s="135">
        <v>1.1000000000000001</v>
      </c>
      <c r="W190" s="135">
        <v>1.5</v>
      </c>
      <c r="X190" s="136"/>
      <c r="Y190" s="137"/>
      <c r="Z190" s="137"/>
      <c r="AA190" s="137"/>
      <c r="AB190" s="137"/>
      <c r="AC190" s="137"/>
      <c r="AD190" s="137"/>
      <c r="AE190" s="137"/>
      <c r="AF190" s="137"/>
      <c r="AG190" s="136"/>
      <c r="AH190" s="138"/>
      <c r="AI190" s="131"/>
      <c r="AJ190" s="47"/>
      <c r="AK190" s="55"/>
      <c r="AL190" s="55" t="s">
        <v>274</v>
      </c>
    </row>
    <row r="191" spans="1:38" ht="31.95" customHeight="1" x14ac:dyDescent="0.3">
      <c r="A191" s="12">
        <v>44063</v>
      </c>
      <c r="B191" s="195">
        <v>0.66418981481481476</v>
      </c>
      <c r="C191" s="48"/>
      <c r="D191" s="48"/>
      <c r="E191" s="48">
        <f>IF(I191=Categories!$E$4,VLOOKUP(H191,Categories!$A$4:$C$13,3,1),VLOOKUP(I191,Categories!$E$4:$G$24,3,1))</f>
        <v>60</v>
      </c>
      <c r="F191" s="48"/>
      <c r="G191" s="43">
        <v>21</v>
      </c>
      <c r="H191" s="49" t="s">
        <v>224</v>
      </c>
      <c r="I191" s="50" t="s">
        <v>60</v>
      </c>
      <c r="J191" s="51"/>
      <c r="K191" s="121">
        <v>2200</v>
      </c>
      <c r="L191" s="52" t="s">
        <v>0</v>
      </c>
      <c r="M191" s="53" t="str">
        <f>IFERROR(VLOOKUP(VLOOKUP(O191,O191,1,1),Categories!$K$4:$V$17,2+VLOOKUP(L191,L191,1,1)),"-"  )</f>
        <v>-</v>
      </c>
      <c r="N191" s="53" t="str">
        <f>IFERROR(VLOOKUP(VLOOKUP(O191,O191,1,1),Categories!$K$3:$V$17,7+VLOOKUP(L191,L191,1,1)),"-")</f>
        <v>-</v>
      </c>
      <c r="O191" s="54" t="s">
        <v>0</v>
      </c>
      <c r="P191" s="178">
        <v>80</v>
      </c>
      <c r="Q191" s="180">
        <f t="shared" si="0"/>
        <v>0.97199999999999986</v>
      </c>
      <c r="R191" s="132"/>
      <c r="S191" s="132"/>
      <c r="T191" s="139"/>
      <c r="U191" s="169"/>
      <c r="V191" s="135"/>
      <c r="W191" s="135"/>
      <c r="X191" s="136"/>
      <c r="Y191" s="137"/>
      <c r="Z191" s="137"/>
      <c r="AA191" s="137"/>
      <c r="AB191" s="137"/>
      <c r="AC191" s="137"/>
      <c r="AD191" s="137"/>
      <c r="AE191" s="137"/>
      <c r="AF191" s="137"/>
      <c r="AG191" s="136"/>
      <c r="AH191" s="138"/>
      <c r="AI191" s="131"/>
      <c r="AJ191" s="47"/>
      <c r="AK191" s="55"/>
      <c r="AL191" s="55" t="s">
        <v>269</v>
      </c>
    </row>
    <row r="192" spans="1:38" ht="31.95" customHeight="1" x14ac:dyDescent="0.3">
      <c r="A192" s="12">
        <v>44063</v>
      </c>
      <c r="B192" s="195">
        <v>0.6651273148148148</v>
      </c>
      <c r="C192" s="48"/>
      <c r="D192" s="48"/>
      <c r="E192" s="48">
        <f>IF(I192=Categories!$E$4,VLOOKUP(H192,Categories!$A$4:$C$13,3,1),VLOOKUP(I192,Categories!$E$4:$G$24,3,1))</f>
        <v>120</v>
      </c>
      <c r="F192" s="48"/>
      <c r="G192" s="43">
        <v>21</v>
      </c>
      <c r="H192" s="49" t="s">
        <v>44</v>
      </c>
      <c r="I192" s="44" t="s">
        <v>0</v>
      </c>
      <c r="J192" s="51"/>
      <c r="K192" s="121">
        <v>2200</v>
      </c>
      <c r="L192" s="52" t="s">
        <v>0</v>
      </c>
      <c r="M192" s="53" t="str">
        <f>IFERROR(VLOOKUP(VLOOKUP(O192,O192,1,1),Categories!$K$4:$V$17,2+VLOOKUP(L192,L192,1,1)),"-"  )</f>
        <v>-</v>
      </c>
      <c r="N192" s="53" t="str">
        <f>IFERROR(VLOOKUP(VLOOKUP(O192,O192,1,1),Categories!$K$3:$V$17,7+VLOOKUP(L192,L192,1,1)),"-")</f>
        <v>-</v>
      </c>
      <c r="O192" s="54" t="s">
        <v>0</v>
      </c>
      <c r="P192" s="176">
        <v>80</v>
      </c>
      <c r="Q192" s="180">
        <f t="shared" si="0"/>
        <v>0.97199999999999986</v>
      </c>
      <c r="R192" s="132"/>
      <c r="S192" s="132"/>
      <c r="T192" s="139"/>
      <c r="U192" s="169"/>
      <c r="V192" s="135">
        <v>0.3</v>
      </c>
      <c r="W192" s="135">
        <v>1.2</v>
      </c>
      <c r="X192" s="136"/>
      <c r="Y192" s="137"/>
      <c r="Z192" s="137"/>
      <c r="AA192" s="137"/>
      <c r="AB192" s="137"/>
      <c r="AC192" s="137"/>
      <c r="AD192" s="137"/>
      <c r="AE192" s="137"/>
      <c r="AF192" s="137"/>
      <c r="AG192" s="136"/>
      <c r="AH192" s="138"/>
      <c r="AI192" s="131"/>
      <c r="AJ192" s="47" t="s">
        <v>315</v>
      </c>
      <c r="AK192" s="55"/>
      <c r="AL192" s="55" t="s">
        <v>275</v>
      </c>
    </row>
    <row r="193" spans="1:38" ht="31.95" customHeight="1" x14ac:dyDescent="0.3">
      <c r="A193" s="167">
        <v>44063</v>
      </c>
      <c r="B193" s="194">
        <v>0.66659722222222217</v>
      </c>
      <c r="C193" s="48"/>
      <c r="D193" s="48"/>
      <c r="E193" s="48" t="s">
        <v>0</v>
      </c>
      <c r="F193" s="48"/>
      <c r="G193" s="43" t="s">
        <v>0</v>
      </c>
      <c r="H193" s="49" t="s">
        <v>224</v>
      </c>
      <c r="I193" s="50" t="s">
        <v>2</v>
      </c>
      <c r="J193" s="51"/>
      <c r="K193" s="121">
        <v>2500</v>
      </c>
      <c r="L193" s="52" t="s">
        <v>0</v>
      </c>
      <c r="M193" s="53" t="str">
        <f>IFERROR(VLOOKUP(VLOOKUP(O193,O193,1,1),Categories!$K$4:$V$17,2+VLOOKUP(L193,L193,1,1)),"-"  )</f>
        <v>-</v>
      </c>
      <c r="N193" s="53" t="str">
        <f>IFERROR(VLOOKUP(VLOOKUP(O193,O193,1,1),Categories!$K$3:$V$17,7+VLOOKUP(L193,L193,1,1)),"-")</f>
        <v>-</v>
      </c>
      <c r="O193" s="54" t="s">
        <v>0</v>
      </c>
      <c r="P193" s="176" t="s">
        <v>0</v>
      </c>
      <c r="Q193" s="180" t="s">
        <v>0</v>
      </c>
      <c r="R193" s="169"/>
      <c r="S193" s="169"/>
      <c r="T193" s="168"/>
      <c r="U193" s="169"/>
      <c r="V193" s="170"/>
      <c r="W193" s="170"/>
      <c r="X193" s="171"/>
      <c r="Y193" s="172"/>
      <c r="Z193" s="172"/>
      <c r="AA193" s="172"/>
      <c r="AB193" s="172"/>
      <c r="AC193" s="172"/>
      <c r="AD193" s="172"/>
      <c r="AE193" s="172"/>
      <c r="AF193" s="172"/>
      <c r="AG193" s="171"/>
      <c r="AH193" s="173"/>
      <c r="AI193" s="131"/>
      <c r="AJ193" s="55"/>
      <c r="AK193" s="55"/>
      <c r="AL193" s="55"/>
    </row>
    <row r="194" spans="1:38" ht="31.95" customHeight="1" x14ac:dyDescent="0.3">
      <c r="A194" s="167">
        <v>44063</v>
      </c>
      <c r="B194" s="194">
        <v>0.66689814814814818</v>
      </c>
      <c r="C194" s="48"/>
      <c r="D194" s="48"/>
      <c r="E194" s="48">
        <v>60</v>
      </c>
      <c r="F194" s="48"/>
      <c r="G194" s="43" t="s">
        <v>0</v>
      </c>
      <c r="H194" s="49" t="s">
        <v>224</v>
      </c>
      <c r="I194" s="50" t="s">
        <v>60</v>
      </c>
      <c r="J194" s="51"/>
      <c r="K194" s="121">
        <v>2500</v>
      </c>
      <c r="L194" s="52" t="s">
        <v>0</v>
      </c>
      <c r="M194" s="53" t="str">
        <f>IFERROR(VLOOKUP(VLOOKUP(O194,O194,1,1),Categories!$K$4:$V$17,2+VLOOKUP(L194,L194,1,1)),"-"  )</f>
        <v>-</v>
      </c>
      <c r="N194" s="53" t="str">
        <f>IFERROR(VLOOKUP(VLOOKUP(O194,O194,1,1),Categories!$K$3:$V$17,7+VLOOKUP(L194,L194,1,1)),"-")</f>
        <v>-</v>
      </c>
      <c r="O194" s="54" t="s">
        <v>0</v>
      </c>
      <c r="P194" s="178">
        <v>20</v>
      </c>
      <c r="Q194" s="180">
        <f>IF(P194="-","-",$X$181*(1-P194/100))</f>
        <v>4.4720000000000004</v>
      </c>
      <c r="R194" s="169"/>
      <c r="S194" s="169"/>
      <c r="T194" s="168"/>
      <c r="U194" s="169"/>
      <c r="V194" s="170"/>
      <c r="W194" s="170"/>
      <c r="X194" s="171"/>
      <c r="Y194" s="172"/>
      <c r="Z194" s="172"/>
      <c r="AA194" s="172"/>
      <c r="AB194" s="172"/>
      <c r="AC194" s="172"/>
      <c r="AD194" s="172"/>
      <c r="AE194" s="172"/>
      <c r="AF194" s="172"/>
      <c r="AG194" s="171"/>
      <c r="AH194" s="173"/>
      <c r="AI194" s="131"/>
      <c r="AJ194" s="55"/>
      <c r="AK194" s="55"/>
      <c r="AL194" s="55"/>
    </row>
    <row r="195" spans="1:38" ht="31.95" customHeight="1" x14ac:dyDescent="0.3">
      <c r="A195" s="12">
        <v>44063</v>
      </c>
      <c r="B195" s="195">
        <v>0.66753472222222221</v>
      </c>
      <c r="C195" s="48"/>
      <c r="D195" s="48"/>
      <c r="E195" s="48">
        <f>IF(I195=Categories!$E$4,VLOOKUP(H195,Categories!$A$4:$C$13,3,1),VLOOKUP(I195,Categories!$E$4:$G$24,3,1))</f>
        <v>120</v>
      </c>
      <c r="F195" s="48"/>
      <c r="G195" s="43">
        <v>22</v>
      </c>
      <c r="H195" s="49" t="s">
        <v>44</v>
      </c>
      <c r="I195" s="44" t="s">
        <v>0</v>
      </c>
      <c r="J195" s="51"/>
      <c r="K195" s="121">
        <v>2500</v>
      </c>
      <c r="L195" s="52" t="s">
        <v>0</v>
      </c>
      <c r="M195" s="53" t="str">
        <f>IFERROR(VLOOKUP(VLOOKUP(O195,O195,1,1),Categories!$K$4:$V$17,2+VLOOKUP(L195,L195,1,1)),"-"  )</f>
        <v>-</v>
      </c>
      <c r="N195" s="53" t="str">
        <f>IFERROR(VLOOKUP(VLOOKUP(O195,O195,1,1),Categories!$K$3:$V$17,7+VLOOKUP(L195,L195,1,1)),"-")</f>
        <v>-</v>
      </c>
      <c r="O195" s="54" t="s">
        <v>0</v>
      </c>
      <c r="P195" s="176">
        <v>20</v>
      </c>
      <c r="Q195" s="180">
        <f t="shared" ref="Q195:Q201" si="1">IF(P195="-","-",$X$181*(1-P195/100))</f>
        <v>4.4720000000000004</v>
      </c>
      <c r="R195" s="132"/>
      <c r="S195" s="132"/>
      <c r="T195" s="139"/>
      <c r="U195" s="169"/>
      <c r="V195" s="135"/>
      <c r="W195" s="135"/>
      <c r="X195" s="136"/>
      <c r="Y195" s="137"/>
      <c r="Z195" s="137"/>
      <c r="AA195" s="137"/>
      <c r="AB195" s="137"/>
      <c r="AC195" s="137"/>
      <c r="AD195" s="137"/>
      <c r="AE195" s="137"/>
      <c r="AF195" s="137"/>
      <c r="AG195" s="136"/>
      <c r="AH195" s="138"/>
      <c r="AI195" s="131"/>
      <c r="AJ195" s="47" t="s">
        <v>316</v>
      </c>
      <c r="AK195" s="55"/>
      <c r="AL195" s="55"/>
    </row>
    <row r="196" spans="1:38" ht="31.95" customHeight="1" x14ac:dyDescent="0.3">
      <c r="A196" s="12">
        <v>44063</v>
      </c>
      <c r="B196" s="195">
        <v>0.66923611111111114</v>
      </c>
      <c r="C196" s="48"/>
      <c r="D196" s="48"/>
      <c r="E196" s="48">
        <f>IF(I196=Categories!$E$4,VLOOKUP(H196,Categories!$A$4:$C$13,3,1),VLOOKUP(I196,Categories!$E$4:$G$24,3,1))</f>
        <v>60</v>
      </c>
      <c r="F196" s="48"/>
      <c r="G196" s="43">
        <v>22</v>
      </c>
      <c r="H196" s="49" t="s">
        <v>224</v>
      </c>
      <c r="I196" s="50" t="s">
        <v>60</v>
      </c>
      <c r="J196" s="51"/>
      <c r="K196" s="121">
        <v>2500</v>
      </c>
      <c r="L196" s="52" t="s">
        <v>0</v>
      </c>
      <c r="M196" s="53" t="str">
        <f>IFERROR(VLOOKUP(VLOOKUP(O196,O196,1,1),Categories!$K$4:$V$17,2+VLOOKUP(L196,L196,1,1)),"-"  )</f>
        <v>-</v>
      </c>
      <c r="N196" s="53" t="str">
        <f>IFERROR(VLOOKUP(VLOOKUP(O196,O196,1,1),Categories!$K$3:$V$17,7+VLOOKUP(L196,L196,1,1)),"-")</f>
        <v>-</v>
      </c>
      <c r="O196" s="54" t="s">
        <v>0</v>
      </c>
      <c r="P196" s="178">
        <v>40</v>
      </c>
      <c r="Q196" s="180">
        <f t="shared" si="1"/>
        <v>3.3539999999999996</v>
      </c>
      <c r="R196" s="132"/>
      <c r="S196" s="132"/>
      <c r="T196" s="139"/>
      <c r="U196" s="169"/>
      <c r="V196" s="135"/>
      <c r="W196" s="135"/>
      <c r="X196" s="136"/>
      <c r="Y196" s="137"/>
      <c r="Z196" s="137"/>
      <c r="AA196" s="137"/>
      <c r="AB196" s="137"/>
      <c r="AC196" s="137"/>
      <c r="AD196" s="137"/>
      <c r="AE196" s="137"/>
      <c r="AF196" s="137"/>
      <c r="AG196" s="136"/>
      <c r="AH196" s="138"/>
      <c r="AI196" s="131"/>
      <c r="AJ196" s="47"/>
      <c r="AK196" s="55"/>
      <c r="AL196" s="55"/>
    </row>
    <row r="197" spans="1:38" ht="31.95" customHeight="1" x14ac:dyDescent="0.3">
      <c r="A197" s="12">
        <v>44063</v>
      </c>
      <c r="B197" s="195">
        <v>0.66997685185185185</v>
      </c>
      <c r="C197" s="48"/>
      <c r="D197" s="48"/>
      <c r="E197" s="48">
        <f>IF(I197=Categories!$E$4,VLOOKUP(H197,Categories!$A$4:$C$13,3,1),VLOOKUP(I197,Categories!$E$4:$G$24,3,1))</f>
        <v>120</v>
      </c>
      <c r="F197" s="48"/>
      <c r="G197" s="43">
        <v>22</v>
      </c>
      <c r="H197" s="49" t="s">
        <v>44</v>
      </c>
      <c r="I197" s="44" t="s">
        <v>0</v>
      </c>
      <c r="J197" s="51"/>
      <c r="K197" s="121">
        <v>2500</v>
      </c>
      <c r="L197" s="52" t="s">
        <v>0</v>
      </c>
      <c r="M197" s="53" t="str">
        <f>IFERROR(VLOOKUP(VLOOKUP(O197,O197,1,1),Categories!$K$4:$V$17,2+VLOOKUP(L197,L197,1,1)),"-"  )</f>
        <v>-</v>
      </c>
      <c r="N197" s="53" t="str">
        <f>IFERROR(VLOOKUP(VLOOKUP(O197,O197,1,1),Categories!$K$3:$V$17,7+VLOOKUP(L197,L197,1,1)),"-")</f>
        <v>-</v>
      </c>
      <c r="O197" s="54" t="s">
        <v>0</v>
      </c>
      <c r="P197" s="176">
        <v>40</v>
      </c>
      <c r="Q197" s="180">
        <f t="shared" si="1"/>
        <v>3.3539999999999996</v>
      </c>
      <c r="R197" s="132"/>
      <c r="S197" s="132"/>
      <c r="T197" s="139"/>
      <c r="U197" s="169"/>
      <c r="V197" s="135">
        <v>2.1</v>
      </c>
      <c r="W197" s="135">
        <v>2.2999999999999998</v>
      </c>
      <c r="X197" s="136"/>
      <c r="Y197" s="137"/>
      <c r="Z197" s="137"/>
      <c r="AA197" s="137"/>
      <c r="AB197" s="137"/>
      <c r="AC197" s="137"/>
      <c r="AD197" s="137"/>
      <c r="AE197" s="137"/>
      <c r="AF197" s="137"/>
      <c r="AG197" s="136"/>
      <c r="AH197" s="138"/>
      <c r="AI197" s="131"/>
      <c r="AJ197" s="47"/>
      <c r="AK197" s="55"/>
      <c r="AL197" s="55"/>
    </row>
    <row r="198" spans="1:38" ht="31.95" customHeight="1" x14ac:dyDescent="0.3">
      <c r="A198" s="12">
        <v>44063</v>
      </c>
      <c r="B198" s="195">
        <v>0.67146990740740742</v>
      </c>
      <c r="C198" s="48"/>
      <c r="D198" s="48"/>
      <c r="E198" s="48">
        <f>IF(I198=Categories!$E$4,VLOOKUP(H198,Categories!$A$4:$C$13,3,1),VLOOKUP(I198,Categories!$E$4:$G$24,3,1))</f>
        <v>60</v>
      </c>
      <c r="F198" s="48"/>
      <c r="G198" s="43">
        <v>22</v>
      </c>
      <c r="H198" s="49" t="s">
        <v>224</v>
      </c>
      <c r="I198" s="50" t="s">
        <v>60</v>
      </c>
      <c r="J198" s="51"/>
      <c r="K198" s="121">
        <v>2500</v>
      </c>
      <c r="L198" s="52" t="s">
        <v>0</v>
      </c>
      <c r="M198" s="53" t="str">
        <f>IFERROR(VLOOKUP(VLOOKUP(O198,O198,1,1),Categories!$K$4:$V$17,2+VLOOKUP(L198,L198,1,1)),"-"  )</f>
        <v>-</v>
      </c>
      <c r="N198" s="53" t="str">
        <f>IFERROR(VLOOKUP(VLOOKUP(O198,O198,1,1),Categories!$K$3:$V$17,7+VLOOKUP(L198,L198,1,1)),"-")</f>
        <v>-</v>
      </c>
      <c r="O198" s="54" t="s">
        <v>0</v>
      </c>
      <c r="P198" s="178">
        <v>60</v>
      </c>
      <c r="Q198" s="180">
        <f t="shared" si="1"/>
        <v>2.2360000000000002</v>
      </c>
      <c r="R198" s="132"/>
      <c r="S198" s="132"/>
      <c r="T198" s="139"/>
      <c r="U198" s="169"/>
      <c r="V198" s="135"/>
      <c r="W198" s="135"/>
      <c r="X198" s="136"/>
      <c r="Y198" s="137"/>
      <c r="Z198" s="137"/>
      <c r="AA198" s="137"/>
      <c r="AB198" s="137"/>
      <c r="AC198" s="137"/>
      <c r="AD198" s="137"/>
      <c r="AE198" s="137"/>
      <c r="AF198" s="137"/>
      <c r="AG198" s="136"/>
      <c r="AH198" s="138"/>
      <c r="AI198" s="131"/>
      <c r="AJ198" s="47"/>
      <c r="AK198" s="55"/>
      <c r="AL198" s="55"/>
    </row>
    <row r="199" spans="1:38" ht="31.95" customHeight="1" x14ac:dyDescent="0.3">
      <c r="A199" s="12">
        <v>44063</v>
      </c>
      <c r="B199" s="195">
        <v>0.67225694444444439</v>
      </c>
      <c r="C199" s="48"/>
      <c r="D199" s="48"/>
      <c r="E199" s="48">
        <f>IF(I199=Categories!$E$4,VLOOKUP(H199,Categories!$A$4:$C$13,3,1),VLOOKUP(I199,Categories!$E$4:$G$24,3,1))</f>
        <v>120</v>
      </c>
      <c r="F199" s="48"/>
      <c r="G199" s="43">
        <v>22</v>
      </c>
      <c r="H199" s="49" t="s">
        <v>44</v>
      </c>
      <c r="I199" s="44" t="s">
        <v>0</v>
      </c>
      <c r="J199" s="51"/>
      <c r="K199" s="121">
        <v>2500</v>
      </c>
      <c r="L199" s="52" t="s">
        <v>0</v>
      </c>
      <c r="M199" s="53" t="str">
        <f>IFERROR(VLOOKUP(VLOOKUP(O199,O199,1,1),Categories!$K$4:$V$17,2+VLOOKUP(L199,L199,1,1)),"-"  )</f>
        <v>-</v>
      </c>
      <c r="N199" s="53" t="str">
        <f>IFERROR(VLOOKUP(VLOOKUP(O199,O199,1,1),Categories!$K$3:$V$17,7+VLOOKUP(L199,L199,1,1)),"-")</f>
        <v>-</v>
      </c>
      <c r="O199" s="54" t="s">
        <v>0</v>
      </c>
      <c r="P199" s="176">
        <v>60</v>
      </c>
      <c r="Q199" s="180">
        <f t="shared" si="1"/>
        <v>2.2360000000000002</v>
      </c>
      <c r="R199" s="132"/>
      <c r="S199" s="132"/>
      <c r="T199" s="139"/>
      <c r="U199" s="169"/>
      <c r="V199" s="135">
        <v>1.3</v>
      </c>
      <c r="W199" s="135">
        <v>2</v>
      </c>
      <c r="X199" s="136"/>
      <c r="Y199" s="137"/>
      <c r="Z199" s="137"/>
      <c r="AA199" s="137"/>
      <c r="AB199" s="137"/>
      <c r="AC199" s="137"/>
      <c r="AD199" s="137"/>
      <c r="AE199" s="137"/>
      <c r="AF199" s="137"/>
      <c r="AG199" s="136"/>
      <c r="AH199" s="138"/>
      <c r="AI199" s="131"/>
      <c r="AJ199" s="47"/>
      <c r="AK199" s="55"/>
      <c r="AL199" s="55"/>
    </row>
    <row r="200" spans="1:38" ht="31.95" customHeight="1" x14ac:dyDescent="0.3">
      <c r="A200" s="12">
        <v>44063</v>
      </c>
      <c r="B200" s="195">
        <v>0.67371527777777773</v>
      </c>
      <c r="C200" s="48"/>
      <c r="D200" s="48"/>
      <c r="E200" s="48">
        <f>IF(I200=Categories!$E$4,VLOOKUP(H200,Categories!$A$4:$C$13,3,1),VLOOKUP(I200,Categories!$E$4:$G$24,3,1))</f>
        <v>60</v>
      </c>
      <c r="F200" s="48"/>
      <c r="G200" s="43">
        <v>22</v>
      </c>
      <c r="H200" s="49" t="s">
        <v>224</v>
      </c>
      <c r="I200" s="50" t="s">
        <v>60</v>
      </c>
      <c r="J200" s="51"/>
      <c r="K200" s="121">
        <v>2500</v>
      </c>
      <c r="L200" s="52" t="s">
        <v>0</v>
      </c>
      <c r="M200" s="53" t="str">
        <f>IFERROR(VLOOKUP(VLOOKUP(O200,O200,1,1),Categories!$K$4:$V$17,2+VLOOKUP(L200,L200,1,1)),"-"  )</f>
        <v>-</v>
      </c>
      <c r="N200" s="53" t="str">
        <f>IFERROR(VLOOKUP(VLOOKUP(O200,O200,1,1),Categories!$K$3:$V$17,7+VLOOKUP(L200,L200,1,1)),"-")</f>
        <v>-</v>
      </c>
      <c r="O200" s="54" t="s">
        <v>0</v>
      </c>
      <c r="P200" s="178">
        <v>80</v>
      </c>
      <c r="Q200" s="180">
        <f t="shared" si="1"/>
        <v>1.1179999999999997</v>
      </c>
      <c r="R200" s="132"/>
      <c r="S200" s="132"/>
      <c r="T200" s="139"/>
      <c r="U200" s="169"/>
      <c r="V200" s="135"/>
      <c r="W200" s="135"/>
      <c r="X200" s="136"/>
      <c r="Y200" s="137"/>
      <c r="Z200" s="137"/>
      <c r="AA200" s="137"/>
      <c r="AB200" s="137"/>
      <c r="AC200" s="137"/>
      <c r="AD200" s="137"/>
      <c r="AE200" s="137"/>
      <c r="AF200" s="137"/>
      <c r="AG200" s="136"/>
      <c r="AH200" s="138"/>
      <c r="AI200" s="131"/>
      <c r="AJ200" s="47"/>
      <c r="AK200" s="55"/>
      <c r="AL200" s="55"/>
    </row>
    <row r="201" spans="1:38" ht="31.95" customHeight="1" x14ac:dyDescent="0.3">
      <c r="A201" s="12">
        <v>44063</v>
      </c>
      <c r="B201" s="195">
        <v>0.67444444444444451</v>
      </c>
      <c r="C201" s="48"/>
      <c r="D201" s="48"/>
      <c r="E201" s="48">
        <f>IF(I201=Categories!$E$4,VLOOKUP(H201,Categories!$A$4:$C$13,3,1),VLOOKUP(I201,Categories!$E$4:$G$24,3,1))</f>
        <v>120</v>
      </c>
      <c r="F201" s="48"/>
      <c r="G201" s="43">
        <v>22</v>
      </c>
      <c r="H201" s="49" t="s">
        <v>44</v>
      </c>
      <c r="I201" s="44" t="s">
        <v>0</v>
      </c>
      <c r="J201" s="51"/>
      <c r="K201" s="121">
        <v>2500</v>
      </c>
      <c r="L201" s="52" t="s">
        <v>0</v>
      </c>
      <c r="M201" s="53" t="str">
        <f>IFERROR(VLOOKUP(VLOOKUP(O201,O201,1,1),Categories!$K$4:$V$17,2+VLOOKUP(L201,L201,1,1)),"-"  )</f>
        <v>-</v>
      </c>
      <c r="N201" s="53" t="str">
        <f>IFERROR(VLOOKUP(VLOOKUP(O201,O201,1,1),Categories!$K$3:$V$17,7+VLOOKUP(L201,L201,1,1)),"-")</f>
        <v>-</v>
      </c>
      <c r="O201" s="54" t="s">
        <v>0</v>
      </c>
      <c r="P201" s="176">
        <v>80</v>
      </c>
      <c r="Q201" s="180">
        <f t="shared" si="1"/>
        <v>1.1179999999999997</v>
      </c>
      <c r="R201" s="132"/>
      <c r="S201" s="132"/>
      <c r="T201" s="139"/>
      <c r="U201" s="169"/>
      <c r="V201" s="135">
        <v>0.4</v>
      </c>
      <c r="W201" s="135">
        <v>1.7</v>
      </c>
      <c r="X201" s="136"/>
      <c r="Y201" s="137"/>
      <c r="Z201" s="137"/>
      <c r="AA201" s="137"/>
      <c r="AB201" s="137"/>
      <c r="AC201" s="137"/>
      <c r="AD201" s="137"/>
      <c r="AE201" s="137"/>
      <c r="AF201" s="137"/>
      <c r="AG201" s="136"/>
      <c r="AH201" s="138"/>
      <c r="AI201" s="131"/>
      <c r="AJ201" s="47" t="s">
        <v>317</v>
      </c>
      <c r="AK201" s="55"/>
      <c r="AL201" s="55"/>
    </row>
    <row r="202" spans="1:38" ht="31.95" customHeight="1" x14ac:dyDescent="0.3">
      <c r="A202" s="167">
        <v>44063</v>
      </c>
      <c r="B202" s="194">
        <v>0.6761342592592593</v>
      </c>
      <c r="C202" s="48"/>
      <c r="D202" s="48"/>
      <c r="E202" s="48" t="s">
        <v>0</v>
      </c>
      <c r="F202" s="48"/>
      <c r="G202" s="43" t="s">
        <v>0</v>
      </c>
      <c r="H202" s="49" t="s">
        <v>224</v>
      </c>
      <c r="I202" s="50" t="s">
        <v>2</v>
      </c>
      <c r="J202" s="51"/>
      <c r="K202" s="121">
        <v>2800</v>
      </c>
      <c r="L202" s="52" t="s">
        <v>0</v>
      </c>
      <c r="M202" s="53" t="str">
        <f>IFERROR(VLOOKUP(VLOOKUP(O202,O202,1,1),Categories!$K$4:$V$17,2+VLOOKUP(L202,L202,1,1)),"-"  )</f>
        <v>-</v>
      </c>
      <c r="N202" s="53" t="str">
        <f>IFERROR(VLOOKUP(VLOOKUP(O202,O202,1,1),Categories!$K$3:$V$17,7+VLOOKUP(L202,L202,1,1)),"-")</f>
        <v>-</v>
      </c>
      <c r="O202" s="54" t="s">
        <v>0</v>
      </c>
      <c r="P202" s="176" t="s">
        <v>0</v>
      </c>
      <c r="Q202" s="180" t="s">
        <v>0</v>
      </c>
      <c r="R202" s="169"/>
      <c r="S202" s="169"/>
      <c r="T202" s="168"/>
      <c r="U202" s="169"/>
      <c r="V202" s="170"/>
      <c r="W202" s="170"/>
      <c r="X202" s="171"/>
      <c r="Y202" s="172"/>
      <c r="Z202" s="172"/>
      <c r="AA202" s="172"/>
      <c r="AB202" s="172"/>
      <c r="AC202" s="172"/>
      <c r="AD202" s="172"/>
      <c r="AE202" s="172"/>
      <c r="AF202" s="172"/>
      <c r="AG202" s="171"/>
      <c r="AH202" s="173"/>
      <c r="AI202" s="131"/>
      <c r="AJ202" s="55"/>
      <c r="AK202" s="55"/>
      <c r="AL202" s="55"/>
    </row>
    <row r="203" spans="1:38" ht="31.95" customHeight="1" x14ac:dyDescent="0.3">
      <c r="A203" s="167">
        <v>44063</v>
      </c>
      <c r="B203" s="194">
        <v>0.67621527777777779</v>
      </c>
      <c r="C203" s="48"/>
      <c r="D203" s="48"/>
      <c r="E203" s="48">
        <f>IF(I203=Categories!$E$4,VLOOKUP(H203,Categories!$A$4:$C$13,3,1),VLOOKUP(I203,Categories!$E$4:$G$24,3,1))</f>
        <v>60</v>
      </c>
      <c r="F203" s="48"/>
      <c r="G203" s="43" t="s">
        <v>0</v>
      </c>
      <c r="H203" s="49" t="s">
        <v>224</v>
      </c>
      <c r="I203" s="50" t="s">
        <v>60</v>
      </c>
      <c r="J203" s="51"/>
      <c r="K203" s="121">
        <v>2800</v>
      </c>
      <c r="L203" s="52" t="s">
        <v>0</v>
      </c>
      <c r="M203" s="53" t="str">
        <f>IFERROR(VLOOKUP(VLOOKUP(O203,O203,1,1),Categories!$K$4:$V$17,2+VLOOKUP(L203,L203,1,1)),"-"  )</f>
        <v>-</v>
      </c>
      <c r="N203" s="53" t="str">
        <f>IFERROR(VLOOKUP(VLOOKUP(O203,O203,1,1),Categories!$K$3:$V$17,7+VLOOKUP(L203,L203,1,1)),"-")</f>
        <v>-</v>
      </c>
      <c r="O203" s="54" t="s">
        <v>0</v>
      </c>
      <c r="P203" s="178">
        <v>20</v>
      </c>
      <c r="Q203" s="180">
        <f>IF(P203="-","-",$X$179*(1-P203/100))</f>
        <v>5.048</v>
      </c>
      <c r="R203" s="169"/>
      <c r="S203" s="169"/>
      <c r="T203" s="168"/>
      <c r="U203" s="169"/>
      <c r="V203" s="170"/>
      <c r="W203" s="170"/>
      <c r="X203" s="171"/>
      <c r="Y203" s="172"/>
      <c r="Z203" s="172"/>
      <c r="AA203" s="172"/>
      <c r="AB203" s="172"/>
      <c r="AC203" s="172"/>
      <c r="AD203" s="172"/>
      <c r="AE203" s="172"/>
      <c r="AF203" s="172"/>
      <c r="AG203" s="171"/>
      <c r="AH203" s="173"/>
      <c r="AI203" s="131" t="s">
        <v>234</v>
      </c>
      <c r="AJ203" s="55" t="s">
        <v>318</v>
      </c>
      <c r="AK203" s="55"/>
      <c r="AL203" s="55"/>
    </row>
    <row r="204" spans="1:38" ht="31.95" customHeight="1" x14ac:dyDescent="0.3">
      <c r="A204" s="12">
        <v>44063</v>
      </c>
      <c r="B204" s="195">
        <v>0.69096064814814817</v>
      </c>
      <c r="C204" s="48"/>
      <c r="D204" s="48"/>
      <c r="E204" s="48">
        <f>IF(I204=Categories!$E$4,VLOOKUP(H204,Categories!$A$4:$C$13,3,1),VLOOKUP(I204,Categories!$E$4:$G$24,3,1))</f>
        <v>120</v>
      </c>
      <c r="F204" s="48"/>
      <c r="G204" s="43">
        <v>23</v>
      </c>
      <c r="H204" s="49" t="s">
        <v>44</v>
      </c>
      <c r="I204" s="44" t="s">
        <v>0</v>
      </c>
      <c r="J204" s="51"/>
      <c r="K204" s="121">
        <v>2800</v>
      </c>
      <c r="L204" s="52" t="s">
        <v>0</v>
      </c>
      <c r="M204" s="53" t="str">
        <f>IFERROR(VLOOKUP(VLOOKUP(O204,O204,1,1),Categories!$K$4:$V$17,2+VLOOKUP(L204,L204,1,1)),"-"  )</f>
        <v>-</v>
      </c>
      <c r="N204" s="53" t="str">
        <f>IFERROR(VLOOKUP(VLOOKUP(O204,O204,1,1),Categories!$K$3:$V$17,7+VLOOKUP(L204,L204,1,1)),"-")</f>
        <v>-</v>
      </c>
      <c r="O204" s="54" t="s">
        <v>0</v>
      </c>
      <c r="P204" s="176">
        <v>20</v>
      </c>
      <c r="Q204" s="180">
        <f t="shared" ref="Q204:Q210" si="2">IF(P204="-","-",$X$179*(1-P204/100))</f>
        <v>5.048</v>
      </c>
      <c r="R204" s="132"/>
      <c r="S204" s="132"/>
      <c r="T204" s="139"/>
      <c r="U204" s="169"/>
      <c r="V204" s="135">
        <v>3.2</v>
      </c>
      <c r="W204" s="135">
        <v>3.6</v>
      </c>
      <c r="X204" s="136"/>
      <c r="Y204" s="137"/>
      <c r="Z204" s="137"/>
      <c r="AA204" s="137"/>
      <c r="AB204" s="137"/>
      <c r="AC204" s="137"/>
      <c r="AD204" s="137"/>
      <c r="AE204" s="137"/>
      <c r="AF204" s="137"/>
      <c r="AG204" s="136"/>
      <c r="AH204" s="138"/>
      <c r="AI204" s="131"/>
      <c r="AJ204" s="47"/>
      <c r="AK204" s="55"/>
      <c r="AL204" s="55"/>
    </row>
    <row r="205" spans="1:38" ht="31.95" customHeight="1" x14ac:dyDescent="0.3">
      <c r="A205" s="12">
        <v>44063</v>
      </c>
      <c r="B205" s="195">
        <v>0.69199074074074074</v>
      </c>
      <c r="C205" s="48"/>
      <c r="D205" s="48"/>
      <c r="E205" s="48">
        <f>IF(I205=Categories!$E$4,VLOOKUP(H205,Categories!$A$4:$C$13,3,1),VLOOKUP(I205,Categories!$E$4:$G$24,3,1))</f>
        <v>60</v>
      </c>
      <c r="F205" s="48"/>
      <c r="G205" s="43">
        <v>23</v>
      </c>
      <c r="H205" s="49" t="s">
        <v>224</v>
      </c>
      <c r="I205" s="50" t="s">
        <v>60</v>
      </c>
      <c r="J205" s="51"/>
      <c r="K205" s="121">
        <v>2800</v>
      </c>
      <c r="L205" s="52" t="s">
        <v>0</v>
      </c>
      <c r="M205" s="53" t="str">
        <f>IFERROR(VLOOKUP(VLOOKUP(O205,O205,1,1),Categories!$K$4:$V$17,2+VLOOKUP(L205,L205,1,1)),"-"  )</f>
        <v>-</v>
      </c>
      <c r="N205" s="53" t="str">
        <f>IFERROR(VLOOKUP(VLOOKUP(O205,O205,1,1),Categories!$K$3:$V$17,7+VLOOKUP(L205,L205,1,1)),"-")</f>
        <v>-</v>
      </c>
      <c r="O205" s="54" t="s">
        <v>0</v>
      </c>
      <c r="P205" s="178">
        <v>40</v>
      </c>
      <c r="Q205" s="180">
        <f t="shared" si="2"/>
        <v>3.7859999999999996</v>
      </c>
      <c r="R205" s="132"/>
      <c r="S205" s="132"/>
      <c r="T205" s="139"/>
      <c r="U205" s="169"/>
      <c r="V205" s="135"/>
      <c r="W205" s="135"/>
      <c r="X205" s="136"/>
      <c r="Y205" s="137"/>
      <c r="Z205" s="137"/>
      <c r="AA205" s="137"/>
      <c r="AB205" s="137"/>
      <c r="AC205" s="137"/>
      <c r="AD205" s="137"/>
      <c r="AE205" s="137"/>
      <c r="AF205" s="137"/>
      <c r="AG205" s="136"/>
      <c r="AH205" s="138"/>
      <c r="AI205" s="131"/>
      <c r="AJ205" s="47"/>
      <c r="AK205" s="55"/>
      <c r="AL205" s="55"/>
    </row>
    <row r="206" spans="1:38" ht="31.95" customHeight="1" x14ac:dyDescent="0.3">
      <c r="A206" s="12">
        <v>44063</v>
      </c>
      <c r="B206" s="195">
        <v>0.6925</v>
      </c>
      <c r="C206" s="48"/>
      <c r="D206" s="48"/>
      <c r="E206" s="48">
        <f>IF(I206=Categories!$E$4,VLOOKUP(H206,Categories!$A$4:$C$13,3,1),VLOOKUP(I206,Categories!$E$4:$G$24,3,1))</f>
        <v>120</v>
      </c>
      <c r="F206" s="48"/>
      <c r="G206" s="43">
        <v>23</v>
      </c>
      <c r="H206" s="49" t="s">
        <v>44</v>
      </c>
      <c r="I206" s="44" t="s">
        <v>0</v>
      </c>
      <c r="J206" s="51"/>
      <c r="K206" s="121">
        <v>2800</v>
      </c>
      <c r="L206" s="52" t="s">
        <v>0</v>
      </c>
      <c r="M206" s="53" t="str">
        <f>IFERROR(VLOOKUP(VLOOKUP(O206,O206,1,1),Categories!$K$4:$V$17,2+VLOOKUP(L206,L206,1,1)),"-"  )</f>
        <v>-</v>
      </c>
      <c r="N206" s="53" t="str">
        <f>IFERROR(VLOOKUP(VLOOKUP(O206,O206,1,1),Categories!$K$3:$V$17,7+VLOOKUP(L206,L206,1,1)),"-")</f>
        <v>-</v>
      </c>
      <c r="O206" s="54" t="s">
        <v>0</v>
      </c>
      <c r="P206" s="176">
        <v>40</v>
      </c>
      <c r="Q206" s="180">
        <f t="shared" si="2"/>
        <v>3.7859999999999996</v>
      </c>
      <c r="R206" s="132"/>
      <c r="S206" s="132"/>
      <c r="T206" s="139"/>
      <c r="U206" s="169"/>
      <c r="V206" s="135">
        <v>2.4</v>
      </c>
      <c r="W206" s="135">
        <v>3.2</v>
      </c>
      <c r="X206" s="136"/>
      <c r="Y206" s="137"/>
      <c r="Z206" s="137"/>
      <c r="AA206" s="137"/>
      <c r="AB206" s="137"/>
      <c r="AC206" s="137"/>
      <c r="AD206" s="137"/>
      <c r="AE206" s="137"/>
      <c r="AF206" s="137"/>
      <c r="AG206" s="136"/>
      <c r="AH206" s="138"/>
      <c r="AI206" s="131"/>
      <c r="AJ206" s="47"/>
      <c r="AK206" s="55"/>
      <c r="AL206" s="55"/>
    </row>
    <row r="207" spans="1:38" ht="31.95" customHeight="1" x14ac:dyDescent="0.3">
      <c r="A207" s="12">
        <v>44063</v>
      </c>
      <c r="B207" s="195">
        <v>0.6929050925925927</v>
      </c>
      <c r="C207" s="48"/>
      <c r="D207" s="48"/>
      <c r="E207" s="48">
        <f>IF(I207=Categories!$E$4,VLOOKUP(H207,Categories!$A$4:$C$13,3,1),VLOOKUP(I207,Categories!$E$4:$G$24,3,1))</f>
        <v>60</v>
      </c>
      <c r="F207" s="48"/>
      <c r="G207" s="43">
        <v>23</v>
      </c>
      <c r="H207" s="49" t="s">
        <v>224</v>
      </c>
      <c r="I207" s="50" t="s">
        <v>60</v>
      </c>
      <c r="J207" s="51"/>
      <c r="K207" s="121">
        <v>2800</v>
      </c>
      <c r="L207" s="52" t="s">
        <v>0</v>
      </c>
      <c r="M207" s="53" t="str">
        <f>IFERROR(VLOOKUP(VLOOKUP(O207,O207,1,1),Categories!$K$4:$V$17,2+VLOOKUP(L207,L207,1,1)),"-"  )</f>
        <v>-</v>
      </c>
      <c r="N207" s="53" t="str">
        <f>IFERROR(VLOOKUP(VLOOKUP(O207,O207,1,1),Categories!$K$3:$V$17,7+VLOOKUP(L207,L207,1,1)),"-")</f>
        <v>-</v>
      </c>
      <c r="O207" s="54" t="s">
        <v>0</v>
      </c>
      <c r="P207" s="178">
        <v>60</v>
      </c>
      <c r="Q207" s="180">
        <f t="shared" si="2"/>
        <v>2.524</v>
      </c>
      <c r="R207" s="132"/>
      <c r="S207" s="132"/>
      <c r="T207" s="139"/>
      <c r="U207" s="169"/>
      <c r="V207" s="135"/>
      <c r="W207" s="135"/>
      <c r="X207" s="136"/>
      <c r="Y207" s="137"/>
      <c r="Z207" s="137"/>
      <c r="AA207" s="137"/>
      <c r="AB207" s="137"/>
      <c r="AC207" s="137"/>
      <c r="AD207" s="137"/>
      <c r="AE207" s="137"/>
      <c r="AF207" s="137"/>
      <c r="AG207" s="136"/>
      <c r="AH207" s="138"/>
      <c r="AI207" s="131"/>
      <c r="AJ207" s="47"/>
      <c r="AK207" s="55"/>
      <c r="AL207" s="55"/>
    </row>
    <row r="208" spans="1:38" ht="31.95" customHeight="1" x14ac:dyDescent="0.3">
      <c r="A208" s="12">
        <v>44063</v>
      </c>
      <c r="B208" s="195">
        <v>0.69341435185185185</v>
      </c>
      <c r="C208" s="48"/>
      <c r="D208" s="48"/>
      <c r="E208" s="48">
        <f>IF(I208=Categories!$E$4,VLOOKUP(H208,Categories!$A$4:$C$13,3,1),VLOOKUP(I208,Categories!$E$4:$G$24,3,1))</f>
        <v>120</v>
      </c>
      <c r="F208" s="48"/>
      <c r="G208" s="43">
        <v>23</v>
      </c>
      <c r="H208" s="49" t="s">
        <v>44</v>
      </c>
      <c r="I208" s="44" t="s">
        <v>0</v>
      </c>
      <c r="J208" s="51"/>
      <c r="K208" s="121">
        <v>2800</v>
      </c>
      <c r="L208" s="52" t="s">
        <v>0</v>
      </c>
      <c r="M208" s="53" t="str">
        <f>IFERROR(VLOOKUP(VLOOKUP(O208,O208,1,1),Categories!$K$4:$V$17,2+VLOOKUP(L208,L208,1,1)),"-"  )</f>
        <v>-</v>
      </c>
      <c r="N208" s="53" t="str">
        <f>IFERROR(VLOOKUP(VLOOKUP(O208,O208,1,1),Categories!$K$3:$V$17,7+VLOOKUP(L208,L208,1,1)),"-")</f>
        <v>-</v>
      </c>
      <c r="O208" s="54" t="s">
        <v>0</v>
      </c>
      <c r="P208" s="176">
        <v>60</v>
      </c>
      <c r="Q208" s="180">
        <f t="shared" si="2"/>
        <v>2.524</v>
      </c>
      <c r="R208" s="132"/>
      <c r="S208" s="132"/>
      <c r="T208" s="139"/>
      <c r="U208" s="169"/>
      <c r="V208" s="135">
        <v>1.5</v>
      </c>
      <c r="W208" s="135">
        <v>2.7</v>
      </c>
      <c r="X208" s="136"/>
      <c r="Y208" s="137"/>
      <c r="Z208" s="137"/>
      <c r="AA208" s="137"/>
      <c r="AB208" s="137"/>
      <c r="AC208" s="137"/>
      <c r="AD208" s="137"/>
      <c r="AE208" s="137"/>
      <c r="AF208" s="137"/>
      <c r="AG208" s="136"/>
      <c r="AH208" s="138"/>
      <c r="AI208" s="131"/>
      <c r="AJ208" s="47"/>
      <c r="AK208" s="55"/>
      <c r="AL208" s="55"/>
    </row>
    <row r="209" spans="1:38" ht="31.95" customHeight="1" x14ac:dyDescent="0.3">
      <c r="A209" s="12">
        <v>44063</v>
      </c>
      <c r="B209" s="195">
        <v>0.69420138888888883</v>
      </c>
      <c r="C209" s="48"/>
      <c r="D209" s="48"/>
      <c r="E209" s="48">
        <f>IF(I209=Categories!$E$4,VLOOKUP(H209,Categories!$A$4:$C$13,3,1),VLOOKUP(I209,Categories!$E$4:$G$24,3,1))</f>
        <v>60</v>
      </c>
      <c r="F209" s="48"/>
      <c r="G209" s="43">
        <v>23</v>
      </c>
      <c r="H209" s="49" t="s">
        <v>224</v>
      </c>
      <c r="I209" s="50" t="s">
        <v>60</v>
      </c>
      <c r="J209" s="51"/>
      <c r="K209" s="121">
        <v>2800</v>
      </c>
      <c r="L209" s="52" t="s">
        <v>0</v>
      </c>
      <c r="M209" s="53" t="str">
        <f>IFERROR(VLOOKUP(VLOOKUP(O209,O209,1,1),Categories!$K$4:$V$17,2+VLOOKUP(L209,L209,1,1)),"-"  )</f>
        <v>-</v>
      </c>
      <c r="N209" s="53" t="str">
        <f>IFERROR(VLOOKUP(VLOOKUP(O209,O209,1,1),Categories!$K$3:$V$17,7+VLOOKUP(L209,L209,1,1)),"-")</f>
        <v>-</v>
      </c>
      <c r="O209" s="54" t="s">
        <v>0</v>
      </c>
      <c r="P209" s="178">
        <v>80</v>
      </c>
      <c r="Q209" s="180">
        <f t="shared" si="2"/>
        <v>1.2619999999999996</v>
      </c>
      <c r="R209" s="132"/>
      <c r="S209" s="132"/>
      <c r="T209" s="139"/>
      <c r="U209" s="169"/>
      <c r="V209" s="135"/>
      <c r="W209" s="135"/>
      <c r="X209" s="136"/>
      <c r="Y209" s="137"/>
      <c r="Z209" s="137"/>
      <c r="AA209" s="137"/>
      <c r="AB209" s="137"/>
      <c r="AC209" s="137"/>
      <c r="AD209" s="137"/>
      <c r="AE209" s="137"/>
      <c r="AF209" s="137"/>
      <c r="AG209" s="136"/>
      <c r="AH209" s="138"/>
      <c r="AI209" s="131"/>
      <c r="AJ209" s="47"/>
      <c r="AK209" s="55"/>
      <c r="AL209" s="55"/>
    </row>
    <row r="210" spans="1:38" ht="31.95" customHeight="1" x14ac:dyDescent="0.3">
      <c r="A210" s="12">
        <v>44063</v>
      </c>
      <c r="B210" s="195">
        <v>0.69496527777777783</v>
      </c>
      <c r="C210" s="48"/>
      <c r="D210" s="48"/>
      <c r="E210" s="48">
        <f>IF(I210=Categories!$E$4,VLOOKUP(H210,Categories!$A$4:$C$13,3,1),VLOOKUP(I210,Categories!$E$4:$G$24,3,1))</f>
        <v>120</v>
      </c>
      <c r="F210" s="48"/>
      <c r="G210" s="43">
        <v>23</v>
      </c>
      <c r="H210" s="49" t="s">
        <v>44</v>
      </c>
      <c r="I210" s="44" t="s">
        <v>0</v>
      </c>
      <c r="J210" s="51"/>
      <c r="K210" s="121">
        <v>2800</v>
      </c>
      <c r="L210" s="52" t="s">
        <v>0</v>
      </c>
      <c r="M210" s="53" t="str">
        <f>IFERROR(VLOOKUP(VLOOKUP(O210,O210,1,1),Categories!$K$4:$V$17,2+VLOOKUP(L210,L210,1,1)),"-"  )</f>
        <v>-</v>
      </c>
      <c r="N210" s="53" t="str">
        <f>IFERROR(VLOOKUP(VLOOKUP(O210,O210,1,1),Categories!$K$3:$V$17,7+VLOOKUP(L210,L210,1,1)),"-")</f>
        <v>-</v>
      </c>
      <c r="O210" s="54" t="s">
        <v>0</v>
      </c>
      <c r="P210" s="176">
        <v>80</v>
      </c>
      <c r="Q210" s="180">
        <f t="shared" si="2"/>
        <v>1.2619999999999996</v>
      </c>
      <c r="R210" s="132"/>
      <c r="S210" s="132"/>
      <c r="T210" s="139"/>
      <c r="U210" s="169"/>
      <c r="V210" s="135">
        <v>0.5</v>
      </c>
      <c r="W210" s="135">
        <v>2.2000000000000002</v>
      </c>
      <c r="X210" s="136"/>
      <c r="Y210" s="137"/>
      <c r="Z210" s="137"/>
      <c r="AA210" s="137"/>
      <c r="AB210" s="137"/>
      <c r="AC210" s="137"/>
      <c r="AD210" s="137"/>
      <c r="AE210" s="137"/>
      <c r="AF210" s="137"/>
      <c r="AG210" s="136"/>
      <c r="AH210" s="138"/>
      <c r="AI210" s="131"/>
      <c r="AJ210" s="47"/>
      <c r="AK210" s="55"/>
      <c r="AL210" s="55"/>
    </row>
    <row r="211" spans="1:38" ht="31.95" customHeight="1" x14ac:dyDescent="0.3">
      <c r="A211" s="167">
        <v>44063</v>
      </c>
      <c r="B211" s="194">
        <v>0.69655092592592593</v>
      </c>
      <c r="C211" s="48"/>
      <c r="D211" s="48"/>
      <c r="E211" s="48" t="s">
        <v>0</v>
      </c>
      <c r="F211" s="48"/>
      <c r="G211" s="43" t="s">
        <v>0</v>
      </c>
      <c r="H211" s="49" t="s">
        <v>224</v>
      </c>
      <c r="I211" s="50" t="s">
        <v>2</v>
      </c>
      <c r="J211" s="51"/>
      <c r="K211" s="121">
        <v>3100</v>
      </c>
      <c r="L211" s="52" t="s">
        <v>0</v>
      </c>
      <c r="M211" s="53" t="str">
        <f>IFERROR(VLOOKUP(VLOOKUP(O211,O211,1,1),Categories!$K$4:$V$17,2+VLOOKUP(L211,L211,1,1)),"-"  )</f>
        <v>-</v>
      </c>
      <c r="N211" s="53" t="str">
        <f>IFERROR(VLOOKUP(VLOOKUP(O211,O211,1,1),Categories!$K$3:$V$17,7+VLOOKUP(L211,L211,1,1)),"-")</f>
        <v>-</v>
      </c>
      <c r="O211" s="54" t="s">
        <v>0</v>
      </c>
      <c r="P211" s="176" t="s">
        <v>0</v>
      </c>
      <c r="Q211" s="180" t="s">
        <v>0</v>
      </c>
      <c r="R211" s="169"/>
      <c r="S211" s="169"/>
      <c r="T211" s="168"/>
      <c r="U211" s="169"/>
      <c r="V211" s="170"/>
      <c r="W211" s="170"/>
      <c r="X211" s="171"/>
      <c r="Y211" s="172"/>
      <c r="Z211" s="172"/>
      <c r="AA211" s="172"/>
      <c r="AB211" s="172"/>
      <c r="AC211" s="172"/>
      <c r="AD211" s="172"/>
      <c r="AE211" s="172"/>
      <c r="AF211" s="172"/>
      <c r="AG211" s="171"/>
      <c r="AH211" s="173"/>
      <c r="AI211" s="131"/>
      <c r="AJ211" s="55"/>
      <c r="AK211" s="55"/>
      <c r="AL211" s="55"/>
    </row>
    <row r="212" spans="1:38" ht="31.95" customHeight="1" x14ac:dyDescent="0.3">
      <c r="A212" s="167">
        <v>44063</v>
      </c>
      <c r="B212" s="194">
        <v>0.69664351851851858</v>
      </c>
      <c r="C212" s="48"/>
      <c r="D212" s="48"/>
      <c r="E212" s="48">
        <f>IF(I212=Categories!$E$4,VLOOKUP(H212,Categories!$A$4:$C$13,3,1),VLOOKUP(I212,Categories!$E$4:$G$24,3,1))</f>
        <v>60</v>
      </c>
      <c r="F212" s="48"/>
      <c r="G212" s="43" t="s">
        <v>0</v>
      </c>
      <c r="H212" s="49" t="s">
        <v>224</v>
      </c>
      <c r="I212" s="50" t="s">
        <v>60</v>
      </c>
      <c r="J212" s="51"/>
      <c r="K212" s="121">
        <v>3100</v>
      </c>
      <c r="L212" s="52" t="s">
        <v>0</v>
      </c>
      <c r="M212" s="53" t="str">
        <f>IFERROR(VLOOKUP(VLOOKUP(O212,O212,1,1),Categories!$K$4:$V$17,2+VLOOKUP(L212,L212,1,1)),"-"  )</f>
        <v>-</v>
      </c>
      <c r="N212" s="53" t="str">
        <f>IFERROR(VLOOKUP(VLOOKUP(O212,O212,1,1),Categories!$K$3:$V$17,7+VLOOKUP(L212,L212,1,1)),"-")</f>
        <v>-</v>
      </c>
      <c r="O212" s="54" t="s">
        <v>0</v>
      </c>
      <c r="P212" s="178">
        <v>20</v>
      </c>
      <c r="Q212" s="180">
        <f>IF(P212="-","-",$X$177*(1-P212/100))</f>
        <v>5.6400000000000006</v>
      </c>
      <c r="R212" s="169"/>
      <c r="S212" s="169"/>
      <c r="T212" s="168"/>
      <c r="U212" s="169"/>
      <c r="V212" s="170"/>
      <c r="W212" s="170"/>
      <c r="X212" s="171"/>
      <c r="Y212" s="172"/>
      <c r="Z212" s="172"/>
      <c r="AA212" s="172"/>
      <c r="AB212" s="172"/>
      <c r="AC212" s="172"/>
      <c r="AD212" s="172"/>
      <c r="AE212" s="172"/>
      <c r="AF212" s="172"/>
      <c r="AG212" s="171"/>
      <c r="AH212" s="173"/>
      <c r="AI212" s="131"/>
      <c r="AJ212" s="55"/>
      <c r="AK212" s="55"/>
      <c r="AL212" s="55"/>
    </row>
    <row r="213" spans="1:38" ht="31.95" customHeight="1" x14ac:dyDescent="0.3">
      <c r="A213" s="12">
        <v>44063</v>
      </c>
      <c r="B213" s="195">
        <v>0.69747685185185182</v>
      </c>
      <c r="C213" s="48"/>
      <c r="D213" s="48"/>
      <c r="E213" s="48">
        <f>IF(I213=Categories!$E$4,VLOOKUP(H213,Categories!$A$4:$C$13,3,1),VLOOKUP(I213,Categories!$E$4:$G$24,3,1))</f>
        <v>120</v>
      </c>
      <c r="F213" s="48"/>
      <c r="G213" s="43">
        <v>24</v>
      </c>
      <c r="H213" s="49" t="s">
        <v>44</v>
      </c>
      <c r="I213" s="44" t="s">
        <v>0</v>
      </c>
      <c r="J213" s="51"/>
      <c r="K213" s="121">
        <v>3100</v>
      </c>
      <c r="L213" s="52" t="s">
        <v>0</v>
      </c>
      <c r="M213" s="53" t="str">
        <f>IFERROR(VLOOKUP(VLOOKUP(O213,O213,1,1),Categories!$K$4:$V$17,2+VLOOKUP(L213,L213,1,1)),"-"  )</f>
        <v>-</v>
      </c>
      <c r="N213" s="53" t="str">
        <f>IFERROR(VLOOKUP(VLOOKUP(O213,O213,1,1),Categories!$K$3:$V$17,7+VLOOKUP(L213,L213,1,1)),"-")</f>
        <v>-</v>
      </c>
      <c r="O213" s="54" t="s">
        <v>0</v>
      </c>
      <c r="P213" s="176">
        <v>20</v>
      </c>
      <c r="Q213" s="180">
        <f t="shared" ref="Q213:Q218" si="3">IF(P213="-","-",$X$177*(1-P213/100))</f>
        <v>5.6400000000000006</v>
      </c>
      <c r="R213" s="132"/>
      <c r="S213" s="132"/>
      <c r="T213" s="139"/>
      <c r="U213" s="169"/>
      <c r="V213" s="170">
        <v>3.9</v>
      </c>
      <c r="W213" s="170">
        <v>4.9000000000000004</v>
      </c>
      <c r="X213" s="136"/>
      <c r="Y213" s="137"/>
      <c r="Z213" s="137"/>
      <c r="AA213" s="137"/>
      <c r="AB213" s="137"/>
      <c r="AC213" s="137"/>
      <c r="AD213" s="137"/>
      <c r="AE213" s="137"/>
      <c r="AF213" s="137"/>
      <c r="AG213" s="136"/>
      <c r="AH213" s="138"/>
      <c r="AI213" s="131"/>
      <c r="AJ213" s="47"/>
      <c r="AK213" s="55"/>
      <c r="AL213" s="55"/>
    </row>
    <row r="214" spans="1:38" ht="31.95" customHeight="1" x14ac:dyDescent="0.3">
      <c r="A214" s="12">
        <v>44063</v>
      </c>
      <c r="B214" s="196">
        <v>0.69891203703703697</v>
      </c>
      <c r="C214" s="48"/>
      <c r="D214" s="48"/>
      <c r="E214" s="48">
        <f>IF(I214=Categories!$E$4,VLOOKUP(H214,Categories!$A$4:$C$13,3,1),VLOOKUP(I214,Categories!$E$4:$G$24,3,1))</f>
        <v>60</v>
      </c>
      <c r="F214" s="48"/>
      <c r="G214" s="43">
        <v>24</v>
      </c>
      <c r="H214" s="49" t="s">
        <v>224</v>
      </c>
      <c r="I214" s="50" t="s">
        <v>60</v>
      </c>
      <c r="J214" s="51"/>
      <c r="K214" s="121">
        <v>3100</v>
      </c>
      <c r="L214" s="52" t="s">
        <v>0</v>
      </c>
      <c r="M214" s="53" t="str">
        <f>IFERROR(VLOOKUP(VLOOKUP(O214,O214,1,1),Categories!$K$4:$V$17,2+VLOOKUP(L214,L214,1,1)),"-"  )</f>
        <v>-</v>
      </c>
      <c r="N214" s="53" t="str">
        <f>IFERROR(VLOOKUP(VLOOKUP(O214,O214,1,1),Categories!$K$3:$V$17,7+VLOOKUP(L214,L214,1,1)),"-")</f>
        <v>-</v>
      </c>
      <c r="O214" s="54" t="s">
        <v>0</v>
      </c>
      <c r="P214" s="178">
        <v>40</v>
      </c>
      <c r="Q214" s="180">
        <f t="shared" si="3"/>
        <v>4.2299999999999995</v>
      </c>
      <c r="R214" s="132"/>
      <c r="S214" s="132"/>
      <c r="T214" s="139"/>
      <c r="U214" s="169"/>
      <c r="V214" s="135"/>
      <c r="W214" s="135"/>
      <c r="X214" s="136"/>
      <c r="Y214" s="137"/>
      <c r="Z214" s="137"/>
      <c r="AA214" s="137"/>
      <c r="AB214" s="137"/>
      <c r="AC214" s="137"/>
      <c r="AD214" s="137"/>
      <c r="AE214" s="137"/>
      <c r="AF214" s="137"/>
      <c r="AG214" s="136"/>
      <c r="AH214" s="138"/>
      <c r="AI214" s="131"/>
      <c r="AJ214" s="47"/>
      <c r="AK214" s="55"/>
      <c r="AL214" s="55"/>
    </row>
    <row r="215" spans="1:38" ht="31.95" customHeight="1" x14ac:dyDescent="0.3">
      <c r="A215" s="12">
        <v>44063</v>
      </c>
      <c r="B215" s="196">
        <v>0.69964120370370375</v>
      </c>
      <c r="C215" s="48"/>
      <c r="D215" s="48"/>
      <c r="E215" s="48">
        <f>IF(I215=Categories!$E$4,VLOOKUP(H215,Categories!$A$4:$C$13,3,1),VLOOKUP(I215,Categories!$E$4:$G$24,3,1))</f>
        <v>120</v>
      </c>
      <c r="F215" s="48"/>
      <c r="G215" s="43">
        <v>24</v>
      </c>
      <c r="H215" s="49" t="s">
        <v>44</v>
      </c>
      <c r="I215" s="44" t="s">
        <v>0</v>
      </c>
      <c r="J215" s="51"/>
      <c r="K215" s="121">
        <v>3100</v>
      </c>
      <c r="L215" s="52" t="s">
        <v>0</v>
      </c>
      <c r="M215" s="53" t="str">
        <f>IFERROR(VLOOKUP(VLOOKUP(O215,O215,1,1),Categories!$K$4:$V$17,2+VLOOKUP(L215,L215,1,1)),"-"  )</f>
        <v>-</v>
      </c>
      <c r="N215" s="53" t="str">
        <f>IFERROR(VLOOKUP(VLOOKUP(O215,O215,1,1),Categories!$K$3:$V$17,7+VLOOKUP(L215,L215,1,1)),"-")</f>
        <v>-</v>
      </c>
      <c r="O215" s="54" t="s">
        <v>0</v>
      </c>
      <c r="P215" s="176">
        <v>40</v>
      </c>
      <c r="Q215" s="180">
        <f t="shared" si="3"/>
        <v>4.2299999999999995</v>
      </c>
      <c r="R215" s="132"/>
      <c r="S215" s="132"/>
      <c r="T215" s="139"/>
      <c r="U215" s="169"/>
      <c r="V215" s="135">
        <v>2.8</v>
      </c>
      <c r="W215" s="135">
        <v>4.2</v>
      </c>
      <c r="X215" s="136"/>
      <c r="Y215" s="137"/>
      <c r="Z215" s="137"/>
      <c r="AA215" s="137"/>
      <c r="AB215" s="137"/>
      <c r="AC215" s="137"/>
      <c r="AD215" s="137"/>
      <c r="AE215" s="137"/>
      <c r="AF215" s="137"/>
      <c r="AG215" s="136"/>
      <c r="AH215" s="138"/>
      <c r="AI215" s="131"/>
      <c r="AJ215" s="47"/>
      <c r="AK215" s="55"/>
      <c r="AL215" s="55"/>
    </row>
    <row r="216" spans="1:38" ht="31.95" customHeight="1" x14ac:dyDescent="0.3">
      <c r="A216" s="12">
        <v>44063</v>
      </c>
      <c r="B216" s="196">
        <v>0.7012152777777777</v>
      </c>
      <c r="C216" s="48"/>
      <c r="D216" s="48"/>
      <c r="E216" s="48">
        <f>IF(I216=Categories!$E$4,VLOOKUP(H216,Categories!$A$4:$C$13,3,1),VLOOKUP(I216,Categories!$E$4:$G$24,3,1))</f>
        <v>60</v>
      </c>
      <c r="F216" s="48"/>
      <c r="G216" s="43">
        <v>24</v>
      </c>
      <c r="H216" s="49" t="s">
        <v>224</v>
      </c>
      <c r="I216" s="50" t="s">
        <v>60</v>
      </c>
      <c r="J216" s="51"/>
      <c r="K216" s="121">
        <v>3100</v>
      </c>
      <c r="L216" s="52" t="s">
        <v>0</v>
      </c>
      <c r="M216" s="53" t="str">
        <f>IFERROR(VLOOKUP(VLOOKUP(O216,O216,1,1),Categories!$K$4:$V$17,2+VLOOKUP(L216,L216,1,1)),"-"  )</f>
        <v>-</v>
      </c>
      <c r="N216" s="53" t="str">
        <f>IFERROR(VLOOKUP(VLOOKUP(O216,O216,1,1),Categories!$K$3:$V$17,7+VLOOKUP(L216,L216,1,1)),"-")</f>
        <v>-</v>
      </c>
      <c r="O216" s="54" t="s">
        <v>0</v>
      </c>
      <c r="P216" s="178">
        <v>60</v>
      </c>
      <c r="Q216" s="180">
        <f t="shared" si="3"/>
        <v>2.8200000000000003</v>
      </c>
      <c r="R216" s="132"/>
      <c r="S216" s="132"/>
      <c r="T216" s="139"/>
      <c r="U216" s="169"/>
      <c r="V216" s="135"/>
      <c r="W216" s="135"/>
      <c r="X216" s="136"/>
      <c r="Y216" s="137"/>
      <c r="Z216" s="137"/>
      <c r="AA216" s="137"/>
      <c r="AB216" s="137"/>
      <c r="AC216" s="137"/>
      <c r="AD216" s="137"/>
      <c r="AE216" s="137"/>
      <c r="AF216" s="137"/>
      <c r="AG216" s="136"/>
      <c r="AH216" s="138"/>
      <c r="AI216" s="131"/>
      <c r="AJ216" s="47"/>
      <c r="AK216" s="55"/>
      <c r="AL216" s="55"/>
    </row>
    <row r="217" spans="1:38" ht="31.95" customHeight="1" x14ac:dyDescent="0.3">
      <c r="A217" s="12">
        <v>44063</v>
      </c>
      <c r="B217" s="196">
        <v>0.70190972222222225</v>
      </c>
      <c r="C217" s="48"/>
      <c r="D217" s="48"/>
      <c r="E217" s="48">
        <f>IF(I217=Categories!$E$4,VLOOKUP(H217,Categories!$A$4:$C$13,3,1),VLOOKUP(I217,Categories!$E$4:$G$24,3,1))</f>
        <v>120</v>
      </c>
      <c r="F217" s="48"/>
      <c r="G217" s="43">
        <v>24</v>
      </c>
      <c r="H217" s="49" t="s">
        <v>44</v>
      </c>
      <c r="I217" s="44" t="s">
        <v>0</v>
      </c>
      <c r="J217" s="51"/>
      <c r="K217" s="121">
        <v>3100</v>
      </c>
      <c r="L217" s="52" t="s">
        <v>0</v>
      </c>
      <c r="M217" s="53" t="str">
        <f>IFERROR(VLOOKUP(VLOOKUP(O217,O217,1,1),Categories!$K$4:$V$17,2+VLOOKUP(L217,L217,1,1)),"-"  )</f>
        <v>-</v>
      </c>
      <c r="N217" s="53" t="str">
        <f>IFERROR(VLOOKUP(VLOOKUP(O217,O217,1,1),Categories!$K$3:$V$17,7+VLOOKUP(L217,L217,1,1)),"-")</f>
        <v>-</v>
      </c>
      <c r="O217" s="54" t="s">
        <v>0</v>
      </c>
      <c r="P217" s="176">
        <v>60</v>
      </c>
      <c r="Q217" s="180">
        <f t="shared" si="3"/>
        <v>2.8200000000000003</v>
      </c>
      <c r="R217" s="132"/>
      <c r="S217" s="132"/>
      <c r="T217" s="139"/>
      <c r="U217" s="169"/>
      <c r="V217" s="135">
        <v>1.7</v>
      </c>
      <c r="W217" s="135">
        <v>3.6</v>
      </c>
      <c r="X217" s="136"/>
      <c r="Y217" s="137"/>
      <c r="Z217" s="137"/>
      <c r="AA217" s="137"/>
      <c r="AB217" s="137"/>
      <c r="AC217" s="137"/>
      <c r="AD217" s="137"/>
      <c r="AE217" s="137"/>
      <c r="AF217" s="137"/>
      <c r="AG217" s="136"/>
      <c r="AH217" s="138"/>
      <c r="AI217" s="131"/>
      <c r="AJ217" s="47"/>
      <c r="AK217" s="55"/>
      <c r="AL217" s="55"/>
    </row>
    <row r="218" spans="1:38" ht="31.95" customHeight="1" x14ac:dyDescent="0.3">
      <c r="A218" s="12">
        <v>44063</v>
      </c>
      <c r="B218" s="196">
        <v>0.70349537037037047</v>
      </c>
      <c r="C218" s="48"/>
      <c r="D218" s="48"/>
      <c r="E218" s="48">
        <f>IF(I218=Categories!$E$4,VLOOKUP(H218,Categories!$A$4:$C$13,3,1),VLOOKUP(I218,Categories!$E$4:$G$24,3,1))</f>
        <v>60</v>
      </c>
      <c r="F218" s="48"/>
      <c r="G218" s="43">
        <v>24</v>
      </c>
      <c r="H218" s="49" t="s">
        <v>224</v>
      </c>
      <c r="I218" s="50" t="s">
        <v>60</v>
      </c>
      <c r="J218" s="51"/>
      <c r="K218" s="121">
        <v>3100</v>
      </c>
      <c r="L218" s="52" t="s">
        <v>0</v>
      </c>
      <c r="M218" s="53" t="str">
        <f>IFERROR(VLOOKUP(VLOOKUP(O218,O218,1,1),Categories!$K$4:$V$17,2+VLOOKUP(L218,L218,1,1)),"-"  )</f>
        <v>-</v>
      </c>
      <c r="N218" s="53" t="str">
        <f>IFERROR(VLOOKUP(VLOOKUP(O218,O218,1,1),Categories!$K$3:$V$17,7+VLOOKUP(L218,L218,1,1)),"-")</f>
        <v>-</v>
      </c>
      <c r="O218" s="54" t="s">
        <v>0</v>
      </c>
      <c r="P218" s="178">
        <v>80</v>
      </c>
      <c r="Q218" s="180">
        <f t="shared" si="3"/>
        <v>1.4099999999999997</v>
      </c>
      <c r="R218" s="132"/>
      <c r="S218" s="132"/>
      <c r="T218" s="139"/>
      <c r="U218" s="169"/>
      <c r="V218" s="135"/>
      <c r="W218" s="135"/>
      <c r="X218" s="136"/>
      <c r="Y218" s="137"/>
      <c r="Z218" s="137"/>
      <c r="AA218" s="137"/>
      <c r="AB218" s="137"/>
      <c r="AC218" s="137"/>
      <c r="AD218" s="137"/>
      <c r="AE218" s="137"/>
      <c r="AF218" s="137"/>
      <c r="AG218" s="136"/>
      <c r="AH218" s="138"/>
      <c r="AI218" s="131"/>
      <c r="AJ218" s="47"/>
      <c r="AK218" s="55"/>
      <c r="AL218" s="55"/>
    </row>
    <row r="219" spans="1:38" ht="31.95" customHeight="1" x14ac:dyDescent="0.3">
      <c r="A219" s="12">
        <v>44063</v>
      </c>
      <c r="B219" s="196">
        <v>0.70432870370370371</v>
      </c>
      <c r="C219" s="48"/>
      <c r="D219" s="48"/>
      <c r="E219" s="48">
        <f>IF(I219=Categories!$E$4,VLOOKUP(H219,Categories!$A$4:$C$13,3,1),VLOOKUP(I219,Categories!$E$4:$G$24,3,1))</f>
        <v>120</v>
      </c>
      <c r="F219" s="48"/>
      <c r="G219" s="43">
        <v>24</v>
      </c>
      <c r="H219" s="49" t="s">
        <v>44</v>
      </c>
      <c r="I219" s="44" t="s">
        <v>0</v>
      </c>
      <c r="J219" s="51"/>
      <c r="K219" s="121">
        <v>3100</v>
      </c>
      <c r="L219" s="52" t="s">
        <v>0</v>
      </c>
      <c r="M219" s="53" t="str">
        <f>IFERROR(VLOOKUP(VLOOKUP(O219,O219,1,1),Categories!$K$4:$V$17,2+VLOOKUP(L219,L219,1,1)),"-"  )</f>
        <v>-</v>
      </c>
      <c r="N219" s="53" t="str">
        <f>IFERROR(VLOOKUP(VLOOKUP(O219,O219,1,1),Categories!$K$3:$V$17,7+VLOOKUP(L219,L219,1,1)),"-")</f>
        <v>-</v>
      </c>
      <c r="O219" s="54" t="s">
        <v>0</v>
      </c>
      <c r="P219" s="176">
        <v>80</v>
      </c>
      <c r="Q219" s="180">
        <f>IF(P219="-","-",$X$177*(1-P219/100))</f>
        <v>1.4099999999999997</v>
      </c>
      <c r="R219" s="132"/>
      <c r="S219" s="132"/>
      <c r="T219" s="139"/>
      <c r="U219" s="169"/>
      <c r="V219" s="135">
        <v>0.7</v>
      </c>
      <c r="W219" s="135">
        <v>2.9</v>
      </c>
      <c r="X219" s="136"/>
      <c r="Y219" s="137"/>
      <c r="Z219" s="137"/>
      <c r="AA219" s="137"/>
      <c r="AB219" s="137"/>
      <c r="AC219" s="137"/>
      <c r="AD219" s="137"/>
      <c r="AE219" s="137"/>
      <c r="AF219" s="137"/>
      <c r="AG219" s="136"/>
      <c r="AH219" s="138"/>
      <c r="AI219" s="131"/>
      <c r="AJ219" s="47"/>
      <c r="AK219" s="55"/>
      <c r="AL219" s="55"/>
    </row>
    <row r="220" spans="1:38" ht="31.95" customHeight="1" thickBot="1" x14ac:dyDescent="0.35">
      <c r="A220" s="167">
        <v>44063</v>
      </c>
      <c r="B220" s="197">
        <v>0.70586805555555554</v>
      </c>
      <c r="C220" s="48"/>
      <c r="D220" s="48"/>
      <c r="E220" s="48">
        <f>IF(I220=Categories!$E$4,VLOOKUP(H220,Categories!$A$4:$C$13,3,1),VLOOKUP(I220,Categories!$E$4:$G$24,3,1))</f>
        <v>60</v>
      </c>
      <c r="F220" s="48"/>
      <c r="G220" s="43" t="s">
        <v>0</v>
      </c>
      <c r="H220" s="49" t="s">
        <v>224</v>
      </c>
      <c r="I220" s="50" t="s">
        <v>60</v>
      </c>
      <c r="J220" s="51"/>
      <c r="K220" s="121">
        <v>3100</v>
      </c>
      <c r="L220" s="52" t="s">
        <v>0</v>
      </c>
      <c r="M220" s="53" t="str">
        <f>IFERROR(VLOOKUP(VLOOKUP(O220,O220,1,1),Categories!$K$4:$V$17,2+VLOOKUP(L220,L220,1,1)),"-"  )</f>
        <v>-</v>
      </c>
      <c r="N220" s="53" t="str">
        <f>IFERROR(VLOOKUP(VLOOKUP(O220,O220,1,1),Categories!$K$3:$V$17,7+VLOOKUP(L220,L220,1,1)),"-")</f>
        <v>-</v>
      </c>
      <c r="O220" s="54" t="s">
        <v>0</v>
      </c>
      <c r="P220" s="178">
        <v>0</v>
      </c>
      <c r="Q220" s="180">
        <f>IF(P220="-","-",$X$177*(1-P220/100))</f>
        <v>7.05</v>
      </c>
      <c r="R220" s="169"/>
      <c r="S220" s="169"/>
      <c r="T220" s="168"/>
      <c r="U220" s="169"/>
      <c r="V220" s="170"/>
      <c r="W220" s="170"/>
      <c r="X220" s="171"/>
      <c r="Y220" s="172"/>
      <c r="Z220" s="172"/>
      <c r="AA220" s="172"/>
      <c r="AB220" s="172"/>
      <c r="AC220" s="172"/>
      <c r="AD220" s="172"/>
      <c r="AE220" s="172"/>
      <c r="AF220" s="172"/>
      <c r="AG220" s="171"/>
      <c r="AH220" s="173"/>
      <c r="AI220" s="131"/>
      <c r="AJ220" s="55"/>
      <c r="AK220" s="55"/>
      <c r="AL220" s="55"/>
    </row>
    <row r="221" spans="1:38" ht="31.95" customHeight="1" thickBot="1" x14ac:dyDescent="0.35">
      <c r="A221" s="167">
        <v>44063</v>
      </c>
      <c r="B221" s="197">
        <v>0.70690972222222215</v>
      </c>
      <c r="C221" s="48"/>
      <c r="D221" s="48"/>
      <c r="E221" s="48">
        <f>IF(I221=Categories!$E$4,VLOOKUP(H221,Categories!$A$4:$C$13,3,1),VLOOKUP(I221,Categories!$E$4:$G$24,3,1))</f>
        <v>120</v>
      </c>
      <c r="F221" s="48"/>
      <c r="G221" s="43">
        <v>25</v>
      </c>
      <c r="H221" s="49" t="s">
        <v>44</v>
      </c>
      <c r="I221" s="50" t="s">
        <v>0</v>
      </c>
      <c r="J221" s="51"/>
      <c r="K221" s="121">
        <v>3100</v>
      </c>
      <c r="L221" s="52" t="s">
        <v>0</v>
      </c>
      <c r="M221" s="53" t="str">
        <f>IFERROR(VLOOKUP(VLOOKUP(O221,O221,1,1),Categories!$K$4:$V$17,2+VLOOKUP(L221,L221,1,1)),"-"  )</f>
        <v>-</v>
      </c>
      <c r="N221" s="53" t="str">
        <f>IFERROR(VLOOKUP(VLOOKUP(O221,O221,1,1),Categories!$K$3:$V$17,7+VLOOKUP(L221,L221,1,1)),"-")</f>
        <v>-</v>
      </c>
      <c r="O221" s="54" t="s">
        <v>0</v>
      </c>
      <c r="P221" s="176" t="s">
        <v>0</v>
      </c>
      <c r="Q221" s="180" t="s">
        <v>0</v>
      </c>
      <c r="R221" s="169"/>
      <c r="S221" s="169"/>
      <c r="T221" s="168"/>
      <c r="U221" s="169"/>
      <c r="V221" s="170">
        <v>5.2</v>
      </c>
      <c r="W221" s="170">
        <v>5.4</v>
      </c>
      <c r="X221" s="179">
        <v>7.04</v>
      </c>
      <c r="Y221" s="172"/>
      <c r="Z221" s="172"/>
      <c r="AA221" s="172"/>
      <c r="AB221" s="172"/>
      <c r="AC221" s="172"/>
      <c r="AD221" s="172"/>
      <c r="AE221" s="172"/>
      <c r="AF221" s="172"/>
      <c r="AG221" s="171"/>
      <c r="AH221" s="173"/>
      <c r="AI221" s="131"/>
      <c r="AJ221" s="55"/>
      <c r="AK221" s="55"/>
      <c r="AL221" s="55" t="s">
        <v>312</v>
      </c>
    </row>
    <row r="222" spans="1:38" ht="31.95" customHeight="1" thickBot="1" x14ac:dyDescent="0.35">
      <c r="A222" s="167">
        <v>44063</v>
      </c>
      <c r="B222" s="197">
        <v>0.70836805555555549</v>
      </c>
      <c r="C222" s="48"/>
      <c r="D222" s="48"/>
      <c r="E222" s="48">
        <f>IF(I222=Categories!$E$4,VLOOKUP(H222,Categories!$A$4:$C$13,3,1),VLOOKUP(I222,Categories!$E$4:$G$24,3,1))</f>
        <v>45</v>
      </c>
      <c r="F222" s="48"/>
      <c r="G222" s="43">
        <v>25</v>
      </c>
      <c r="H222" s="49" t="s">
        <v>224</v>
      </c>
      <c r="I222" s="50" t="s">
        <v>2</v>
      </c>
      <c r="J222" s="51"/>
      <c r="K222" s="121">
        <v>2800</v>
      </c>
      <c r="L222" s="52" t="s">
        <v>0</v>
      </c>
      <c r="M222" s="53" t="str">
        <f>IFERROR(VLOOKUP(VLOOKUP(O222,O222,1,1),Categories!$K$4:$V$17,2+VLOOKUP(L222,L222,1,1)),"-"  )</f>
        <v>-</v>
      </c>
      <c r="N222" s="53" t="str">
        <f>IFERROR(VLOOKUP(VLOOKUP(O222,O222,1,1),Categories!$K$3:$V$17,7+VLOOKUP(L222,L222,1,1)),"-")</f>
        <v>-</v>
      </c>
      <c r="O222" s="54" t="s">
        <v>0</v>
      </c>
      <c r="P222" s="176" t="s">
        <v>0</v>
      </c>
      <c r="Q222" s="180" t="s">
        <v>0</v>
      </c>
      <c r="R222" s="169"/>
      <c r="S222" s="169"/>
      <c r="T222" s="168"/>
      <c r="U222" s="169"/>
      <c r="V222" s="170"/>
      <c r="W222" s="170"/>
      <c r="X222" s="171"/>
      <c r="Y222" s="172"/>
      <c r="Z222" s="172"/>
      <c r="AA222" s="172"/>
      <c r="AB222" s="172"/>
      <c r="AC222" s="172"/>
      <c r="AD222" s="172"/>
      <c r="AE222" s="172"/>
      <c r="AF222" s="172"/>
      <c r="AG222" s="171"/>
      <c r="AH222" s="173"/>
      <c r="AI222" s="131"/>
      <c r="AJ222" s="55"/>
      <c r="AK222" s="55"/>
      <c r="AL222" s="55" t="s">
        <v>311</v>
      </c>
    </row>
    <row r="223" spans="1:38" ht="31.95" customHeight="1" thickBot="1" x14ac:dyDescent="0.35">
      <c r="A223" s="167">
        <v>44063</v>
      </c>
      <c r="B223" s="197">
        <v>0.70894675925925921</v>
      </c>
      <c r="C223" s="48"/>
      <c r="D223" s="48"/>
      <c r="E223" s="48">
        <f>IF(I223=Categories!$E$4,VLOOKUP(H223,Categories!$A$4:$C$13,3,1),VLOOKUP(I223,Categories!$E$4:$G$24,3,1))</f>
        <v>120</v>
      </c>
      <c r="F223" s="48"/>
      <c r="G223" s="43">
        <v>25</v>
      </c>
      <c r="H223" s="49" t="s">
        <v>1</v>
      </c>
      <c r="I223" s="50" t="s">
        <v>0</v>
      </c>
      <c r="J223" s="51"/>
      <c r="K223" s="121">
        <v>2800</v>
      </c>
      <c r="L223" s="52" t="s">
        <v>0</v>
      </c>
      <c r="M223" s="53" t="str">
        <f>IFERROR(VLOOKUP(VLOOKUP(O223,O223,1,1),Categories!$K$4:$V$17,2+VLOOKUP(L223,L223,1,1)),"-"  )</f>
        <v>-</v>
      </c>
      <c r="N223" s="53" t="str">
        <f>IFERROR(VLOOKUP(VLOOKUP(O223,O223,1,1),Categories!$K$3:$V$17,7+VLOOKUP(L223,L223,1,1)),"-")</f>
        <v>-</v>
      </c>
      <c r="O223" s="54" t="s">
        <v>0</v>
      </c>
      <c r="P223" s="176" t="s">
        <v>0</v>
      </c>
      <c r="Q223" s="180" t="s">
        <v>0</v>
      </c>
      <c r="R223" s="169"/>
      <c r="S223" s="169"/>
      <c r="T223" s="168"/>
      <c r="U223" s="169"/>
      <c r="V223" s="170">
        <v>4.4000000000000004</v>
      </c>
      <c r="W223" s="170">
        <v>4</v>
      </c>
      <c r="X223" s="179">
        <v>6.3</v>
      </c>
      <c r="Y223" s="172"/>
      <c r="Z223" s="172"/>
      <c r="AA223" s="172"/>
      <c r="AB223" s="172"/>
      <c r="AC223" s="172"/>
      <c r="AD223" s="172"/>
      <c r="AE223" s="172"/>
      <c r="AF223" s="172"/>
      <c r="AG223" s="171"/>
      <c r="AH223" s="173"/>
      <c r="AI223" s="131"/>
      <c r="AJ223" s="55"/>
      <c r="AK223" s="55"/>
      <c r="AL223" s="55" t="s">
        <v>313</v>
      </c>
    </row>
    <row r="224" spans="1:38" ht="31.95" customHeight="1" thickBot="1" x14ac:dyDescent="0.35">
      <c r="A224" s="167">
        <v>44063</v>
      </c>
      <c r="B224" s="197">
        <v>0.71049768518518519</v>
      </c>
      <c r="C224" s="48"/>
      <c r="D224" s="48"/>
      <c r="E224" s="48">
        <f>IF(I224=Categories!$E$4,VLOOKUP(H224,Categories!$A$4:$C$13,3,1),VLOOKUP(I224,Categories!$E$4:$G$24,3,1))</f>
        <v>45</v>
      </c>
      <c r="F224" s="48"/>
      <c r="G224" s="43">
        <v>25</v>
      </c>
      <c r="H224" s="49" t="s">
        <v>224</v>
      </c>
      <c r="I224" s="50" t="s">
        <v>2</v>
      </c>
      <c r="J224" s="51"/>
      <c r="K224" s="121">
        <v>2500</v>
      </c>
      <c r="L224" s="52" t="s">
        <v>0</v>
      </c>
      <c r="M224" s="53" t="str">
        <f>IFERROR(VLOOKUP(VLOOKUP(O224,O224,1,1),Categories!$K$4:$V$17,2+VLOOKUP(L224,L224,1,1)),"-"  )</f>
        <v>-</v>
      </c>
      <c r="N224" s="53" t="str">
        <f>IFERROR(VLOOKUP(VLOOKUP(O224,O224,1,1),Categories!$K$3:$V$17,7+VLOOKUP(L224,L224,1,1)),"-")</f>
        <v>-</v>
      </c>
      <c r="O224" s="54" t="s">
        <v>0</v>
      </c>
      <c r="P224" s="176" t="s">
        <v>0</v>
      </c>
      <c r="Q224" s="180" t="s">
        <v>0</v>
      </c>
      <c r="R224" s="169"/>
      <c r="S224" s="169"/>
      <c r="T224" s="168"/>
      <c r="U224" s="169"/>
      <c r="V224" s="170"/>
      <c r="W224" s="170"/>
      <c r="X224" s="171"/>
      <c r="Y224" s="172"/>
      <c r="Z224" s="172"/>
      <c r="AA224" s="172"/>
      <c r="AB224" s="172"/>
      <c r="AC224" s="172"/>
      <c r="AD224" s="172"/>
      <c r="AE224" s="172"/>
      <c r="AF224" s="172"/>
      <c r="AG224" s="171"/>
      <c r="AH224" s="173"/>
      <c r="AI224" s="131"/>
      <c r="AJ224" s="55"/>
      <c r="AK224" s="55"/>
      <c r="AL224" s="55" t="s">
        <v>314</v>
      </c>
    </row>
    <row r="225" spans="1:38" ht="31.95" customHeight="1" thickBot="1" x14ac:dyDescent="0.35">
      <c r="A225" s="167">
        <v>44063</v>
      </c>
      <c r="B225" s="197">
        <v>0.71114583333333325</v>
      </c>
      <c r="C225" s="48"/>
      <c r="D225" s="48"/>
      <c r="E225" s="48">
        <f>IF(I225=Categories!$E$4,VLOOKUP(H225,Categories!$A$4:$C$13,3,1),VLOOKUP(I225,Categories!$E$4:$G$24,3,1))</f>
        <v>120</v>
      </c>
      <c r="F225" s="48"/>
      <c r="G225" s="43">
        <v>25</v>
      </c>
      <c r="H225" s="49" t="s">
        <v>44</v>
      </c>
      <c r="I225" s="50" t="s">
        <v>0</v>
      </c>
      <c r="J225" s="51"/>
      <c r="K225" s="121">
        <v>2500</v>
      </c>
      <c r="L225" s="52" t="s">
        <v>0</v>
      </c>
      <c r="M225" s="53" t="str">
        <f>IFERROR(VLOOKUP(VLOOKUP(O225,O225,1,1),Categories!$K$4:$V$17,2+VLOOKUP(L225,L225,1,1)),"-"  )</f>
        <v>-</v>
      </c>
      <c r="N225" s="53" t="str">
        <f>IFERROR(VLOOKUP(VLOOKUP(O225,O225,1,1),Categories!$K$3:$V$17,7+VLOOKUP(L225,L225,1,1)),"-")</f>
        <v>-</v>
      </c>
      <c r="O225" s="54" t="s">
        <v>0</v>
      </c>
      <c r="P225" s="176" t="s">
        <v>0</v>
      </c>
      <c r="Q225" s="180" t="s">
        <v>0</v>
      </c>
      <c r="R225" s="169"/>
      <c r="S225" s="169"/>
      <c r="T225" s="168"/>
      <c r="U225" s="169"/>
      <c r="V225" s="170">
        <v>3.8</v>
      </c>
      <c r="W225" s="170">
        <v>2.9</v>
      </c>
      <c r="X225" s="179">
        <v>5.58</v>
      </c>
      <c r="Y225" s="172"/>
      <c r="Z225" s="172"/>
      <c r="AA225" s="172"/>
      <c r="AB225" s="172"/>
      <c r="AC225" s="172"/>
      <c r="AD225" s="172"/>
      <c r="AE225" s="172"/>
      <c r="AF225" s="172"/>
      <c r="AG225" s="171"/>
      <c r="AH225" s="173"/>
      <c r="AI225" s="131"/>
      <c r="AJ225" s="55"/>
      <c r="AK225" s="55"/>
      <c r="AL225" s="55" t="s">
        <v>310</v>
      </c>
    </row>
    <row r="226" spans="1:38" ht="31.95" customHeight="1" thickBot="1" x14ac:dyDescent="0.35">
      <c r="A226" s="167">
        <v>44063</v>
      </c>
      <c r="B226" s="197">
        <v>0.71271990740740743</v>
      </c>
      <c r="C226" s="48"/>
      <c r="D226" s="48"/>
      <c r="E226" s="48">
        <f>IF(I226=Categories!$E$4,VLOOKUP(H226,Categories!$A$4:$C$13,3,1),VLOOKUP(I226,Categories!$E$4:$G$24,3,1))</f>
        <v>45</v>
      </c>
      <c r="F226" s="48"/>
      <c r="G226" s="43">
        <v>25</v>
      </c>
      <c r="H226" s="49" t="s">
        <v>224</v>
      </c>
      <c r="I226" s="50" t="s">
        <v>2</v>
      </c>
      <c r="J226" s="51"/>
      <c r="K226" s="121">
        <v>2200</v>
      </c>
      <c r="L226" s="52" t="s">
        <v>0</v>
      </c>
      <c r="M226" s="53" t="str">
        <f>IFERROR(VLOOKUP(VLOOKUP(O226,O226,1,1),Categories!$K$4:$V$17,2+VLOOKUP(L226,L226,1,1)),"-"  )</f>
        <v>-</v>
      </c>
      <c r="N226" s="53" t="str">
        <f>IFERROR(VLOOKUP(VLOOKUP(O226,O226,1,1),Categories!$K$3:$V$17,7+VLOOKUP(L226,L226,1,1)),"-")</f>
        <v>-</v>
      </c>
      <c r="O226" s="54" t="s">
        <v>0</v>
      </c>
      <c r="P226" s="176" t="s">
        <v>0</v>
      </c>
      <c r="Q226" s="180" t="s">
        <v>0</v>
      </c>
      <c r="R226" s="169"/>
      <c r="S226" s="169"/>
      <c r="T226" s="168"/>
      <c r="U226" s="169"/>
      <c r="V226" s="170"/>
      <c r="W226" s="170"/>
      <c r="X226" s="171"/>
      <c r="Y226" s="172"/>
      <c r="Z226" s="172"/>
      <c r="AA226" s="172"/>
      <c r="AB226" s="172"/>
      <c r="AC226" s="172"/>
      <c r="AD226" s="172"/>
      <c r="AE226" s="172"/>
      <c r="AF226" s="172"/>
      <c r="AG226" s="171"/>
      <c r="AH226" s="173"/>
      <c r="AI226" s="131"/>
      <c r="AJ226" s="55"/>
      <c r="AK226" s="55"/>
      <c r="AL226" s="55" t="s">
        <v>310</v>
      </c>
    </row>
    <row r="227" spans="1:38" ht="31.95" customHeight="1" thickBot="1" x14ac:dyDescent="0.35">
      <c r="A227" s="167">
        <v>44063</v>
      </c>
      <c r="B227" s="197">
        <v>0.71331018518518519</v>
      </c>
      <c r="C227" s="48"/>
      <c r="D227" s="48"/>
      <c r="E227" s="48">
        <f>IF(I227=Categories!$E$4,VLOOKUP(H227,Categories!$A$4:$C$13,3,1),VLOOKUP(I227,Categories!$E$4:$G$24,3,1))</f>
        <v>120</v>
      </c>
      <c r="F227" s="48"/>
      <c r="G227" s="43">
        <v>25</v>
      </c>
      <c r="H227" s="49" t="s">
        <v>44</v>
      </c>
      <c r="I227" s="50" t="s">
        <v>0</v>
      </c>
      <c r="J227" s="51"/>
      <c r="K227" s="121">
        <v>2200</v>
      </c>
      <c r="L227" s="52" t="s">
        <v>0</v>
      </c>
      <c r="M227" s="53" t="str">
        <f>IFERROR(VLOOKUP(VLOOKUP(O227,O227,1,1),Categories!$K$4:$V$17,2+VLOOKUP(L227,L227,1,1)),"-"  )</f>
        <v>-</v>
      </c>
      <c r="N227" s="53" t="str">
        <f>IFERROR(VLOOKUP(VLOOKUP(O227,O227,1,1),Categories!$K$3:$V$17,7+VLOOKUP(L227,L227,1,1)),"-")</f>
        <v>-</v>
      </c>
      <c r="O227" s="54" t="s">
        <v>0</v>
      </c>
      <c r="P227" s="176" t="s">
        <v>0</v>
      </c>
      <c r="Q227" s="180" t="s">
        <v>0</v>
      </c>
      <c r="R227" s="169"/>
      <c r="S227" s="169"/>
      <c r="T227" s="168"/>
      <c r="U227" s="169"/>
      <c r="V227" s="170">
        <v>3.2</v>
      </c>
      <c r="W227" s="170">
        <v>2.1</v>
      </c>
      <c r="X227" s="179">
        <v>4.8499999999999996</v>
      </c>
      <c r="Y227" s="172"/>
      <c r="Z227" s="172"/>
      <c r="AA227" s="172"/>
      <c r="AB227" s="172"/>
      <c r="AC227" s="172"/>
      <c r="AD227" s="172"/>
      <c r="AE227" s="172"/>
      <c r="AF227" s="172"/>
      <c r="AG227" s="171"/>
      <c r="AH227" s="173"/>
      <c r="AI227" s="131"/>
      <c r="AJ227" s="55"/>
      <c r="AK227" s="55"/>
      <c r="AL227" s="55" t="s">
        <v>310</v>
      </c>
    </row>
    <row r="228" spans="1:38" ht="31.95" customHeight="1" x14ac:dyDescent="0.3">
      <c r="A228" s="167">
        <v>44063</v>
      </c>
      <c r="B228" s="197">
        <v>0.71484953703703702</v>
      </c>
      <c r="C228" s="48"/>
      <c r="D228" s="48"/>
      <c r="E228" s="48" t="str">
        <f>IF(I228=Categories!$E$4,VLOOKUP(H228,Categories!$A$4:$C$13,3,1),VLOOKUP(I228,Categories!$E$4:$G$24,3,1))</f>
        <v>-</v>
      </c>
      <c r="F228" s="48"/>
      <c r="G228" s="43" t="s">
        <v>0</v>
      </c>
      <c r="H228" s="49" t="s">
        <v>3</v>
      </c>
      <c r="I228" s="50" t="s">
        <v>0</v>
      </c>
      <c r="J228" s="51"/>
      <c r="K228" s="121">
        <v>2200</v>
      </c>
      <c r="L228" s="52" t="s">
        <v>0</v>
      </c>
      <c r="M228" s="53" t="str">
        <f>IFERROR(VLOOKUP(VLOOKUP(O228,O228,1,1),Categories!$K$4:$V$17,2+VLOOKUP(L228,L228,1,1)),"-"  )</f>
        <v>-</v>
      </c>
      <c r="N228" s="53" t="str">
        <f>IFERROR(VLOOKUP(VLOOKUP(O228,O228,1,1),Categories!$K$3:$V$17,7+VLOOKUP(L228,L228,1,1)),"-")</f>
        <v>-</v>
      </c>
      <c r="O228" s="54" t="s">
        <v>0</v>
      </c>
      <c r="P228" s="176" t="s">
        <v>0</v>
      </c>
      <c r="Q228" s="180" t="s">
        <v>0</v>
      </c>
      <c r="R228" s="169"/>
      <c r="S228" s="169"/>
      <c r="T228" s="168"/>
      <c r="U228" s="169"/>
      <c r="V228" s="170"/>
      <c r="W228" s="170"/>
      <c r="X228" s="171"/>
      <c r="Y228" s="172"/>
      <c r="Z228" s="172"/>
      <c r="AA228" s="172"/>
      <c r="AB228" s="172"/>
      <c r="AC228" s="172"/>
      <c r="AD228" s="172"/>
      <c r="AE228" s="172"/>
      <c r="AF228" s="172"/>
      <c r="AG228" s="171"/>
      <c r="AH228" s="173"/>
      <c r="AI228" s="131"/>
      <c r="AJ228" s="55"/>
      <c r="AK228" s="55"/>
      <c r="AL228" s="55" t="s">
        <v>269</v>
      </c>
    </row>
    <row r="229" spans="1:38" ht="31.95" customHeight="1" x14ac:dyDescent="0.3">
      <c r="A229" s="167">
        <v>44063</v>
      </c>
      <c r="B229" s="197">
        <v>0.71487268518518521</v>
      </c>
      <c r="C229" s="48"/>
      <c r="D229" s="48"/>
      <c r="E229" s="48">
        <f>IF(I229=Categories!$E$4,VLOOKUP(H229,Categories!$A$4:$C$13,3,1),VLOOKUP(I229,Categories!$E$4:$G$24,3,1))</f>
        <v>60</v>
      </c>
      <c r="F229" s="48"/>
      <c r="G229" s="43" t="s">
        <v>0</v>
      </c>
      <c r="H229" s="49" t="s">
        <v>224</v>
      </c>
      <c r="I229" s="50" t="s">
        <v>59</v>
      </c>
      <c r="J229" s="51"/>
      <c r="K229" s="121">
        <v>2200</v>
      </c>
      <c r="L229" s="52" t="s">
        <v>0</v>
      </c>
      <c r="M229" s="53" t="str">
        <f>IFERROR(VLOOKUP(VLOOKUP(O229,O229,1,1),Categories!$K$4:$V$17,2+VLOOKUP(L229,L229,1,1)),"-"  )</f>
        <v>-</v>
      </c>
      <c r="N229" s="53" t="str">
        <f>IFERROR(VLOOKUP(VLOOKUP(O229,O229,1,1),Categories!$K$3:$V$17,7+VLOOKUP(L229,L229,1,1)),"-")</f>
        <v>-</v>
      </c>
      <c r="O229" s="54" t="s">
        <v>0</v>
      </c>
      <c r="P229" s="178">
        <v>20</v>
      </c>
      <c r="Q229" s="180">
        <f>IF(P229="-","-",$X$227*(1-P229/100))</f>
        <v>3.88</v>
      </c>
      <c r="R229" s="169"/>
      <c r="S229" s="169"/>
      <c r="T229" s="168"/>
      <c r="U229" s="169"/>
      <c r="V229" s="170"/>
      <c r="W229" s="170"/>
      <c r="X229" s="171"/>
      <c r="Y229" s="172"/>
      <c r="Z229" s="172"/>
      <c r="AA229" s="172"/>
      <c r="AB229" s="172"/>
      <c r="AC229" s="172"/>
      <c r="AD229" s="172"/>
      <c r="AE229" s="172"/>
      <c r="AF229" s="172"/>
      <c r="AG229" s="171"/>
      <c r="AH229" s="173"/>
      <c r="AI229" s="131" t="s">
        <v>234</v>
      </c>
      <c r="AJ229" s="55" t="s">
        <v>319</v>
      </c>
      <c r="AK229" s="55"/>
      <c r="AL229" s="55" t="s">
        <v>269</v>
      </c>
    </row>
    <row r="230" spans="1:38" ht="31.95" customHeight="1" x14ac:dyDescent="0.3">
      <c r="A230" s="12">
        <v>44063</v>
      </c>
      <c r="B230" s="196">
        <v>0.72023148148148142</v>
      </c>
      <c r="C230" s="48"/>
      <c r="D230" s="48"/>
      <c r="E230" s="48">
        <f>IF(I230=Categories!$E$4,VLOOKUP(H230,Categories!$A$4:$C$13,3,1),VLOOKUP(I230,Categories!$E$4:$G$24,3,1))</f>
        <v>120</v>
      </c>
      <c r="F230" s="48"/>
      <c r="G230" s="43">
        <v>26</v>
      </c>
      <c r="H230" s="49" t="s">
        <v>44</v>
      </c>
      <c r="I230" s="44" t="s">
        <v>0</v>
      </c>
      <c r="J230" s="51"/>
      <c r="K230" s="121">
        <v>2200</v>
      </c>
      <c r="L230" s="52" t="s">
        <v>0</v>
      </c>
      <c r="M230" s="53" t="str">
        <f>IFERROR(VLOOKUP(VLOOKUP(O230,O230,1,1),Categories!$K$4:$V$17,2+VLOOKUP(L230,L230,1,1)),"-"  )</f>
        <v>-</v>
      </c>
      <c r="N230" s="53" t="str">
        <f>IFERROR(VLOOKUP(VLOOKUP(O230,O230,1,1),Categories!$K$3:$V$17,7+VLOOKUP(L230,L230,1,1)),"-")</f>
        <v>-</v>
      </c>
      <c r="O230" s="54" t="s">
        <v>0</v>
      </c>
      <c r="P230" s="176">
        <v>20</v>
      </c>
      <c r="Q230" s="180">
        <f t="shared" ref="Q230:Q236" si="4">IF(P230="-","-",$X$227*(1-P230/100))</f>
        <v>3.88</v>
      </c>
      <c r="R230" s="132"/>
      <c r="S230" s="132"/>
      <c r="T230" s="139"/>
      <c r="U230" s="169"/>
      <c r="V230" s="135">
        <v>2.4</v>
      </c>
      <c r="W230" s="135">
        <v>1.9</v>
      </c>
      <c r="X230" s="136"/>
      <c r="Y230" s="137"/>
      <c r="Z230" s="137"/>
      <c r="AA230" s="137"/>
      <c r="AB230" s="137"/>
      <c r="AC230" s="137"/>
      <c r="AD230" s="137"/>
      <c r="AE230" s="137"/>
      <c r="AF230" s="137"/>
      <c r="AG230" s="136"/>
      <c r="AH230" s="138"/>
      <c r="AI230" s="131"/>
      <c r="AJ230" s="47" t="s">
        <v>320</v>
      </c>
      <c r="AK230" s="55"/>
      <c r="AL230" s="55" t="s">
        <v>270</v>
      </c>
    </row>
    <row r="231" spans="1:38" ht="31.95" customHeight="1" x14ac:dyDescent="0.3">
      <c r="A231" s="12">
        <v>44063</v>
      </c>
      <c r="B231" s="196">
        <v>0.72184027777777782</v>
      </c>
      <c r="C231" s="48"/>
      <c r="D231" s="48"/>
      <c r="E231" s="48">
        <f>IF(I231=Categories!$E$4,VLOOKUP(H231,Categories!$A$4:$C$13,3,1),VLOOKUP(I231,Categories!$E$4:$G$24,3,1))</f>
        <v>60</v>
      </c>
      <c r="F231" s="48"/>
      <c r="G231" s="43">
        <v>26</v>
      </c>
      <c r="H231" s="49" t="s">
        <v>224</v>
      </c>
      <c r="I231" s="50" t="s">
        <v>59</v>
      </c>
      <c r="J231" s="51"/>
      <c r="K231" s="121">
        <v>2200</v>
      </c>
      <c r="L231" s="52" t="s">
        <v>0</v>
      </c>
      <c r="M231" s="53" t="str">
        <f>IFERROR(VLOOKUP(VLOOKUP(O231,O231,1,1),Categories!$K$4:$V$17,2+VLOOKUP(L231,L231,1,1)),"-"  )</f>
        <v>-</v>
      </c>
      <c r="N231" s="53" t="str">
        <f>IFERROR(VLOOKUP(VLOOKUP(O231,O231,1,1),Categories!$K$3:$V$17,7+VLOOKUP(L231,L231,1,1)),"-")</f>
        <v>-</v>
      </c>
      <c r="O231" s="54" t="s">
        <v>0</v>
      </c>
      <c r="P231" s="178">
        <v>40</v>
      </c>
      <c r="Q231" s="180">
        <f t="shared" si="4"/>
        <v>2.9099999999999997</v>
      </c>
      <c r="R231" s="132"/>
      <c r="S231" s="132"/>
      <c r="T231" s="139"/>
      <c r="U231" s="169"/>
      <c r="V231" s="135"/>
      <c r="W231" s="135"/>
      <c r="X231" s="136"/>
      <c r="Y231" s="137"/>
      <c r="Z231" s="137"/>
      <c r="AA231" s="137"/>
      <c r="AB231" s="137"/>
      <c r="AC231" s="137"/>
      <c r="AD231" s="137"/>
      <c r="AE231" s="137"/>
      <c r="AF231" s="137"/>
      <c r="AG231" s="136"/>
      <c r="AH231" s="138"/>
      <c r="AI231" s="131"/>
      <c r="AJ231" s="47"/>
      <c r="AK231" s="55"/>
      <c r="AL231" s="55" t="s">
        <v>269</v>
      </c>
    </row>
    <row r="232" spans="1:38" ht="31.95" customHeight="1" x14ac:dyDescent="0.3">
      <c r="A232" s="12">
        <v>44063</v>
      </c>
      <c r="B232" s="196">
        <v>0.72269675925925936</v>
      </c>
      <c r="C232" s="48"/>
      <c r="D232" s="48"/>
      <c r="E232" s="48">
        <f>IF(I232=Categories!$E$4,VLOOKUP(H232,Categories!$A$4:$C$13,3,1),VLOOKUP(I232,Categories!$E$4:$G$24,3,1))</f>
        <v>120</v>
      </c>
      <c r="F232" s="48"/>
      <c r="G232" s="43">
        <v>26</v>
      </c>
      <c r="H232" s="49" t="s">
        <v>44</v>
      </c>
      <c r="I232" s="44" t="s">
        <v>0</v>
      </c>
      <c r="J232" s="51"/>
      <c r="K232" s="121">
        <v>2200</v>
      </c>
      <c r="L232" s="52" t="s">
        <v>0</v>
      </c>
      <c r="M232" s="53" t="str">
        <f>IFERROR(VLOOKUP(VLOOKUP(O232,O232,1,1),Categories!$K$4:$V$17,2+VLOOKUP(L232,L232,1,1)),"-"  )</f>
        <v>-</v>
      </c>
      <c r="N232" s="53" t="str">
        <f>IFERROR(VLOOKUP(VLOOKUP(O232,O232,1,1),Categories!$K$3:$V$17,7+VLOOKUP(L232,L232,1,1)),"-")</f>
        <v>-</v>
      </c>
      <c r="O232" s="54" t="s">
        <v>0</v>
      </c>
      <c r="P232" s="176">
        <v>40</v>
      </c>
      <c r="Q232" s="180">
        <f t="shared" si="4"/>
        <v>2.9099999999999997</v>
      </c>
      <c r="R232" s="132"/>
      <c r="S232" s="132"/>
      <c r="T232" s="139"/>
      <c r="U232" s="169"/>
      <c r="V232" s="135">
        <v>1.8</v>
      </c>
      <c r="W232" s="135">
        <v>1.7</v>
      </c>
      <c r="X232" s="136"/>
      <c r="Y232" s="137"/>
      <c r="Z232" s="137"/>
      <c r="AA232" s="137"/>
      <c r="AB232" s="137"/>
      <c r="AC232" s="137"/>
      <c r="AD232" s="137"/>
      <c r="AE232" s="137"/>
      <c r="AF232" s="137"/>
      <c r="AG232" s="136"/>
      <c r="AH232" s="138"/>
      <c r="AI232" s="131"/>
      <c r="AJ232" s="47"/>
      <c r="AK232" s="55"/>
      <c r="AL232" s="55" t="s">
        <v>273</v>
      </c>
    </row>
    <row r="233" spans="1:38" ht="31.95" customHeight="1" x14ac:dyDescent="0.3">
      <c r="A233" s="12">
        <v>44063</v>
      </c>
      <c r="B233" s="196">
        <v>0.72425925925925927</v>
      </c>
      <c r="C233" s="48"/>
      <c r="D233" s="48"/>
      <c r="E233" s="48">
        <f>IF(I233=Categories!$E$4,VLOOKUP(H233,Categories!$A$4:$C$13,3,1),VLOOKUP(I233,Categories!$E$4:$G$24,3,1))</f>
        <v>60</v>
      </c>
      <c r="F233" s="48"/>
      <c r="G233" s="43">
        <v>26</v>
      </c>
      <c r="H233" s="49" t="s">
        <v>224</v>
      </c>
      <c r="I233" s="50" t="s">
        <v>59</v>
      </c>
      <c r="J233" s="51"/>
      <c r="K233" s="121">
        <v>2200</v>
      </c>
      <c r="L233" s="52" t="s">
        <v>0</v>
      </c>
      <c r="M233" s="53" t="str">
        <f>IFERROR(VLOOKUP(VLOOKUP(O233,O233,1,1),Categories!$K$4:$V$17,2+VLOOKUP(L233,L233,1,1)),"-"  )</f>
        <v>-</v>
      </c>
      <c r="N233" s="53" t="str">
        <f>IFERROR(VLOOKUP(VLOOKUP(O233,O233,1,1),Categories!$K$3:$V$17,7+VLOOKUP(L233,L233,1,1)),"-")</f>
        <v>-</v>
      </c>
      <c r="O233" s="54" t="s">
        <v>0</v>
      </c>
      <c r="P233" s="178">
        <v>60</v>
      </c>
      <c r="Q233" s="180">
        <f t="shared" si="4"/>
        <v>1.94</v>
      </c>
      <c r="R233" s="132"/>
      <c r="S233" s="132"/>
      <c r="T233" s="139"/>
      <c r="U233" s="169"/>
      <c r="V233" s="135"/>
      <c r="W233" s="135"/>
      <c r="X233" s="136"/>
      <c r="Y233" s="137"/>
      <c r="Z233" s="137"/>
      <c r="AA233" s="137"/>
      <c r="AB233" s="137"/>
      <c r="AC233" s="137"/>
      <c r="AD233" s="137"/>
      <c r="AE233" s="137"/>
      <c r="AF233" s="137"/>
      <c r="AG233" s="136"/>
      <c r="AH233" s="138"/>
      <c r="AI233" s="131"/>
      <c r="AJ233" s="47"/>
      <c r="AK233" s="55"/>
      <c r="AL233" s="55" t="s">
        <v>269</v>
      </c>
    </row>
    <row r="234" spans="1:38" ht="31.95" customHeight="1" x14ac:dyDescent="0.3">
      <c r="A234" s="12">
        <v>44063</v>
      </c>
      <c r="B234" s="196">
        <v>0.72494212962962967</v>
      </c>
      <c r="C234" s="48"/>
      <c r="D234" s="48"/>
      <c r="E234" s="48">
        <f>IF(I234=Categories!$E$4,VLOOKUP(H234,Categories!$A$4:$C$13,3,1),VLOOKUP(I234,Categories!$E$4:$G$24,3,1))</f>
        <v>120</v>
      </c>
      <c r="F234" s="48"/>
      <c r="G234" s="43">
        <v>26</v>
      </c>
      <c r="H234" s="49" t="s">
        <v>44</v>
      </c>
      <c r="I234" s="44" t="s">
        <v>0</v>
      </c>
      <c r="J234" s="51"/>
      <c r="K234" s="121">
        <v>2200</v>
      </c>
      <c r="L234" s="52" t="s">
        <v>0</v>
      </c>
      <c r="M234" s="53" t="str">
        <f>IFERROR(VLOOKUP(VLOOKUP(O234,O234,1,1),Categories!$K$4:$V$17,2+VLOOKUP(L234,L234,1,1)),"-"  )</f>
        <v>-</v>
      </c>
      <c r="N234" s="53" t="str">
        <f>IFERROR(VLOOKUP(VLOOKUP(O234,O234,1,1),Categories!$K$3:$V$17,7+VLOOKUP(L234,L234,1,1)),"-")</f>
        <v>-</v>
      </c>
      <c r="O234" s="54" t="s">
        <v>0</v>
      </c>
      <c r="P234" s="176">
        <v>60</v>
      </c>
      <c r="Q234" s="180">
        <f t="shared" si="4"/>
        <v>1.94</v>
      </c>
      <c r="R234" s="132"/>
      <c r="S234" s="132"/>
      <c r="T234" s="139"/>
      <c r="U234" s="169"/>
      <c r="V234" s="135">
        <v>1</v>
      </c>
      <c r="W234" s="135">
        <v>1.5</v>
      </c>
      <c r="X234" s="136"/>
      <c r="Y234" s="137"/>
      <c r="Z234" s="137"/>
      <c r="AA234" s="137"/>
      <c r="AB234" s="137"/>
      <c r="AC234" s="137"/>
      <c r="AD234" s="137"/>
      <c r="AE234" s="137"/>
      <c r="AF234" s="137"/>
      <c r="AG234" s="136"/>
      <c r="AH234" s="138"/>
      <c r="AI234" s="131"/>
      <c r="AJ234" s="47"/>
      <c r="AK234" s="55"/>
      <c r="AL234" s="55" t="s">
        <v>274</v>
      </c>
    </row>
    <row r="235" spans="1:38" ht="31.95" customHeight="1" x14ac:dyDescent="0.3">
      <c r="A235" s="12">
        <v>44063</v>
      </c>
      <c r="B235" s="196">
        <v>0.72644675925925928</v>
      </c>
      <c r="C235" s="48"/>
      <c r="D235" s="48"/>
      <c r="E235" s="48">
        <f>IF(I235=Categories!$E$4,VLOOKUP(H235,Categories!$A$4:$C$13,3,1),VLOOKUP(I235,Categories!$E$4:$G$24,3,1))</f>
        <v>60</v>
      </c>
      <c r="F235" s="48"/>
      <c r="G235" s="43">
        <v>26</v>
      </c>
      <c r="H235" s="49" t="s">
        <v>224</v>
      </c>
      <c r="I235" s="50" t="s">
        <v>59</v>
      </c>
      <c r="J235" s="51"/>
      <c r="K235" s="121">
        <v>2200</v>
      </c>
      <c r="L235" s="52" t="s">
        <v>0</v>
      </c>
      <c r="M235" s="53" t="str">
        <f>IFERROR(VLOOKUP(VLOOKUP(O235,O235,1,1),Categories!$K$4:$V$17,2+VLOOKUP(L235,L235,1,1)),"-"  )</f>
        <v>-</v>
      </c>
      <c r="N235" s="53" t="str">
        <f>IFERROR(VLOOKUP(VLOOKUP(O235,O235,1,1),Categories!$K$3:$V$17,7+VLOOKUP(L235,L235,1,1)),"-")</f>
        <v>-</v>
      </c>
      <c r="O235" s="54" t="s">
        <v>0</v>
      </c>
      <c r="P235" s="178">
        <v>80</v>
      </c>
      <c r="Q235" s="180">
        <f t="shared" si="4"/>
        <v>0.96999999999999975</v>
      </c>
      <c r="R235" s="132"/>
      <c r="S235" s="132"/>
      <c r="T235" s="139"/>
      <c r="U235" s="169"/>
      <c r="V235" s="135"/>
      <c r="W235" s="135"/>
      <c r="X235" s="136"/>
      <c r="Y235" s="137"/>
      <c r="Z235" s="137"/>
      <c r="AA235" s="137"/>
      <c r="AB235" s="137"/>
      <c r="AC235" s="137"/>
      <c r="AD235" s="137"/>
      <c r="AE235" s="137"/>
      <c r="AF235" s="137"/>
      <c r="AG235" s="136"/>
      <c r="AH235" s="138"/>
      <c r="AI235" s="131"/>
      <c r="AJ235" s="47"/>
      <c r="AK235" s="55"/>
      <c r="AL235" s="55" t="s">
        <v>269</v>
      </c>
    </row>
    <row r="236" spans="1:38" ht="31.95" customHeight="1" x14ac:dyDescent="0.3">
      <c r="A236" s="12">
        <v>44063</v>
      </c>
      <c r="B236" s="196">
        <v>0.72687500000000005</v>
      </c>
      <c r="C236" s="48"/>
      <c r="D236" s="48"/>
      <c r="E236" s="48">
        <f>IF(I236=Categories!$E$4,VLOOKUP(H236,Categories!$A$4:$C$13,3,1),VLOOKUP(I236,Categories!$E$4:$G$24,3,1))</f>
        <v>120</v>
      </c>
      <c r="F236" s="48"/>
      <c r="G236" s="43">
        <v>26</v>
      </c>
      <c r="H236" s="49" t="s">
        <v>44</v>
      </c>
      <c r="I236" s="44" t="s">
        <v>0</v>
      </c>
      <c r="J236" s="51"/>
      <c r="K236" s="121">
        <v>2200</v>
      </c>
      <c r="L236" s="52" t="s">
        <v>0</v>
      </c>
      <c r="M236" s="53" t="str">
        <f>IFERROR(VLOOKUP(VLOOKUP(O236,O236,1,1),Categories!$K$4:$V$17,2+VLOOKUP(L236,L236,1,1)),"-"  )</f>
        <v>-</v>
      </c>
      <c r="N236" s="53" t="str">
        <f>IFERROR(VLOOKUP(VLOOKUP(O236,O236,1,1),Categories!$K$3:$V$17,7+VLOOKUP(L236,L236,1,1)),"-")</f>
        <v>-</v>
      </c>
      <c r="O236" s="54" t="s">
        <v>0</v>
      </c>
      <c r="P236" s="176">
        <v>80</v>
      </c>
      <c r="Q236" s="180">
        <f t="shared" si="4"/>
        <v>0.96999999999999975</v>
      </c>
      <c r="R236" s="132"/>
      <c r="S236" s="132"/>
      <c r="T236" s="139"/>
      <c r="U236" s="169"/>
      <c r="V236" s="135">
        <v>0.3</v>
      </c>
      <c r="W236" s="135">
        <v>1.2</v>
      </c>
      <c r="X236" s="136"/>
      <c r="Y236" s="137"/>
      <c r="Z236" s="137"/>
      <c r="AA236" s="137"/>
      <c r="AB236" s="137"/>
      <c r="AC236" s="137"/>
      <c r="AD236" s="137"/>
      <c r="AE236" s="137"/>
      <c r="AF236" s="137"/>
      <c r="AG236" s="136"/>
      <c r="AH236" s="138"/>
      <c r="AI236" s="131"/>
      <c r="AJ236" s="47" t="s">
        <v>321</v>
      </c>
      <c r="AK236" s="55"/>
      <c r="AL236" s="55" t="s">
        <v>275</v>
      </c>
    </row>
    <row r="237" spans="1:38" ht="31.95" customHeight="1" x14ac:dyDescent="0.3">
      <c r="A237" s="167">
        <v>44063</v>
      </c>
      <c r="B237" s="197">
        <v>0.72865740740740748</v>
      </c>
      <c r="C237" s="48"/>
      <c r="D237" s="48"/>
      <c r="E237" s="48" t="s">
        <v>0</v>
      </c>
      <c r="F237" s="48"/>
      <c r="G237" s="43" t="s">
        <v>0</v>
      </c>
      <c r="H237" s="49" t="s">
        <v>224</v>
      </c>
      <c r="I237" s="50" t="s">
        <v>2</v>
      </c>
      <c r="J237" s="51"/>
      <c r="K237" s="121">
        <v>2500</v>
      </c>
      <c r="L237" s="52" t="s">
        <v>0</v>
      </c>
      <c r="M237" s="53" t="str">
        <f>IFERROR(VLOOKUP(VLOOKUP(O237,O237,1,1),Categories!$K$4:$V$17,2+VLOOKUP(L237,L237,1,1)),"-"  )</f>
        <v>-</v>
      </c>
      <c r="N237" s="53" t="str">
        <f>IFERROR(VLOOKUP(VLOOKUP(O237,O237,1,1),Categories!$K$3:$V$17,7+VLOOKUP(L237,L237,1,1)),"-")</f>
        <v>-</v>
      </c>
      <c r="O237" s="54" t="s">
        <v>0</v>
      </c>
      <c r="P237" s="176" t="s">
        <v>0</v>
      </c>
      <c r="Q237" s="180" t="str">
        <f t="shared" ref="Q237" si="5">IF(P237="-","-",$X$183*(1-P237/100))</f>
        <v>-</v>
      </c>
      <c r="R237" s="169"/>
      <c r="S237" s="169"/>
      <c r="T237" s="168"/>
      <c r="U237" s="169"/>
      <c r="V237" s="170"/>
      <c r="W237" s="170"/>
      <c r="X237" s="171"/>
      <c r="Y237" s="172"/>
      <c r="Z237" s="172"/>
      <c r="AA237" s="172"/>
      <c r="AB237" s="172"/>
      <c r="AC237" s="172"/>
      <c r="AD237" s="172"/>
      <c r="AE237" s="172"/>
      <c r="AF237" s="172"/>
      <c r="AG237" s="171"/>
      <c r="AH237" s="173"/>
      <c r="AI237" s="131"/>
      <c r="AJ237" s="55"/>
      <c r="AK237" s="55"/>
      <c r="AL237" s="55"/>
    </row>
    <row r="238" spans="1:38" ht="31.95" customHeight="1" x14ac:dyDescent="0.3">
      <c r="A238" s="167">
        <v>44063</v>
      </c>
      <c r="B238" s="197">
        <v>0.72881944444444446</v>
      </c>
      <c r="C238" s="48"/>
      <c r="D238" s="48"/>
      <c r="E238" s="48">
        <v>60</v>
      </c>
      <c r="F238" s="48"/>
      <c r="G238" s="43" t="s">
        <v>0</v>
      </c>
      <c r="H238" s="49" t="s">
        <v>224</v>
      </c>
      <c r="I238" s="50" t="s">
        <v>59</v>
      </c>
      <c r="J238" s="51"/>
      <c r="K238" s="121">
        <v>2500</v>
      </c>
      <c r="L238" s="52" t="s">
        <v>0</v>
      </c>
      <c r="M238" s="53" t="str">
        <f>IFERROR(VLOOKUP(VLOOKUP(O238,O238,1,1),Categories!$K$4:$V$17,2+VLOOKUP(L238,L238,1,1)),"-"  )</f>
        <v>-</v>
      </c>
      <c r="N238" s="53" t="str">
        <f>IFERROR(VLOOKUP(VLOOKUP(O238,O238,1,1),Categories!$K$3:$V$17,7+VLOOKUP(L238,L238,1,1)),"-")</f>
        <v>-</v>
      </c>
      <c r="O238" s="54" t="s">
        <v>0</v>
      </c>
      <c r="P238" s="178">
        <v>20</v>
      </c>
      <c r="Q238" s="180">
        <f>IF(P238="-","-",$X$225*(1-P238/100))</f>
        <v>4.4640000000000004</v>
      </c>
      <c r="R238" s="169"/>
      <c r="S238" s="169"/>
      <c r="T238" s="168"/>
      <c r="U238" s="169"/>
      <c r="V238" s="170"/>
      <c r="W238" s="170"/>
      <c r="X238" s="171"/>
      <c r="Y238" s="172"/>
      <c r="Z238" s="172"/>
      <c r="AA238" s="172"/>
      <c r="AB238" s="172"/>
      <c r="AC238" s="172"/>
      <c r="AD238" s="172"/>
      <c r="AE238" s="172"/>
      <c r="AF238" s="172"/>
      <c r="AG238" s="171"/>
      <c r="AH238" s="173"/>
      <c r="AI238" s="131"/>
      <c r="AJ238" s="55"/>
      <c r="AK238" s="55"/>
      <c r="AL238" s="55"/>
    </row>
    <row r="239" spans="1:38" ht="31.95" customHeight="1" x14ac:dyDescent="0.3">
      <c r="A239" s="12">
        <v>44063</v>
      </c>
      <c r="B239" s="196">
        <v>0.72953703703703709</v>
      </c>
      <c r="C239" s="48"/>
      <c r="D239" s="48"/>
      <c r="E239" s="48">
        <f>IF(I239=Categories!$E$4,VLOOKUP(H239,Categories!$A$4:$C$13,3,1),VLOOKUP(I239,Categories!$E$4:$G$24,3,1))</f>
        <v>120</v>
      </c>
      <c r="F239" s="48"/>
      <c r="G239" s="43">
        <v>27</v>
      </c>
      <c r="H239" s="49" t="s">
        <v>44</v>
      </c>
      <c r="I239" s="44" t="s">
        <v>0</v>
      </c>
      <c r="J239" s="51"/>
      <c r="K239" s="121">
        <v>2500</v>
      </c>
      <c r="L239" s="52" t="s">
        <v>0</v>
      </c>
      <c r="M239" s="53" t="str">
        <f>IFERROR(VLOOKUP(VLOOKUP(O239,O239,1,1),Categories!$K$4:$V$17,2+VLOOKUP(L239,L239,1,1)),"-"  )</f>
        <v>-</v>
      </c>
      <c r="N239" s="53" t="str">
        <f>IFERROR(VLOOKUP(VLOOKUP(O239,O239,1,1),Categories!$K$3:$V$17,7+VLOOKUP(L239,L239,1,1)),"-")</f>
        <v>-</v>
      </c>
      <c r="O239" s="54" t="s">
        <v>0</v>
      </c>
      <c r="P239" s="176">
        <v>20</v>
      </c>
      <c r="Q239" s="180">
        <f t="shared" ref="Q239:Q245" si="6">IF(P239="-","-",$X$225*(1-P239/100))</f>
        <v>4.4640000000000004</v>
      </c>
      <c r="R239" s="132"/>
      <c r="S239" s="132"/>
      <c r="T239" s="139"/>
      <c r="U239" s="169"/>
      <c r="V239" s="135">
        <v>3.1</v>
      </c>
      <c r="W239" s="135">
        <v>2.7</v>
      </c>
      <c r="X239" s="136"/>
      <c r="Y239" s="137"/>
      <c r="Z239" s="137"/>
      <c r="AA239" s="137"/>
      <c r="AB239" s="137"/>
      <c r="AC239" s="137"/>
      <c r="AD239" s="137"/>
      <c r="AE239" s="137"/>
      <c r="AF239" s="137"/>
      <c r="AG239" s="136"/>
      <c r="AH239" s="138"/>
      <c r="AI239" s="131"/>
      <c r="AJ239" s="47"/>
      <c r="AK239" s="55"/>
      <c r="AL239" s="55"/>
    </row>
    <row r="240" spans="1:38" ht="31.95" customHeight="1" x14ac:dyDescent="0.3">
      <c r="A240" s="12">
        <v>44063</v>
      </c>
      <c r="B240" s="196">
        <v>0.73107638888888893</v>
      </c>
      <c r="C240" s="48"/>
      <c r="D240" s="48"/>
      <c r="E240" s="48">
        <f>IF(I240=Categories!$E$4,VLOOKUP(H240,Categories!$A$4:$C$13,3,1),VLOOKUP(I240,Categories!$E$4:$G$24,3,1))</f>
        <v>60</v>
      </c>
      <c r="F240" s="48"/>
      <c r="G240" s="43">
        <v>27</v>
      </c>
      <c r="H240" s="49" t="s">
        <v>224</v>
      </c>
      <c r="I240" s="50" t="s">
        <v>59</v>
      </c>
      <c r="J240" s="51"/>
      <c r="K240" s="121">
        <v>2500</v>
      </c>
      <c r="L240" s="52" t="s">
        <v>0</v>
      </c>
      <c r="M240" s="53" t="str">
        <f>IFERROR(VLOOKUP(VLOOKUP(O240,O240,1,1),Categories!$K$4:$V$17,2+VLOOKUP(L240,L240,1,1)),"-"  )</f>
        <v>-</v>
      </c>
      <c r="N240" s="53" t="str">
        <f>IFERROR(VLOOKUP(VLOOKUP(O240,O240,1,1),Categories!$K$3:$V$17,7+VLOOKUP(L240,L240,1,1)),"-")</f>
        <v>-</v>
      </c>
      <c r="O240" s="54" t="s">
        <v>0</v>
      </c>
      <c r="P240" s="178">
        <v>40</v>
      </c>
      <c r="Q240" s="180">
        <f t="shared" si="6"/>
        <v>3.3479999999999999</v>
      </c>
      <c r="R240" s="132"/>
      <c r="S240" s="132"/>
      <c r="T240" s="139"/>
      <c r="U240" s="169"/>
      <c r="V240" s="135"/>
      <c r="W240" s="135"/>
      <c r="X240" s="136"/>
      <c r="Y240" s="137"/>
      <c r="Z240" s="137"/>
      <c r="AA240" s="137"/>
      <c r="AB240" s="137"/>
      <c r="AC240" s="137"/>
      <c r="AD240" s="137"/>
      <c r="AE240" s="137"/>
      <c r="AF240" s="137"/>
      <c r="AG240" s="136"/>
      <c r="AH240" s="138"/>
      <c r="AI240" s="131"/>
      <c r="AJ240" s="47"/>
      <c r="AK240" s="55"/>
      <c r="AL240" s="55"/>
    </row>
    <row r="241" spans="1:38" ht="31.95" customHeight="1" x14ac:dyDescent="0.3">
      <c r="A241" s="12">
        <v>44063</v>
      </c>
      <c r="B241" s="196">
        <v>0.73173611111111114</v>
      </c>
      <c r="C241" s="48"/>
      <c r="D241" s="48"/>
      <c r="E241" s="48">
        <f>IF(I241=Categories!$E$4,VLOOKUP(H241,Categories!$A$4:$C$13,3,1),VLOOKUP(I241,Categories!$E$4:$G$24,3,1))</f>
        <v>120</v>
      </c>
      <c r="F241" s="48"/>
      <c r="G241" s="43">
        <v>27</v>
      </c>
      <c r="H241" s="49" t="s">
        <v>44</v>
      </c>
      <c r="I241" s="44" t="s">
        <v>0</v>
      </c>
      <c r="J241" s="51"/>
      <c r="K241" s="121">
        <v>2500</v>
      </c>
      <c r="L241" s="52" t="s">
        <v>0</v>
      </c>
      <c r="M241" s="53" t="str">
        <f>IFERROR(VLOOKUP(VLOOKUP(O241,O241,1,1),Categories!$K$4:$V$17,2+VLOOKUP(L241,L241,1,1)),"-"  )</f>
        <v>-</v>
      </c>
      <c r="N241" s="53" t="str">
        <f>IFERROR(VLOOKUP(VLOOKUP(O241,O241,1,1),Categories!$K$3:$V$17,7+VLOOKUP(L241,L241,1,1)),"-")</f>
        <v>-</v>
      </c>
      <c r="O241" s="54" t="s">
        <v>0</v>
      </c>
      <c r="P241" s="176">
        <v>40</v>
      </c>
      <c r="Q241" s="180">
        <f t="shared" si="6"/>
        <v>3.3479999999999999</v>
      </c>
      <c r="R241" s="132"/>
      <c r="S241" s="132"/>
      <c r="T241" s="139"/>
      <c r="U241" s="169"/>
      <c r="V241" s="135">
        <v>2.1</v>
      </c>
      <c r="W241" s="135">
        <v>2.2999999999999998</v>
      </c>
      <c r="X241" s="136"/>
      <c r="Y241" s="137"/>
      <c r="Z241" s="137"/>
      <c r="AA241" s="137"/>
      <c r="AB241" s="137"/>
      <c r="AC241" s="137"/>
      <c r="AD241" s="137"/>
      <c r="AE241" s="137"/>
      <c r="AF241" s="137"/>
      <c r="AG241" s="136"/>
      <c r="AH241" s="138"/>
      <c r="AI241" s="131"/>
      <c r="AJ241" s="47"/>
      <c r="AK241" s="55"/>
      <c r="AL241" s="55"/>
    </row>
    <row r="242" spans="1:38" ht="31.95" customHeight="1" x14ac:dyDescent="0.3">
      <c r="A242" s="12">
        <v>44063</v>
      </c>
      <c r="B242" s="196">
        <v>0.73357638888888888</v>
      </c>
      <c r="C242" s="48"/>
      <c r="D242" s="48"/>
      <c r="E242" s="48">
        <f>IF(I242=Categories!$E$4,VLOOKUP(H242,Categories!$A$4:$C$13,3,1),VLOOKUP(I242,Categories!$E$4:$G$24,3,1))</f>
        <v>60</v>
      </c>
      <c r="F242" s="48"/>
      <c r="G242" s="43">
        <v>27</v>
      </c>
      <c r="H242" s="49" t="s">
        <v>224</v>
      </c>
      <c r="I242" s="50" t="s">
        <v>59</v>
      </c>
      <c r="J242" s="51"/>
      <c r="K242" s="121">
        <v>2500</v>
      </c>
      <c r="L242" s="52" t="s">
        <v>0</v>
      </c>
      <c r="M242" s="53" t="str">
        <f>IFERROR(VLOOKUP(VLOOKUP(O242,O242,1,1),Categories!$K$4:$V$17,2+VLOOKUP(L242,L242,1,1)),"-"  )</f>
        <v>-</v>
      </c>
      <c r="N242" s="53" t="str">
        <f>IFERROR(VLOOKUP(VLOOKUP(O242,O242,1,1),Categories!$K$3:$V$17,7+VLOOKUP(L242,L242,1,1)),"-")</f>
        <v>-</v>
      </c>
      <c r="O242" s="54" t="s">
        <v>0</v>
      </c>
      <c r="P242" s="178">
        <v>60</v>
      </c>
      <c r="Q242" s="180">
        <f t="shared" si="6"/>
        <v>2.2320000000000002</v>
      </c>
      <c r="R242" s="132"/>
      <c r="S242" s="132"/>
      <c r="T242" s="139"/>
      <c r="U242" s="169"/>
      <c r="V242" s="135"/>
      <c r="W242" s="135"/>
      <c r="X242" s="136"/>
      <c r="Y242" s="137"/>
      <c r="Z242" s="137"/>
      <c r="AA242" s="137"/>
      <c r="AB242" s="137"/>
      <c r="AC242" s="137"/>
      <c r="AD242" s="137"/>
      <c r="AE242" s="137"/>
      <c r="AF242" s="137"/>
      <c r="AG242" s="136"/>
      <c r="AH242" s="138"/>
      <c r="AI242" s="131"/>
      <c r="AJ242" s="47"/>
      <c r="AK242" s="55"/>
      <c r="AL242" s="55"/>
    </row>
    <row r="243" spans="1:38" ht="31.95" customHeight="1" x14ac:dyDescent="0.3">
      <c r="A243" s="12">
        <v>44063</v>
      </c>
      <c r="B243" s="196">
        <v>0.73422453703703694</v>
      </c>
      <c r="C243" s="48"/>
      <c r="D243" s="48"/>
      <c r="E243" s="48">
        <f>IF(I243=Categories!$E$4,VLOOKUP(H243,Categories!$A$4:$C$13,3,1),VLOOKUP(I243,Categories!$E$4:$G$24,3,1))</f>
        <v>120</v>
      </c>
      <c r="F243" s="48"/>
      <c r="G243" s="43">
        <v>27</v>
      </c>
      <c r="H243" s="49" t="s">
        <v>44</v>
      </c>
      <c r="I243" s="44" t="s">
        <v>0</v>
      </c>
      <c r="J243" s="51"/>
      <c r="K243" s="121">
        <v>2500</v>
      </c>
      <c r="L243" s="52" t="s">
        <v>0</v>
      </c>
      <c r="M243" s="53" t="str">
        <f>IFERROR(VLOOKUP(VLOOKUP(O243,O243,1,1),Categories!$K$4:$V$17,2+VLOOKUP(L243,L243,1,1)),"-"  )</f>
        <v>-</v>
      </c>
      <c r="N243" s="53" t="str">
        <f>IFERROR(VLOOKUP(VLOOKUP(O243,O243,1,1),Categories!$K$3:$V$17,7+VLOOKUP(L243,L243,1,1)),"-")</f>
        <v>-</v>
      </c>
      <c r="O243" s="54" t="s">
        <v>0</v>
      </c>
      <c r="P243" s="176">
        <v>60</v>
      </c>
      <c r="Q243" s="180">
        <f t="shared" si="6"/>
        <v>2.2320000000000002</v>
      </c>
      <c r="R243" s="132"/>
      <c r="S243" s="132"/>
      <c r="T243" s="139"/>
      <c r="U243" s="169"/>
      <c r="V243" s="135">
        <v>1.2</v>
      </c>
      <c r="W243" s="135">
        <v>2</v>
      </c>
      <c r="X243" s="136"/>
      <c r="Y243" s="137"/>
      <c r="Z243" s="137"/>
      <c r="AA243" s="137"/>
      <c r="AB243" s="137"/>
      <c r="AC243" s="137"/>
      <c r="AD243" s="137"/>
      <c r="AE243" s="137"/>
      <c r="AF243" s="137"/>
      <c r="AG243" s="136"/>
      <c r="AH243" s="138"/>
      <c r="AI243" s="131"/>
      <c r="AJ243" s="47"/>
      <c r="AK243" s="55"/>
      <c r="AL243" s="55"/>
    </row>
    <row r="244" spans="1:38" ht="31.95" customHeight="1" x14ac:dyDescent="0.3">
      <c r="A244" s="12">
        <v>44063</v>
      </c>
      <c r="B244" s="196">
        <v>0.73569444444444443</v>
      </c>
      <c r="C244" s="48"/>
      <c r="D244" s="48"/>
      <c r="E244" s="48">
        <f>IF(I244=Categories!$E$4,VLOOKUP(H244,Categories!$A$4:$C$13,3,1),VLOOKUP(I244,Categories!$E$4:$G$24,3,1))</f>
        <v>60</v>
      </c>
      <c r="F244" s="48"/>
      <c r="G244" s="43">
        <v>27</v>
      </c>
      <c r="H244" s="49" t="s">
        <v>224</v>
      </c>
      <c r="I244" s="50" t="s">
        <v>59</v>
      </c>
      <c r="J244" s="51"/>
      <c r="K244" s="121">
        <v>2500</v>
      </c>
      <c r="L244" s="52" t="s">
        <v>0</v>
      </c>
      <c r="M244" s="53" t="str">
        <f>IFERROR(VLOOKUP(VLOOKUP(O244,O244,1,1),Categories!$K$4:$V$17,2+VLOOKUP(L244,L244,1,1)),"-"  )</f>
        <v>-</v>
      </c>
      <c r="N244" s="53" t="str">
        <f>IFERROR(VLOOKUP(VLOOKUP(O244,O244,1,1),Categories!$K$3:$V$17,7+VLOOKUP(L244,L244,1,1)),"-")</f>
        <v>-</v>
      </c>
      <c r="O244" s="54" t="s">
        <v>0</v>
      </c>
      <c r="P244" s="178">
        <v>80</v>
      </c>
      <c r="Q244" s="180">
        <f t="shared" si="6"/>
        <v>1.1159999999999997</v>
      </c>
      <c r="R244" s="132"/>
      <c r="S244" s="132"/>
      <c r="T244" s="139"/>
      <c r="U244" s="169"/>
      <c r="V244" s="135"/>
      <c r="W244" s="135"/>
      <c r="X244" s="136"/>
      <c r="Y244" s="137"/>
      <c r="Z244" s="137"/>
      <c r="AA244" s="137"/>
      <c r="AB244" s="137"/>
      <c r="AC244" s="137"/>
      <c r="AD244" s="137"/>
      <c r="AE244" s="137"/>
      <c r="AF244" s="137"/>
      <c r="AG244" s="136"/>
      <c r="AH244" s="138"/>
      <c r="AI244" s="131"/>
      <c r="AJ244" s="47"/>
      <c r="AK244" s="55"/>
      <c r="AL244" s="55"/>
    </row>
    <row r="245" spans="1:38" ht="31.95" customHeight="1" x14ac:dyDescent="0.3">
      <c r="A245" s="12">
        <v>44063</v>
      </c>
      <c r="B245" s="196">
        <v>0.7362037037037038</v>
      </c>
      <c r="C245" s="48"/>
      <c r="D245" s="48"/>
      <c r="E245" s="48">
        <f>IF(I245=Categories!$E$4,VLOOKUP(H245,Categories!$A$4:$C$13,3,1),VLOOKUP(I245,Categories!$E$4:$G$24,3,1))</f>
        <v>120</v>
      </c>
      <c r="F245" s="48"/>
      <c r="G245" s="43">
        <v>27</v>
      </c>
      <c r="H245" s="49" t="s">
        <v>44</v>
      </c>
      <c r="I245" s="44" t="s">
        <v>0</v>
      </c>
      <c r="J245" s="51"/>
      <c r="K245" s="121">
        <v>2500</v>
      </c>
      <c r="L245" s="52" t="s">
        <v>0</v>
      </c>
      <c r="M245" s="53" t="str">
        <f>IFERROR(VLOOKUP(VLOOKUP(O245,O245,1,1),Categories!$K$4:$V$17,2+VLOOKUP(L245,L245,1,1)),"-"  )</f>
        <v>-</v>
      </c>
      <c r="N245" s="53" t="str">
        <f>IFERROR(VLOOKUP(VLOOKUP(O245,O245,1,1),Categories!$K$3:$V$17,7+VLOOKUP(L245,L245,1,1)),"-")</f>
        <v>-</v>
      </c>
      <c r="O245" s="54" t="s">
        <v>0</v>
      </c>
      <c r="P245" s="176">
        <v>80</v>
      </c>
      <c r="Q245" s="180">
        <f t="shared" si="6"/>
        <v>1.1159999999999997</v>
      </c>
      <c r="R245" s="132"/>
      <c r="S245" s="132"/>
      <c r="T245" s="139"/>
      <c r="U245" s="169"/>
      <c r="V245" s="135">
        <v>0.4</v>
      </c>
      <c r="W245" s="135">
        <v>1.7</v>
      </c>
      <c r="X245" s="136"/>
      <c r="Y245" s="137"/>
      <c r="Z245" s="137"/>
      <c r="AA245" s="137"/>
      <c r="AB245" s="137"/>
      <c r="AC245" s="137"/>
      <c r="AD245" s="137"/>
      <c r="AE245" s="137"/>
      <c r="AF245" s="137"/>
      <c r="AG245" s="136"/>
      <c r="AH245" s="138"/>
      <c r="AI245" s="131"/>
      <c r="AJ245" s="47"/>
      <c r="AK245" s="55"/>
      <c r="AL245" s="55"/>
    </row>
    <row r="246" spans="1:38" ht="31.95" customHeight="1" x14ac:dyDescent="0.3">
      <c r="A246" s="167">
        <v>44063</v>
      </c>
      <c r="B246" s="197">
        <v>0.73759259259259258</v>
      </c>
      <c r="C246" s="48"/>
      <c r="D246" s="48"/>
      <c r="E246" s="48" t="s">
        <v>0</v>
      </c>
      <c r="F246" s="48"/>
      <c r="G246" s="43" t="s">
        <v>0</v>
      </c>
      <c r="H246" s="49" t="s">
        <v>224</v>
      </c>
      <c r="I246" s="50" t="s">
        <v>2</v>
      </c>
      <c r="J246" s="51"/>
      <c r="K246" s="121">
        <v>2800</v>
      </c>
      <c r="L246" s="52" t="s">
        <v>0</v>
      </c>
      <c r="M246" s="53" t="str">
        <f>IFERROR(VLOOKUP(VLOOKUP(O246,O246,1,1),Categories!$K$4:$V$17,2+VLOOKUP(L246,L246,1,1)),"-"  )</f>
        <v>-</v>
      </c>
      <c r="N246" s="53" t="str">
        <f>IFERROR(VLOOKUP(VLOOKUP(O246,O246,1,1),Categories!$K$3:$V$17,7+VLOOKUP(L246,L246,1,1)),"-")</f>
        <v>-</v>
      </c>
      <c r="O246" s="54" t="s">
        <v>0</v>
      </c>
      <c r="P246" s="176" t="s">
        <v>0</v>
      </c>
      <c r="Q246" s="180" t="str">
        <f t="shared" ref="Q246:Q255" si="7">IF(P246="-","-",$X$181*(1-P246/100))</f>
        <v>-</v>
      </c>
      <c r="R246" s="169"/>
      <c r="S246" s="169"/>
      <c r="T246" s="168"/>
      <c r="U246" s="169"/>
      <c r="V246" s="170"/>
      <c r="W246" s="170"/>
      <c r="X246" s="171"/>
      <c r="Y246" s="172"/>
      <c r="Z246" s="172"/>
      <c r="AA246" s="172"/>
      <c r="AB246" s="172"/>
      <c r="AC246" s="172"/>
      <c r="AD246" s="172"/>
      <c r="AE246" s="172"/>
      <c r="AF246" s="172"/>
      <c r="AG246" s="171"/>
      <c r="AH246" s="173"/>
      <c r="AI246" s="131"/>
      <c r="AJ246" s="55"/>
      <c r="AK246" s="55"/>
      <c r="AL246" s="55"/>
    </row>
    <row r="247" spans="1:38" ht="31.95" customHeight="1" x14ac:dyDescent="0.3">
      <c r="A247" s="167">
        <v>44063</v>
      </c>
      <c r="B247" s="197">
        <v>0.73784722222222221</v>
      </c>
      <c r="C247" s="48"/>
      <c r="D247" s="48"/>
      <c r="E247" s="48">
        <f>IF(I247=Categories!$E$4,VLOOKUP(H247,Categories!$A$4:$C$13,3,1),VLOOKUP(I247,Categories!$E$4:$G$24,3,1))</f>
        <v>60</v>
      </c>
      <c r="F247" s="48"/>
      <c r="G247" s="43" t="s">
        <v>0</v>
      </c>
      <c r="H247" s="49" t="s">
        <v>224</v>
      </c>
      <c r="I247" s="50" t="s">
        <v>59</v>
      </c>
      <c r="J247" s="51"/>
      <c r="K247" s="121">
        <v>2800</v>
      </c>
      <c r="L247" s="52" t="s">
        <v>0</v>
      </c>
      <c r="M247" s="53" t="str">
        <f>IFERROR(VLOOKUP(VLOOKUP(O247,O247,1,1),Categories!$K$4:$V$17,2+VLOOKUP(L247,L247,1,1)),"-"  )</f>
        <v>-</v>
      </c>
      <c r="N247" s="53" t="str">
        <f>IFERROR(VLOOKUP(VLOOKUP(O247,O247,1,1),Categories!$K$3:$V$17,7+VLOOKUP(L247,L247,1,1)),"-")</f>
        <v>-</v>
      </c>
      <c r="O247" s="54" t="s">
        <v>0</v>
      </c>
      <c r="P247" s="178">
        <v>20</v>
      </c>
      <c r="Q247" s="180">
        <f>IF(P247="-","-",$X$223*(1-P247/100))</f>
        <v>5.04</v>
      </c>
      <c r="R247" s="169"/>
      <c r="S247" s="169"/>
      <c r="T247" s="168"/>
      <c r="U247" s="169"/>
      <c r="V247" s="170"/>
      <c r="W247" s="170"/>
      <c r="X247" s="171"/>
      <c r="Y247" s="172"/>
      <c r="Z247" s="172"/>
      <c r="AA247" s="172"/>
      <c r="AB247" s="172"/>
      <c r="AC247" s="172"/>
      <c r="AD247" s="172"/>
      <c r="AE247" s="172"/>
      <c r="AF247" s="172"/>
      <c r="AG247" s="171"/>
      <c r="AH247" s="173"/>
      <c r="AI247" s="131"/>
      <c r="AJ247" s="55"/>
      <c r="AK247" s="55"/>
      <c r="AL247" s="55"/>
    </row>
    <row r="248" spans="1:38" ht="31.95" customHeight="1" x14ac:dyDescent="0.3">
      <c r="A248" s="12">
        <v>44063</v>
      </c>
      <c r="B248" s="196">
        <v>0.73811342592592588</v>
      </c>
      <c r="C248" s="48"/>
      <c r="D248" s="48"/>
      <c r="E248" s="48">
        <f>IF(I248=Categories!$E$4,VLOOKUP(H248,Categories!$A$4:$C$13,3,1),VLOOKUP(I248,Categories!$E$4:$G$24,3,1))</f>
        <v>120</v>
      </c>
      <c r="F248" s="48"/>
      <c r="G248" s="43">
        <v>28</v>
      </c>
      <c r="H248" s="49" t="s">
        <v>44</v>
      </c>
      <c r="I248" s="44" t="s">
        <v>0</v>
      </c>
      <c r="J248" s="51"/>
      <c r="K248" s="121">
        <v>2800</v>
      </c>
      <c r="L248" s="52" t="s">
        <v>0</v>
      </c>
      <c r="M248" s="53" t="str">
        <f>IFERROR(VLOOKUP(VLOOKUP(O248,O248,1,1),Categories!$K$4:$V$17,2+VLOOKUP(L248,L248,1,1)),"-"  )</f>
        <v>-</v>
      </c>
      <c r="N248" s="53" t="str">
        <f>IFERROR(VLOOKUP(VLOOKUP(O248,O248,1,1),Categories!$K$3:$V$17,7+VLOOKUP(L248,L248,1,1)),"-")</f>
        <v>-</v>
      </c>
      <c r="O248" s="54" t="s">
        <v>0</v>
      </c>
      <c r="P248" s="176">
        <v>20</v>
      </c>
      <c r="Q248" s="180">
        <f t="shared" ref="Q248:Q254" si="8">IF(P248="-","-",$X$223*(1-P248/100))</f>
        <v>5.04</v>
      </c>
      <c r="R248" s="132"/>
      <c r="S248" s="132"/>
      <c r="T248" s="139"/>
      <c r="U248" s="169"/>
      <c r="V248" s="135">
        <v>3.4</v>
      </c>
      <c r="W248" s="135">
        <v>3.7</v>
      </c>
      <c r="X248" s="136"/>
      <c r="Y248" s="137"/>
      <c r="Z248" s="137"/>
      <c r="AA248" s="137"/>
      <c r="AB248" s="137"/>
      <c r="AC248" s="137"/>
      <c r="AD248" s="137"/>
      <c r="AE248" s="137"/>
      <c r="AF248" s="137"/>
      <c r="AG248" s="136"/>
      <c r="AH248" s="138"/>
      <c r="AI248" s="131"/>
      <c r="AJ248" s="47"/>
      <c r="AK248" s="55"/>
      <c r="AL248" s="55"/>
    </row>
    <row r="249" spans="1:38" ht="31.95" customHeight="1" x14ac:dyDescent="0.3">
      <c r="A249" s="12">
        <v>44063</v>
      </c>
      <c r="B249" s="196">
        <v>0.73953703703703699</v>
      </c>
      <c r="C249" s="48"/>
      <c r="D249" s="48"/>
      <c r="E249" s="48">
        <f>IF(I249=Categories!$E$4,VLOOKUP(H249,Categories!$A$4:$C$13,3,1),VLOOKUP(I249,Categories!$E$4:$G$24,3,1))</f>
        <v>60</v>
      </c>
      <c r="F249" s="48"/>
      <c r="G249" s="43">
        <v>28</v>
      </c>
      <c r="H249" s="49" t="s">
        <v>224</v>
      </c>
      <c r="I249" s="50" t="s">
        <v>59</v>
      </c>
      <c r="J249" s="51"/>
      <c r="K249" s="121">
        <v>2800</v>
      </c>
      <c r="L249" s="52" t="s">
        <v>0</v>
      </c>
      <c r="M249" s="53" t="str">
        <f>IFERROR(VLOOKUP(VLOOKUP(O249,O249,1,1),Categories!$K$4:$V$17,2+VLOOKUP(L249,L249,1,1)),"-"  )</f>
        <v>-</v>
      </c>
      <c r="N249" s="53" t="str">
        <f>IFERROR(VLOOKUP(VLOOKUP(O249,O249,1,1),Categories!$K$3:$V$17,7+VLOOKUP(L249,L249,1,1)),"-")</f>
        <v>-</v>
      </c>
      <c r="O249" s="54" t="s">
        <v>0</v>
      </c>
      <c r="P249" s="178">
        <v>40</v>
      </c>
      <c r="Q249" s="180">
        <f t="shared" si="8"/>
        <v>3.78</v>
      </c>
      <c r="R249" s="132"/>
      <c r="S249" s="132"/>
      <c r="T249" s="139"/>
      <c r="U249" s="169"/>
      <c r="V249" s="135"/>
      <c r="W249" s="135"/>
      <c r="X249" s="136"/>
      <c r="Y249" s="137"/>
      <c r="Z249" s="137"/>
      <c r="AA249" s="137"/>
      <c r="AB249" s="137"/>
      <c r="AC249" s="137"/>
      <c r="AD249" s="137"/>
      <c r="AE249" s="137"/>
      <c r="AF249" s="137"/>
      <c r="AG249" s="136"/>
      <c r="AH249" s="138"/>
      <c r="AI249" s="131"/>
      <c r="AJ249" s="47"/>
      <c r="AK249" s="55"/>
      <c r="AL249" s="55"/>
    </row>
    <row r="250" spans="1:38" ht="31.95" customHeight="1" x14ac:dyDescent="0.3">
      <c r="A250" s="12">
        <v>44063</v>
      </c>
      <c r="B250" s="196">
        <v>0.74021990740740751</v>
      </c>
      <c r="C250" s="48"/>
      <c r="D250" s="48"/>
      <c r="E250" s="48">
        <f>IF(I250=Categories!$E$4,VLOOKUP(H250,Categories!$A$4:$C$13,3,1),VLOOKUP(I250,Categories!$E$4:$G$24,3,1))</f>
        <v>120</v>
      </c>
      <c r="F250" s="48"/>
      <c r="G250" s="43">
        <v>28</v>
      </c>
      <c r="H250" s="49" t="s">
        <v>44</v>
      </c>
      <c r="I250" s="44" t="s">
        <v>0</v>
      </c>
      <c r="J250" s="51"/>
      <c r="K250" s="121">
        <v>2800</v>
      </c>
      <c r="L250" s="52" t="s">
        <v>0</v>
      </c>
      <c r="M250" s="53" t="str">
        <f>IFERROR(VLOOKUP(VLOOKUP(O250,O250,1,1),Categories!$K$4:$V$17,2+VLOOKUP(L250,L250,1,1)),"-"  )</f>
        <v>-</v>
      </c>
      <c r="N250" s="53" t="str">
        <f>IFERROR(VLOOKUP(VLOOKUP(O250,O250,1,1),Categories!$K$3:$V$17,7+VLOOKUP(L250,L250,1,1)),"-")</f>
        <v>-</v>
      </c>
      <c r="O250" s="54" t="s">
        <v>0</v>
      </c>
      <c r="P250" s="176">
        <v>40</v>
      </c>
      <c r="Q250" s="180">
        <f t="shared" si="8"/>
        <v>3.78</v>
      </c>
      <c r="R250" s="132"/>
      <c r="S250" s="132"/>
      <c r="T250" s="139"/>
      <c r="U250" s="169"/>
      <c r="V250" s="135">
        <v>2.5</v>
      </c>
      <c r="W250" s="135">
        <v>3.2</v>
      </c>
      <c r="X250" s="136"/>
      <c r="Y250" s="137"/>
      <c r="Z250" s="137"/>
      <c r="AA250" s="137"/>
      <c r="AB250" s="137"/>
      <c r="AC250" s="137"/>
      <c r="AD250" s="137"/>
      <c r="AE250" s="137"/>
      <c r="AF250" s="137"/>
      <c r="AG250" s="136"/>
      <c r="AH250" s="138"/>
      <c r="AI250" s="131"/>
      <c r="AJ250" s="47"/>
      <c r="AK250" s="55"/>
      <c r="AL250" s="55"/>
    </row>
    <row r="251" spans="1:38" ht="31.95" customHeight="1" x14ac:dyDescent="0.3">
      <c r="A251" s="12">
        <v>44063</v>
      </c>
      <c r="B251" s="196">
        <v>0.74211805555555566</v>
      </c>
      <c r="C251" s="48"/>
      <c r="D251" s="48"/>
      <c r="E251" s="48">
        <f>IF(I251=Categories!$E$4,VLOOKUP(H251,Categories!$A$4:$C$13,3,1),VLOOKUP(I251,Categories!$E$4:$G$24,3,1))</f>
        <v>60</v>
      </c>
      <c r="F251" s="48"/>
      <c r="G251" s="43">
        <v>28</v>
      </c>
      <c r="H251" s="49" t="s">
        <v>224</v>
      </c>
      <c r="I251" s="50" t="s">
        <v>59</v>
      </c>
      <c r="J251" s="51"/>
      <c r="K251" s="121">
        <v>2800</v>
      </c>
      <c r="L251" s="52" t="s">
        <v>0</v>
      </c>
      <c r="M251" s="53" t="str">
        <f>IFERROR(VLOOKUP(VLOOKUP(O251,O251,1,1),Categories!$K$4:$V$17,2+VLOOKUP(L251,L251,1,1)),"-"  )</f>
        <v>-</v>
      </c>
      <c r="N251" s="53" t="str">
        <f>IFERROR(VLOOKUP(VLOOKUP(O251,O251,1,1),Categories!$K$3:$V$17,7+VLOOKUP(L251,L251,1,1)),"-")</f>
        <v>-</v>
      </c>
      <c r="O251" s="54" t="s">
        <v>0</v>
      </c>
      <c r="P251" s="178">
        <v>60</v>
      </c>
      <c r="Q251" s="180">
        <f t="shared" si="8"/>
        <v>2.52</v>
      </c>
      <c r="R251" s="132"/>
      <c r="S251" s="132"/>
      <c r="T251" s="139"/>
      <c r="U251" s="169"/>
      <c r="V251" s="135"/>
      <c r="W251" s="135"/>
      <c r="X251" s="136"/>
      <c r="Y251" s="137"/>
      <c r="Z251" s="137"/>
      <c r="AA251" s="137"/>
      <c r="AB251" s="137"/>
      <c r="AC251" s="137"/>
      <c r="AD251" s="137"/>
      <c r="AE251" s="137"/>
      <c r="AF251" s="137"/>
      <c r="AG251" s="136"/>
      <c r="AH251" s="138"/>
      <c r="AI251" s="131"/>
      <c r="AJ251" s="47"/>
      <c r="AK251" s="55"/>
      <c r="AL251" s="55"/>
    </row>
    <row r="252" spans="1:38" ht="31.95" customHeight="1" x14ac:dyDescent="0.3">
      <c r="A252" s="12">
        <v>44063</v>
      </c>
      <c r="B252" s="196">
        <v>0.74297453703703698</v>
      </c>
      <c r="C252" s="48"/>
      <c r="D252" s="48"/>
      <c r="E252" s="48">
        <f>IF(I252=Categories!$E$4,VLOOKUP(H252,Categories!$A$4:$C$13,3,1),VLOOKUP(I252,Categories!$E$4:$G$24,3,1))</f>
        <v>120</v>
      </c>
      <c r="F252" s="48"/>
      <c r="G252" s="43">
        <v>28</v>
      </c>
      <c r="H252" s="49" t="s">
        <v>44</v>
      </c>
      <c r="I252" s="44" t="s">
        <v>0</v>
      </c>
      <c r="J252" s="51"/>
      <c r="K252" s="121">
        <v>2800</v>
      </c>
      <c r="L252" s="52" t="s">
        <v>0</v>
      </c>
      <c r="M252" s="53" t="str">
        <f>IFERROR(VLOOKUP(VLOOKUP(O252,O252,1,1),Categories!$K$4:$V$17,2+VLOOKUP(L252,L252,1,1)),"-"  )</f>
        <v>-</v>
      </c>
      <c r="N252" s="53" t="str">
        <f>IFERROR(VLOOKUP(VLOOKUP(O252,O252,1,1),Categories!$K$3:$V$17,7+VLOOKUP(L252,L252,1,1)),"-")</f>
        <v>-</v>
      </c>
      <c r="O252" s="54" t="s">
        <v>0</v>
      </c>
      <c r="P252" s="176">
        <v>60</v>
      </c>
      <c r="Q252" s="180">
        <f t="shared" si="8"/>
        <v>2.52</v>
      </c>
      <c r="R252" s="132"/>
      <c r="S252" s="132"/>
      <c r="T252" s="139"/>
      <c r="U252" s="169"/>
      <c r="V252" s="135">
        <v>1.5</v>
      </c>
      <c r="W252" s="135">
        <v>2.7</v>
      </c>
      <c r="X252" s="136"/>
      <c r="Y252" s="137"/>
      <c r="Z252" s="137"/>
      <c r="AA252" s="137"/>
      <c r="AB252" s="137"/>
      <c r="AC252" s="137"/>
      <c r="AD252" s="137"/>
      <c r="AE252" s="137"/>
      <c r="AF252" s="137"/>
      <c r="AG252" s="136"/>
      <c r="AH252" s="138"/>
      <c r="AI252" s="131"/>
      <c r="AJ252" s="47"/>
      <c r="AK252" s="55"/>
      <c r="AL252" s="55"/>
    </row>
    <row r="253" spans="1:38" ht="31.95" customHeight="1" x14ac:dyDescent="0.3">
      <c r="A253" s="12">
        <v>44063</v>
      </c>
      <c r="B253" s="196">
        <v>0.74444444444444446</v>
      </c>
      <c r="C253" s="48"/>
      <c r="D253" s="48"/>
      <c r="E253" s="48">
        <f>IF(I253=Categories!$E$4,VLOOKUP(H253,Categories!$A$4:$C$13,3,1),VLOOKUP(I253,Categories!$E$4:$G$24,3,1))</f>
        <v>60</v>
      </c>
      <c r="F253" s="48"/>
      <c r="G253" s="43">
        <v>28</v>
      </c>
      <c r="H253" s="49" t="s">
        <v>224</v>
      </c>
      <c r="I253" s="50" t="s">
        <v>59</v>
      </c>
      <c r="J253" s="51"/>
      <c r="K253" s="121">
        <v>2800</v>
      </c>
      <c r="L253" s="52" t="s">
        <v>0</v>
      </c>
      <c r="M253" s="53" t="str">
        <f>IFERROR(VLOOKUP(VLOOKUP(O253,O253,1,1),Categories!$K$4:$V$17,2+VLOOKUP(L253,L253,1,1)),"-"  )</f>
        <v>-</v>
      </c>
      <c r="N253" s="53" t="str">
        <f>IFERROR(VLOOKUP(VLOOKUP(O253,O253,1,1),Categories!$K$3:$V$17,7+VLOOKUP(L253,L253,1,1)),"-")</f>
        <v>-</v>
      </c>
      <c r="O253" s="54" t="s">
        <v>0</v>
      </c>
      <c r="P253" s="178">
        <v>80</v>
      </c>
      <c r="Q253" s="180">
        <f t="shared" si="8"/>
        <v>1.2599999999999998</v>
      </c>
      <c r="R253" s="132"/>
      <c r="S253" s="132"/>
      <c r="T253" s="139"/>
      <c r="U253" s="169"/>
      <c r="V253" s="135"/>
      <c r="W253" s="135"/>
      <c r="X253" s="136"/>
      <c r="Y253" s="137"/>
      <c r="Z253" s="137"/>
      <c r="AA253" s="137"/>
      <c r="AB253" s="137"/>
      <c r="AC253" s="137"/>
      <c r="AD253" s="137"/>
      <c r="AE253" s="137"/>
      <c r="AF253" s="137"/>
      <c r="AG253" s="136"/>
      <c r="AH253" s="138"/>
      <c r="AI253" s="131"/>
      <c r="AJ253" s="47"/>
      <c r="AK253" s="55"/>
      <c r="AL253" s="55"/>
    </row>
    <row r="254" spans="1:38" ht="31.95" customHeight="1" x14ac:dyDescent="0.3">
      <c r="A254" s="12">
        <v>44063</v>
      </c>
      <c r="B254" s="196">
        <v>0.74513888888888891</v>
      </c>
      <c r="C254" s="48"/>
      <c r="D254" s="48"/>
      <c r="E254" s="48">
        <f>IF(I254=Categories!$E$4,VLOOKUP(H254,Categories!$A$4:$C$13,3,1),VLOOKUP(I254,Categories!$E$4:$G$24,3,1))</f>
        <v>120</v>
      </c>
      <c r="F254" s="48"/>
      <c r="G254" s="43">
        <v>28</v>
      </c>
      <c r="H254" s="49" t="s">
        <v>44</v>
      </c>
      <c r="I254" s="44" t="s">
        <v>0</v>
      </c>
      <c r="J254" s="51"/>
      <c r="K254" s="121">
        <v>2800</v>
      </c>
      <c r="L254" s="52" t="s">
        <v>0</v>
      </c>
      <c r="M254" s="53" t="str">
        <f>IFERROR(VLOOKUP(VLOOKUP(O254,O254,1,1),Categories!$K$4:$V$17,2+VLOOKUP(L254,L254,1,1)),"-"  )</f>
        <v>-</v>
      </c>
      <c r="N254" s="53" t="str">
        <f>IFERROR(VLOOKUP(VLOOKUP(O254,O254,1,1),Categories!$K$3:$V$17,7+VLOOKUP(L254,L254,1,1)),"-")</f>
        <v>-</v>
      </c>
      <c r="O254" s="54" t="s">
        <v>0</v>
      </c>
      <c r="P254" s="176">
        <v>80</v>
      </c>
      <c r="Q254" s="180">
        <f t="shared" si="8"/>
        <v>1.2599999999999998</v>
      </c>
      <c r="R254" s="132"/>
      <c r="S254" s="132"/>
      <c r="T254" s="139"/>
      <c r="U254" s="169"/>
      <c r="V254" s="135">
        <v>0.5</v>
      </c>
      <c r="W254" s="135">
        <v>2.2000000000000002</v>
      </c>
      <c r="X254" s="136"/>
      <c r="Y254" s="137"/>
      <c r="Z254" s="137"/>
      <c r="AA254" s="137"/>
      <c r="AB254" s="137"/>
      <c r="AC254" s="137"/>
      <c r="AD254" s="137"/>
      <c r="AE254" s="137"/>
      <c r="AF254" s="137"/>
      <c r="AG254" s="136"/>
      <c r="AH254" s="138"/>
      <c r="AI254" s="131"/>
      <c r="AJ254" s="47"/>
      <c r="AK254" s="55"/>
      <c r="AL254" s="55"/>
    </row>
    <row r="255" spans="1:38" ht="31.95" customHeight="1" x14ac:dyDescent="0.3">
      <c r="A255" s="12">
        <v>44063</v>
      </c>
      <c r="B255" s="196">
        <v>0.74659722222222225</v>
      </c>
      <c r="C255" s="48"/>
      <c r="D255" s="48"/>
      <c r="E255" s="48" t="s">
        <v>0</v>
      </c>
      <c r="F255" s="48"/>
      <c r="G255" s="43" t="s">
        <v>0</v>
      </c>
      <c r="H255" s="49" t="s">
        <v>224</v>
      </c>
      <c r="I255" s="50" t="s">
        <v>2</v>
      </c>
      <c r="J255" s="51"/>
      <c r="K255" s="121">
        <v>3100</v>
      </c>
      <c r="L255" s="52" t="s">
        <v>0</v>
      </c>
      <c r="M255" s="53" t="str">
        <f>IFERROR(VLOOKUP(VLOOKUP(O255,O255,1,1),Categories!$K$4:$V$17,2+VLOOKUP(L255,L255,1,1)),"-"  )</f>
        <v>-</v>
      </c>
      <c r="N255" s="53" t="str">
        <f>IFERROR(VLOOKUP(VLOOKUP(O255,O255,1,1),Categories!$K$3:$V$17,7+VLOOKUP(L255,L255,1,1)),"-")</f>
        <v>-</v>
      </c>
      <c r="O255" s="54" t="s">
        <v>0</v>
      </c>
      <c r="P255" s="176" t="s">
        <v>0</v>
      </c>
      <c r="Q255" s="180" t="str">
        <f t="shared" si="7"/>
        <v>-</v>
      </c>
      <c r="R255" s="169"/>
      <c r="S255" s="169"/>
      <c r="T255" s="168"/>
      <c r="U255" s="169"/>
      <c r="V255" s="170"/>
      <c r="W255" s="170"/>
      <c r="X255" s="171"/>
      <c r="Y255" s="172"/>
      <c r="Z255" s="172"/>
      <c r="AA255" s="172"/>
      <c r="AB255" s="172"/>
      <c r="AC255" s="172"/>
      <c r="AD255" s="172"/>
      <c r="AE255" s="172"/>
      <c r="AF255" s="172"/>
      <c r="AG255" s="171"/>
      <c r="AH255" s="173"/>
      <c r="AI255" s="131"/>
      <c r="AJ255" s="55"/>
      <c r="AK255" s="55"/>
      <c r="AL255" s="55"/>
    </row>
    <row r="256" spans="1:38" ht="31.95" customHeight="1" x14ac:dyDescent="0.3">
      <c r="A256" s="167">
        <v>44063</v>
      </c>
      <c r="B256" s="197">
        <v>0.74714120370370374</v>
      </c>
      <c r="C256" s="48"/>
      <c r="D256" s="48"/>
      <c r="E256" s="48">
        <f>IF(I256=Categories!$E$4,VLOOKUP(H256,Categories!$A$4:$C$13,3,1),VLOOKUP(I256,Categories!$E$4:$G$24,3,1))</f>
        <v>60</v>
      </c>
      <c r="F256" s="48"/>
      <c r="G256" s="43" t="s">
        <v>0</v>
      </c>
      <c r="H256" s="49" t="s">
        <v>224</v>
      </c>
      <c r="I256" s="50" t="s">
        <v>59</v>
      </c>
      <c r="J256" s="51"/>
      <c r="K256" s="121">
        <v>3100</v>
      </c>
      <c r="L256" s="52" t="s">
        <v>0</v>
      </c>
      <c r="M256" s="53" t="str">
        <f>IFERROR(VLOOKUP(VLOOKUP(O256,O256,1,1),Categories!$K$4:$V$17,2+VLOOKUP(L256,L256,1,1)),"-"  )</f>
        <v>-</v>
      </c>
      <c r="N256" s="53" t="str">
        <f>IFERROR(VLOOKUP(VLOOKUP(O256,O256,1,1),Categories!$K$3:$V$17,7+VLOOKUP(L256,L256,1,1)),"-")</f>
        <v>-</v>
      </c>
      <c r="O256" s="54" t="s">
        <v>0</v>
      </c>
      <c r="P256" s="178">
        <v>20</v>
      </c>
      <c r="Q256" s="180">
        <f>IF(P256="-","-",$X$221*(1-P256/100))</f>
        <v>5.6320000000000006</v>
      </c>
      <c r="R256" s="169"/>
      <c r="S256" s="169"/>
      <c r="T256" s="168"/>
      <c r="U256" s="169"/>
      <c r="V256" s="170"/>
      <c r="W256" s="170"/>
      <c r="X256" s="171"/>
      <c r="Y256" s="172"/>
      <c r="Z256" s="172"/>
      <c r="AA256" s="172"/>
      <c r="AB256" s="172"/>
      <c r="AC256" s="172"/>
      <c r="AD256" s="172"/>
      <c r="AE256" s="172"/>
      <c r="AF256" s="172"/>
      <c r="AG256" s="171"/>
      <c r="AH256" s="173"/>
      <c r="AI256" s="131" t="s">
        <v>234</v>
      </c>
      <c r="AJ256" s="55" t="s">
        <v>322</v>
      </c>
      <c r="AK256" s="55"/>
      <c r="AL256" s="55"/>
    </row>
    <row r="257" spans="1:38" ht="31.95" customHeight="1" x14ac:dyDescent="0.3">
      <c r="A257" s="12">
        <v>44063</v>
      </c>
      <c r="B257" s="196">
        <v>0.74792824074074071</v>
      </c>
      <c r="C257" s="48"/>
      <c r="D257" s="48"/>
      <c r="E257" s="48">
        <f>IF(I257=Categories!$E$4,VLOOKUP(H257,Categories!$A$4:$C$13,3,1),VLOOKUP(I257,Categories!$E$4:$G$24,3,1))</f>
        <v>120</v>
      </c>
      <c r="F257" s="48"/>
      <c r="G257" s="43">
        <v>29</v>
      </c>
      <c r="H257" s="49" t="s">
        <v>44</v>
      </c>
      <c r="I257" s="44" t="s">
        <v>0</v>
      </c>
      <c r="J257" s="51"/>
      <c r="K257" s="121">
        <v>3100</v>
      </c>
      <c r="L257" s="52" t="s">
        <v>0</v>
      </c>
      <c r="M257" s="53" t="str">
        <f>IFERROR(VLOOKUP(VLOOKUP(O257,O257,1,1),Categories!$K$4:$V$17,2+VLOOKUP(L257,L257,1,1)),"-"  )</f>
        <v>-</v>
      </c>
      <c r="N257" s="53" t="str">
        <f>IFERROR(VLOOKUP(VLOOKUP(O257,O257,1,1),Categories!$K$3:$V$17,7+VLOOKUP(L257,L257,1,1)),"-")</f>
        <v>-</v>
      </c>
      <c r="O257" s="54" t="s">
        <v>0</v>
      </c>
      <c r="P257" s="176">
        <v>20</v>
      </c>
      <c r="Q257" s="180">
        <f t="shared" ref="Q257:Q263" si="9">IF(P257="-","-",$X$221*(1-P257/100))</f>
        <v>5.6320000000000006</v>
      </c>
      <c r="R257" s="132"/>
      <c r="S257" s="132"/>
      <c r="T257" s="139"/>
      <c r="U257" s="169"/>
      <c r="V257" s="135">
        <v>4</v>
      </c>
      <c r="W257" s="135"/>
      <c r="X257" s="136"/>
      <c r="Y257" s="137"/>
      <c r="Z257" s="137"/>
      <c r="AA257" s="137"/>
      <c r="AB257" s="137"/>
      <c r="AC257" s="137"/>
      <c r="AD257" s="137"/>
      <c r="AE257" s="137"/>
      <c r="AF257" s="137"/>
      <c r="AG257" s="136"/>
      <c r="AH257" s="138"/>
      <c r="AI257" s="131"/>
      <c r="AJ257" s="47"/>
      <c r="AK257" s="55"/>
      <c r="AL257" s="55"/>
    </row>
    <row r="258" spans="1:38" ht="31.95" customHeight="1" x14ac:dyDescent="0.3">
      <c r="A258" s="12">
        <v>44063</v>
      </c>
      <c r="B258" s="196">
        <v>0.74971064814814825</v>
      </c>
      <c r="C258" s="48"/>
      <c r="D258" s="48"/>
      <c r="E258" s="48">
        <f>IF(I258=Categories!$E$4,VLOOKUP(H258,Categories!$A$4:$C$13,3,1),VLOOKUP(I258,Categories!$E$4:$G$24,3,1))</f>
        <v>60</v>
      </c>
      <c r="F258" s="48"/>
      <c r="G258" s="43">
        <v>29</v>
      </c>
      <c r="H258" s="49" t="s">
        <v>224</v>
      </c>
      <c r="I258" s="50" t="s">
        <v>59</v>
      </c>
      <c r="J258" s="51"/>
      <c r="K258" s="121">
        <v>3100</v>
      </c>
      <c r="L258" s="52" t="s">
        <v>0</v>
      </c>
      <c r="M258" s="53" t="str">
        <f>IFERROR(VLOOKUP(VLOOKUP(O258,O258,1,1),Categories!$K$4:$V$17,2+VLOOKUP(L258,L258,1,1)),"-"  )</f>
        <v>-</v>
      </c>
      <c r="N258" s="53" t="str">
        <f>IFERROR(VLOOKUP(VLOOKUP(O258,O258,1,1),Categories!$K$3:$V$17,7+VLOOKUP(L258,L258,1,1)),"-")</f>
        <v>-</v>
      </c>
      <c r="O258" s="54" t="s">
        <v>0</v>
      </c>
      <c r="P258" s="178">
        <v>40</v>
      </c>
      <c r="Q258" s="180">
        <f t="shared" si="9"/>
        <v>4.2240000000000002</v>
      </c>
      <c r="R258" s="132"/>
      <c r="S258" s="132"/>
      <c r="T258" s="139"/>
      <c r="U258" s="169"/>
      <c r="V258" s="135"/>
      <c r="W258" s="135"/>
      <c r="X258" s="136"/>
      <c r="Y258" s="137"/>
      <c r="Z258" s="137"/>
      <c r="AA258" s="137"/>
      <c r="AB258" s="137"/>
      <c r="AC258" s="137"/>
      <c r="AD258" s="137"/>
      <c r="AE258" s="137"/>
      <c r="AF258" s="137"/>
      <c r="AG258" s="136"/>
      <c r="AH258" s="138"/>
      <c r="AI258" s="131"/>
      <c r="AJ258" s="47"/>
      <c r="AK258" s="55"/>
      <c r="AL258" s="55"/>
    </row>
    <row r="259" spans="1:38" ht="31.95" customHeight="1" x14ac:dyDescent="0.3">
      <c r="A259" s="12">
        <v>44063</v>
      </c>
      <c r="B259" s="196">
        <v>0.75033564814814813</v>
      </c>
      <c r="C259" s="48"/>
      <c r="D259" s="48"/>
      <c r="E259" s="48">
        <f>IF(I259=Categories!$E$4,VLOOKUP(H259,Categories!$A$4:$C$13,3,1),VLOOKUP(I259,Categories!$E$4:$G$24,3,1))</f>
        <v>120</v>
      </c>
      <c r="F259" s="48"/>
      <c r="G259" s="43">
        <v>29</v>
      </c>
      <c r="H259" s="49" t="s">
        <v>44</v>
      </c>
      <c r="I259" s="44" t="s">
        <v>0</v>
      </c>
      <c r="J259" s="51"/>
      <c r="K259" s="121">
        <v>3100</v>
      </c>
      <c r="L259" s="52" t="s">
        <v>0</v>
      </c>
      <c r="M259" s="53" t="str">
        <f>IFERROR(VLOOKUP(VLOOKUP(O259,O259,1,1),Categories!$K$4:$V$17,2+VLOOKUP(L259,L259,1,1)),"-"  )</f>
        <v>-</v>
      </c>
      <c r="N259" s="53" t="str">
        <f>IFERROR(VLOOKUP(VLOOKUP(O259,O259,1,1),Categories!$K$3:$V$17,7+VLOOKUP(L259,L259,1,1)),"-")</f>
        <v>-</v>
      </c>
      <c r="O259" s="54" t="s">
        <v>0</v>
      </c>
      <c r="P259" s="176">
        <v>40</v>
      </c>
      <c r="Q259" s="180">
        <f t="shared" si="9"/>
        <v>4.2240000000000002</v>
      </c>
      <c r="R259" s="132"/>
      <c r="S259" s="132"/>
      <c r="T259" s="139"/>
      <c r="U259" s="169"/>
      <c r="V259" s="135">
        <v>2.8</v>
      </c>
      <c r="W259" s="135">
        <v>4.2</v>
      </c>
      <c r="X259" s="136"/>
      <c r="Y259" s="137"/>
      <c r="Z259" s="137"/>
      <c r="AA259" s="137"/>
      <c r="AB259" s="137"/>
      <c r="AC259" s="137"/>
      <c r="AD259" s="137"/>
      <c r="AE259" s="137"/>
      <c r="AF259" s="137"/>
      <c r="AG259" s="136"/>
      <c r="AH259" s="138"/>
      <c r="AI259" s="131"/>
      <c r="AJ259" s="47"/>
      <c r="AK259" s="55"/>
      <c r="AL259" s="55"/>
    </row>
    <row r="260" spans="1:38" ht="31.95" customHeight="1" x14ac:dyDescent="0.3">
      <c r="A260" s="12">
        <v>44063</v>
      </c>
      <c r="B260" s="196">
        <v>0.75202546296296291</v>
      </c>
      <c r="C260" s="48"/>
      <c r="D260" s="48"/>
      <c r="E260" s="48">
        <f>IF(I260=Categories!$E$4,VLOOKUP(H260,Categories!$A$4:$C$13,3,1),VLOOKUP(I260,Categories!$E$4:$G$24,3,1))</f>
        <v>60</v>
      </c>
      <c r="F260" s="48"/>
      <c r="G260" s="43">
        <v>29</v>
      </c>
      <c r="H260" s="49" t="s">
        <v>224</v>
      </c>
      <c r="I260" s="50" t="s">
        <v>59</v>
      </c>
      <c r="J260" s="51"/>
      <c r="K260" s="121">
        <v>3100</v>
      </c>
      <c r="L260" s="52" t="s">
        <v>0</v>
      </c>
      <c r="M260" s="53" t="str">
        <f>IFERROR(VLOOKUP(VLOOKUP(O260,O260,1,1),Categories!$K$4:$V$17,2+VLOOKUP(L260,L260,1,1)),"-"  )</f>
        <v>-</v>
      </c>
      <c r="N260" s="53" t="str">
        <f>IFERROR(VLOOKUP(VLOOKUP(O260,O260,1,1),Categories!$K$3:$V$17,7+VLOOKUP(L260,L260,1,1)),"-")</f>
        <v>-</v>
      </c>
      <c r="O260" s="54" t="s">
        <v>0</v>
      </c>
      <c r="P260" s="178">
        <v>60</v>
      </c>
      <c r="Q260" s="180">
        <f t="shared" si="9"/>
        <v>2.8160000000000003</v>
      </c>
      <c r="R260" s="132"/>
      <c r="S260" s="132"/>
      <c r="T260" s="139"/>
      <c r="U260" s="169"/>
      <c r="V260" s="135"/>
      <c r="W260" s="135"/>
      <c r="X260" s="136"/>
      <c r="Y260" s="137"/>
      <c r="Z260" s="137"/>
      <c r="AA260" s="137"/>
      <c r="AB260" s="137"/>
      <c r="AC260" s="137"/>
      <c r="AD260" s="137"/>
      <c r="AE260" s="137"/>
      <c r="AF260" s="137"/>
      <c r="AG260" s="136"/>
      <c r="AH260" s="138"/>
      <c r="AI260" s="131"/>
      <c r="AJ260" s="47"/>
      <c r="AK260" s="55"/>
      <c r="AL260" s="55"/>
    </row>
    <row r="261" spans="1:38" ht="31.95" customHeight="1" x14ac:dyDescent="0.3">
      <c r="A261" s="12">
        <v>44063</v>
      </c>
      <c r="B261" s="196">
        <v>0.75278935185185192</v>
      </c>
      <c r="C261" s="48"/>
      <c r="D261" s="48"/>
      <c r="E261" s="48">
        <f>IF(I261=Categories!$E$4,VLOOKUP(H261,Categories!$A$4:$C$13,3,1),VLOOKUP(I261,Categories!$E$4:$G$24,3,1))</f>
        <v>120</v>
      </c>
      <c r="F261" s="48"/>
      <c r="G261" s="43">
        <v>29</v>
      </c>
      <c r="H261" s="49" t="s">
        <v>44</v>
      </c>
      <c r="I261" s="44" t="s">
        <v>0</v>
      </c>
      <c r="J261" s="51"/>
      <c r="K261" s="121">
        <v>3100</v>
      </c>
      <c r="L261" s="52" t="s">
        <v>0</v>
      </c>
      <c r="M261" s="53" t="str">
        <f>IFERROR(VLOOKUP(VLOOKUP(O261,O261,1,1),Categories!$K$4:$V$17,2+VLOOKUP(L261,L261,1,1)),"-"  )</f>
        <v>-</v>
      </c>
      <c r="N261" s="53" t="str">
        <f>IFERROR(VLOOKUP(VLOOKUP(O261,O261,1,1),Categories!$K$3:$V$17,7+VLOOKUP(L261,L261,1,1)),"-")</f>
        <v>-</v>
      </c>
      <c r="O261" s="54" t="s">
        <v>0</v>
      </c>
      <c r="P261" s="176">
        <v>60</v>
      </c>
      <c r="Q261" s="180">
        <f t="shared" si="9"/>
        <v>2.8160000000000003</v>
      </c>
      <c r="R261" s="132"/>
      <c r="S261" s="132"/>
      <c r="T261" s="139"/>
      <c r="U261" s="169"/>
      <c r="V261" s="135">
        <v>1.7</v>
      </c>
      <c r="W261" s="135">
        <v>3.6</v>
      </c>
      <c r="X261" s="136"/>
      <c r="Y261" s="137"/>
      <c r="Z261" s="137"/>
      <c r="AA261" s="137"/>
      <c r="AB261" s="137"/>
      <c r="AC261" s="137"/>
      <c r="AD261" s="137"/>
      <c r="AE261" s="137"/>
      <c r="AF261" s="137"/>
      <c r="AG261" s="136"/>
      <c r="AH261" s="138"/>
      <c r="AI261" s="131"/>
      <c r="AJ261" s="47"/>
      <c r="AK261" s="55"/>
      <c r="AL261" s="55"/>
    </row>
    <row r="262" spans="1:38" ht="31.95" customHeight="1" x14ac:dyDescent="0.3">
      <c r="A262" s="12">
        <v>44063</v>
      </c>
      <c r="B262" s="196">
        <v>0.75423611111111111</v>
      </c>
      <c r="C262" s="48"/>
      <c r="D262" s="48"/>
      <c r="E262" s="48">
        <f>IF(I262=Categories!$E$4,VLOOKUP(H262,Categories!$A$4:$C$13,3,1),VLOOKUP(I262,Categories!$E$4:$G$24,3,1))</f>
        <v>60</v>
      </c>
      <c r="F262" s="48"/>
      <c r="G262" s="43">
        <v>29</v>
      </c>
      <c r="H262" s="49" t="s">
        <v>224</v>
      </c>
      <c r="I262" s="50" t="s">
        <v>59</v>
      </c>
      <c r="J262" s="51"/>
      <c r="K262" s="121">
        <v>3100</v>
      </c>
      <c r="L262" s="52" t="s">
        <v>0</v>
      </c>
      <c r="M262" s="53" t="str">
        <f>IFERROR(VLOOKUP(VLOOKUP(O262,O262,1,1),Categories!$K$4:$V$17,2+VLOOKUP(L262,L262,1,1)),"-"  )</f>
        <v>-</v>
      </c>
      <c r="N262" s="53" t="str">
        <f>IFERROR(VLOOKUP(VLOOKUP(O262,O262,1,1),Categories!$K$3:$V$17,7+VLOOKUP(L262,L262,1,1)),"-")</f>
        <v>-</v>
      </c>
      <c r="O262" s="54" t="s">
        <v>0</v>
      </c>
      <c r="P262" s="178">
        <v>80</v>
      </c>
      <c r="Q262" s="180">
        <f t="shared" si="9"/>
        <v>1.4079999999999997</v>
      </c>
      <c r="R262" s="132"/>
      <c r="S262" s="132"/>
      <c r="T262" s="139"/>
      <c r="U262" s="169"/>
      <c r="V262" s="135"/>
      <c r="W262" s="135"/>
      <c r="X262" s="136"/>
      <c r="Y262" s="137"/>
      <c r="Z262" s="137"/>
      <c r="AA262" s="137"/>
      <c r="AB262" s="137"/>
      <c r="AC262" s="137"/>
      <c r="AD262" s="137"/>
      <c r="AE262" s="137"/>
      <c r="AF262" s="137"/>
      <c r="AG262" s="136"/>
      <c r="AH262" s="138"/>
      <c r="AI262" s="131"/>
      <c r="AJ262" s="47"/>
      <c r="AK262" s="55"/>
      <c r="AL262" s="55"/>
    </row>
    <row r="263" spans="1:38" ht="31.95" customHeight="1" x14ac:dyDescent="0.3">
      <c r="A263" s="12">
        <v>44063</v>
      </c>
      <c r="B263" s="196">
        <v>0.75494212962962959</v>
      </c>
      <c r="C263" s="48"/>
      <c r="D263" s="48"/>
      <c r="E263" s="48">
        <f>IF(I263=Categories!$E$4,VLOOKUP(H263,Categories!$A$4:$C$13,3,1),VLOOKUP(I263,Categories!$E$4:$G$24,3,1))</f>
        <v>120</v>
      </c>
      <c r="F263" s="48"/>
      <c r="G263" s="43">
        <v>29</v>
      </c>
      <c r="H263" s="49" t="s">
        <v>44</v>
      </c>
      <c r="I263" s="44" t="s">
        <v>0</v>
      </c>
      <c r="J263" s="51"/>
      <c r="K263" s="121">
        <v>3100</v>
      </c>
      <c r="L263" s="52" t="s">
        <v>0</v>
      </c>
      <c r="M263" s="53" t="str">
        <f>IFERROR(VLOOKUP(VLOOKUP(O263,O263,1,1),Categories!$K$4:$V$17,2+VLOOKUP(L263,L263,1,1)),"-"  )</f>
        <v>-</v>
      </c>
      <c r="N263" s="53" t="str">
        <f>IFERROR(VLOOKUP(VLOOKUP(O263,O263,1,1),Categories!$K$3:$V$17,7+VLOOKUP(L263,L263,1,1)),"-")</f>
        <v>-</v>
      </c>
      <c r="O263" s="54" t="s">
        <v>0</v>
      </c>
      <c r="P263" s="176">
        <v>80</v>
      </c>
      <c r="Q263" s="180">
        <f t="shared" si="9"/>
        <v>1.4079999999999997</v>
      </c>
      <c r="R263" s="132"/>
      <c r="S263" s="132"/>
      <c r="T263" s="139"/>
      <c r="U263" s="169"/>
      <c r="V263" s="135">
        <v>0.6</v>
      </c>
      <c r="W263" s="135">
        <v>2.9</v>
      </c>
      <c r="X263" s="136"/>
      <c r="Y263" s="137"/>
      <c r="Z263" s="137"/>
      <c r="AA263" s="137"/>
      <c r="AB263" s="137"/>
      <c r="AC263" s="137"/>
      <c r="AD263" s="137"/>
      <c r="AE263" s="137"/>
      <c r="AF263" s="137"/>
      <c r="AG263" s="136"/>
      <c r="AH263" s="138"/>
      <c r="AI263" s="131"/>
      <c r="AJ263" s="47"/>
      <c r="AK263" s="55"/>
      <c r="AL263" s="55"/>
    </row>
    <row r="264" spans="1:38" ht="31.95" customHeight="1" x14ac:dyDescent="0.3">
      <c r="A264" s="167">
        <v>44063</v>
      </c>
      <c r="B264" s="197">
        <v>0.75650462962962972</v>
      </c>
      <c r="C264" s="48"/>
      <c r="D264" s="48"/>
      <c r="E264" s="48">
        <f>IF(I264=Categories!$E$4,VLOOKUP(H264,Categories!$A$4:$C$13,3,1),VLOOKUP(I264,Categories!$E$4:$G$24,3,1))</f>
        <v>60</v>
      </c>
      <c r="F264" s="48"/>
      <c r="G264" s="43" t="s">
        <v>0</v>
      </c>
      <c r="H264" s="49" t="s">
        <v>224</v>
      </c>
      <c r="I264" s="50" t="s">
        <v>59</v>
      </c>
      <c r="J264" s="51"/>
      <c r="K264" s="121">
        <v>3100</v>
      </c>
      <c r="L264" s="52" t="s">
        <v>0</v>
      </c>
      <c r="M264" s="53" t="str">
        <f>IFERROR(VLOOKUP(VLOOKUP(O264,O264,1,1),Categories!$K$4:$V$17,2+VLOOKUP(L264,L264,1,1)),"-"  )</f>
        <v>-</v>
      </c>
      <c r="N264" s="53" t="str">
        <f>IFERROR(VLOOKUP(VLOOKUP(O264,O264,1,1),Categories!$K$3:$V$17,7+VLOOKUP(L264,L264,1,1)),"-")</f>
        <v>-</v>
      </c>
      <c r="O264" s="54" t="s">
        <v>0</v>
      </c>
      <c r="P264" s="178" t="s">
        <v>0</v>
      </c>
      <c r="Q264" s="180" t="s">
        <v>0</v>
      </c>
      <c r="R264" s="169"/>
      <c r="S264" s="169"/>
      <c r="T264" s="168"/>
      <c r="U264" s="169"/>
      <c r="V264" s="170"/>
      <c r="W264" s="170"/>
      <c r="X264" s="171"/>
      <c r="Y264" s="172"/>
      <c r="Z264" s="172"/>
      <c r="AA264" s="172"/>
      <c r="AB264" s="172"/>
      <c r="AC264" s="172"/>
      <c r="AD264" s="172"/>
      <c r="AE264" s="172"/>
      <c r="AF264" s="172"/>
      <c r="AG264" s="171"/>
      <c r="AH264" s="173"/>
      <c r="AI264" s="131"/>
      <c r="AJ264" s="55"/>
      <c r="AK264" s="55"/>
      <c r="AL264" s="55"/>
    </row>
    <row r="265" spans="1:38" ht="31.95" customHeight="1" x14ac:dyDescent="0.3">
      <c r="A265" s="167">
        <v>44063</v>
      </c>
      <c r="B265" s="197">
        <v>0.75752314814814825</v>
      </c>
      <c r="C265" s="48"/>
      <c r="D265" s="48"/>
      <c r="E265" s="48">
        <f>IF(I265=Categories!$E$4,VLOOKUP(H265,Categories!$A$4:$C$13,3,1),VLOOKUP(I265,Categories!$E$4:$G$24,3,1))</f>
        <v>120</v>
      </c>
      <c r="F265" s="48"/>
      <c r="G265" s="43">
        <v>30</v>
      </c>
      <c r="H265" s="49" t="s">
        <v>228</v>
      </c>
      <c r="I265" s="50" t="s">
        <v>0</v>
      </c>
      <c r="J265" s="51"/>
      <c r="K265" s="121">
        <v>3100</v>
      </c>
      <c r="L265" s="52" t="s">
        <v>0</v>
      </c>
      <c r="M265" s="53" t="str">
        <f>IFERROR(VLOOKUP(VLOOKUP(O265,O265,1,1),Categories!$K$4:$V$17,2+VLOOKUP(L265,L265,1,1)),"-"  )</f>
        <v>-</v>
      </c>
      <c r="N265" s="53" t="str">
        <f>IFERROR(VLOOKUP(VLOOKUP(O265,O265,1,1),Categories!$K$3:$V$17,7+VLOOKUP(L265,L265,1,1)),"-")</f>
        <v>-</v>
      </c>
      <c r="O265" s="54" t="s">
        <v>0</v>
      </c>
      <c r="P265" s="176" t="s">
        <v>0</v>
      </c>
      <c r="Q265" s="180" t="s">
        <v>0</v>
      </c>
      <c r="R265" s="169"/>
      <c r="S265" s="169"/>
      <c r="T265" s="168"/>
      <c r="U265" s="169"/>
      <c r="V265" s="170">
        <v>5.2</v>
      </c>
      <c r="W265" s="170">
        <v>5.4</v>
      </c>
      <c r="X265" s="171">
        <v>7.05</v>
      </c>
      <c r="Y265" s="172"/>
      <c r="Z265" s="172"/>
      <c r="AA265" s="172"/>
      <c r="AB265" s="172"/>
      <c r="AC265" s="172"/>
      <c r="AD265" s="172"/>
      <c r="AE265" s="172"/>
      <c r="AF265" s="172"/>
      <c r="AG265" s="171"/>
      <c r="AH265" s="173"/>
      <c r="AI265" s="131"/>
      <c r="AJ265" s="55"/>
      <c r="AK265" s="55"/>
      <c r="AL265" s="55" t="s">
        <v>312</v>
      </c>
    </row>
    <row r="266" spans="1:38" ht="31.95" customHeight="1" x14ac:dyDescent="0.3">
      <c r="A266" s="167">
        <v>44063</v>
      </c>
      <c r="B266" s="197">
        <v>0.75895833333333329</v>
      </c>
      <c r="C266" s="48"/>
      <c r="D266" s="48"/>
      <c r="E266" s="48">
        <f>IF(I266=Categories!$E$4,VLOOKUP(H266,Categories!$A$4:$C$13,3,1),VLOOKUP(I266,Categories!$E$4:$G$24,3,1))</f>
        <v>45</v>
      </c>
      <c r="F266" s="48"/>
      <c r="G266" s="43">
        <v>30</v>
      </c>
      <c r="H266" s="49" t="s">
        <v>224</v>
      </c>
      <c r="I266" s="50" t="s">
        <v>2</v>
      </c>
      <c r="J266" s="51"/>
      <c r="K266" s="121">
        <v>2800</v>
      </c>
      <c r="L266" s="52" t="s">
        <v>0</v>
      </c>
      <c r="M266" s="53" t="str">
        <f>IFERROR(VLOOKUP(VLOOKUP(O266,O266,1,1),Categories!$K$4:$V$17,2+VLOOKUP(L266,L266,1,1)),"-"  )</f>
        <v>-</v>
      </c>
      <c r="N266" s="53" t="str">
        <f>IFERROR(VLOOKUP(VLOOKUP(O266,O266,1,1),Categories!$K$3:$V$17,7+VLOOKUP(L266,L266,1,1)),"-")</f>
        <v>-</v>
      </c>
      <c r="O266" s="54" t="s">
        <v>0</v>
      </c>
      <c r="P266" s="176" t="s">
        <v>0</v>
      </c>
      <c r="Q266" s="180" t="s">
        <v>0</v>
      </c>
      <c r="R266" s="169"/>
      <c r="S266" s="169"/>
      <c r="T266" s="168"/>
      <c r="U266" s="169"/>
      <c r="V266" s="170"/>
      <c r="W266" s="170"/>
      <c r="X266" s="171"/>
      <c r="Y266" s="172"/>
      <c r="Z266" s="172"/>
      <c r="AA266" s="172"/>
      <c r="AB266" s="172"/>
      <c r="AC266" s="172"/>
      <c r="AD266" s="172"/>
      <c r="AE266" s="172"/>
      <c r="AF266" s="172"/>
      <c r="AG266" s="171"/>
      <c r="AH266" s="173"/>
      <c r="AI266" s="131"/>
      <c r="AJ266" s="55"/>
      <c r="AK266" s="55"/>
      <c r="AL266" s="55" t="s">
        <v>311</v>
      </c>
    </row>
    <row r="267" spans="1:38" ht="31.95" customHeight="1" x14ac:dyDescent="0.3">
      <c r="A267" s="167">
        <v>44063</v>
      </c>
      <c r="B267" s="197">
        <v>0.7597222222222223</v>
      </c>
      <c r="C267" s="48"/>
      <c r="D267" s="48"/>
      <c r="E267" s="48">
        <f>IF(I267=Categories!$E$4,VLOOKUP(H267,Categories!$A$4:$C$13,3,1),VLOOKUP(I267,Categories!$E$4:$G$24,3,1))</f>
        <v>60</v>
      </c>
      <c r="F267" s="48"/>
      <c r="G267" s="43">
        <v>30</v>
      </c>
      <c r="H267" s="49" t="s">
        <v>226</v>
      </c>
      <c r="I267" s="50" t="s">
        <v>0</v>
      </c>
      <c r="J267" s="51"/>
      <c r="K267" s="121">
        <v>2800</v>
      </c>
      <c r="L267" s="52" t="s">
        <v>0</v>
      </c>
      <c r="M267" s="53" t="str">
        <f>IFERROR(VLOOKUP(VLOOKUP(O267,O267,1,1),Categories!$K$4:$V$17,2+VLOOKUP(L267,L267,1,1)),"-"  )</f>
        <v>-</v>
      </c>
      <c r="N267" s="53" t="str">
        <f>IFERROR(VLOOKUP(VLOOKUP(O267,O267,1,1),Categories!$K$3:$V$17,7+VLOOKUP(L267,L267,1,1)),"-")</f>
        <v>-</v>
      </c>
      <c r="O267" s="54" t="s">
        <v>0</v>
      </c>
      <c r="P267" s="176" t="s">
        <v>0</v>
      </c>
      <c r="Q267" s="180" t="s">
        <v>0</v>
      </c>
      <c r="R267" s="169"/>
      <c r="S267" s="169"/>
      <c r="T267" s="168"/>
      <c r="U267" s="169"/>
      <c r="V267" s="170">
        <v>4.3</v>
      </c>
      <c r="W267" s="170">
        <v>4</v>
      </c>
      <c r="X267" s="171">
        <v>6.31</v>
      </c>
      <c r="Y267" s="172"/>
      <c r="Z267" s="172"/>
      <c r="AA267" s="172"/>
      <c r="AB267" s="172"/>
      <c r="AC267" s="172"/>
      <c r="AD267" s="172"/>
      <c r="AE267" s="172"/>
      <c r="AF267" s="172"/>
      <c r="AG267" s="171"/>
      <c r="AH267" s="173"/>
      <c r="AI267" s="131"/>
      <c r="AJ267" s="55"/>
      <c r="AK267" s="55"/>
      <c r="AL267" s="55" t="s">
        <v>313</v>
      </c>
    </row>
    <row r="268" spans="1:38" ht="31.95" customHeight="1" x14ac:dyDescent="0.3">
      <c r="A268" s="167">
        <v>44063</v>
      </c>
      <c r="B268" s="197">
        <v>0.7613657407407407</v>
      </c>
      <c r="C268" s="48"/>
      <c r="D268" s="48"/>
      <c r="E268" s="48">
        <f>IF(I268=Categories!$E$4,VLOOKUP(H268,Categories!$A$4:$C$13,3,1),VLOOKUP(I268,Categories!$E$4:$G$24,3,1))</f>
        <v>45</v>
      </c>
      <c r="F268" s="48"/>
      <c r="G268" s="43">
        <v>30</v>
      </c>
      <c r="H268" s="49" t="s">
        <v>224</v>
      </c>
      <c r="I268" s="50" t="s">
        <v>2</v>
      </c>
      <c r="J268" s="51"/>
      <c r="K268" s="121">
        <v>2500</v>
      </c>
      <c r="L268" s="52" t="s">
        <v>0</v>
      </c>
      <c r="M268" s="53" t="str">
        <f>IFERROR(VLOOKUP(VLOOKUP(O268,O268,1,1),Categories!$K$4:$V$17,2+VLOOKUP(L268,L268,1,1)),"-"  )</f>
        <v>-</v>
      </c>
      <c r="N268" s="53" t="str">
        <f>IFERROR(VLOOKUP(VLOOKUP(O268,O268,1,1),Categories!$K$3:$V$17,7+VLOOKUP(L268,L268,1,1)),"-")</f>
        <v>-</v>
      </c>
      <c r="O268" s="54" t="s">
        <v>0</v>
      </c>
      <c r="P268" s="176" t="s">
        <v>0</v>
      </c>
      <c r="Q268" s="180" t="s">
        <v>0</v>
      </c>
      <c r="R268" s="169"/>
      <c r="S268" s="169"/>
      <c r="T268" s="168"/>
      <c r="U268" s="169"/>
      <c r="V268" s="170"/>
      <c r="W268" s="170"/>
      <c r="X268" s="171"/>
      <c r="Y268" s="172"/>
      <c r="Z268" s="172"/>
      <c r="AA268" s="172"/>
      <c r="AB268" s="172"/>
      <c r="AC268" s="172"/>
      <c r="AD268" s="172"/>
      <c r="AE268" s="172"/>
      <c r="AF268" s="172"/>
      <c r="AG268" s="171"/>
      <c r="AH268" s="173"/>
      <c r="AI268" s="131"/>
      <c r="AJ268" s="55"/>
      <c r="AK268" s="55"/>
      <c r="AL268" s="55" t="s">
        <v>314</v>
      </c>
    </row>
    <row r="269" spans="1:38" ht="31.95" customHeight="1" x14ac:dyDescent="0.3">
      <c r="A269" s="167">
        <v>44063</v>
      </c>
      <c r="B269" s="197">
        <v>0.76196759259259261</v>
      </c>
      <c r="C269" s="48"/>
      <c r="D269" s="48"/>
      <c r="E269" s="48">
        <f>IF(I269=Categories!$E$4,VLOOKUP(H269,Categories!$A$4:$C$13,3,1),VLOOKUP(I269,Categories!$E$4:$G$24,3,1))</f>
        <v>120</v>
      </c>
      <c r="F269" s="48"/>
      <c r="G269" s="43">
        <v>30</v>
      </c>
      <c r="H269" s="49" t="s">
        <v>228</v>
      </c>
      <c r="I269" s="50" t="s">
        <v>0</v>
      </c>
      <c r="J269" s="51"/>
      <c r="K269" s="121">
        <v>2500</v>
      </c>
      <c r="L269" s="52" t="s">
        <v>0</v>
      </c>
      <c r="M269" s="53" t="str">
        <f>IFERROR(VLOOKUP(VLOOKUP(O269,O269,1,1),Categories!$K$4:$V$17,2+VLOOKUP(L269,L269,1,1)),"-"  )</f>
        <v>-</v>
      </c>
      <c r="N269" s="53" t="str">
        <f>IFERROR(VLOOKUP(VLOOKUP(O269,O269,1,1),Categories!$K$3:$V$17,7+VLOOKUP(L269,L269,1,1)),"-")</f>
        <v>-</v>
      </c>
      <c r="O269" s="54" t="s">
        <v>0</v>
      </c>
      <c r="P269" s="176" t="s">
        <v>0</v>
      </c>
      <c r="Q269" s="180" t="s">
        <v>0</v>
      </c>
      <c r="R269" s="169"/>
      <c r="S269" s="169"/>
      <c r="T269" s="168"/>
      <c r="U269" s="169"/>
      <c r="V269" s="170">
        <v>3.9</v>
      </c>
      <c r="W269" s="170">
        <v>2.9</v>
      </c>
      <c r="X269" s="171">
        <v>5.59</v>
      </c>
      <c r="Y269" s="172"/>
      <c r="Z269" s="172"/>
      <c r="AA269" s="172"/>
      <c r="AB269" s="172"/>
      <c r="AC269" s="172"/>
      <c r="AD269" s="172"/>
      <c r="AE269" s="172"/>
      <c r="AF269" s="172"/>
      <c r="AG269" s="171"/>
      <c r="AH269" s="173"/>
      <c r="AI269" s="131"/>
      <c r="AJ269" s="55"/>
      <c r="AK269" s="55"/>
      <c r="AL269" s="55" t="s">
        <v>310</v>
      </c>
    </row>
    <row r="270" spans="1:38" ht="31.95" customHeight="1" x14ac:dyDescent="0.3">
      <c r="A270" s="167">
        <v>44063</v>
      </c>
      <c r="B270" s="197">
        <v>0.76342592592592595</v>
      </c>
      <c r="C270" s="48"/>
      <c r="D270" s="48"/>
      <c r="E270" s="48">
        <f>IF(I270=Categories!$E$4,VLOOKUP(H270,Categories!$A$4:$C$13,3,1),VLOOKUP(I270,Categories!$E$4:$G$24,3,1))</f>
        <v>45</v>
      </c>
      <c r="F270" s="48"/>
      <c r="G270" s="43">
        <v>30</v>
      </c>
      <c r="H270" s="49" t="s">
        <v>224</v>
      </c>
      <c r="I270" s="50" t="s">
        <v>2</v>
      </c>
      <c r="J270" s="51"/>
      <c r="K270" s="121">
        <v>2200</v>
      </c>
      <c r="L270" s="52" t="s">
        <v>0</v>
      </c>
      <c r="M270" s="53" t="str">
        <f>IFERROR(VLOOKUP(VLOOKUP(O270,O270,1,1),Categories!$K$4:$V$17,2+VLOOKUP(L270,L270,1,1)),"-"  )</f>
        <v>-</v>
      </c>
      <c r="N270" s="53" t="str">
        <f>IFERROR(VLOOKUP(VLOOKUP(O270,O270,1,1),Categories!$K$3:$V$17,7+VLOOKUP(L270,L270,1,1)),"-")</f>
        <v>-</v>
      </c>
      <c r="O270" s="54" t="s">
        <v>0</v>
      </c>
      <c r="P270" s="176" t="s">
        <v>0</v>
      </c>
      <c r="Q270" s="180" t="s">
        <v>0</v>
      </c>
      <c r="R270" s="169"/>
      <c r="S270" s="169"/>
      <c r="T270" s="168"/>
      <c r="U270" s="169"/>
      <c r="V270" s="170"/>
      <c r="W270" s="170"/>
      <c r="X270" s="171"/>
      <c r="Y270" s="172"/>
      <c r="Z270" s="172"/>
      <c r="AA270" s="172"/>
      <c r="AB270" s="172"/>
      <c r="AC270" s="172"/>
      <c r="AD270" s="172"/>
      <c r="AE270" s="172"/>
      <c r="AF270" s="172"/>
      <c r="AG270" s="171"/>
      <c r="AH270" s="173"/>
      <c r="AI270" s="131"/>
      <c r="AJ270" s="55"/>
      <c r="AK270" s="55"/>
      <c r="AL270" s="55" t="s">
        <v>310</v>
      </c>
    </row>
    <row r="271" spans="1:38" ht="31.95" customHeight="1" x14ac:dyDescent="0.3">
      <c r="A271" s="167">
        <v>44063</v>
      </c>
      <c r="B271" s="197">
        <v>0.7640162037037036</v>
      </c>
      <c r="C271" s="48"/>
      <c r="D271" s="48"/>
      <c r="E271" s="48">
        <f>IF(I271=Categories!$E$4,VLOOKUP(H271,Categories!$A$4:$C$13,3,1),VLOOKUP(I271,Categories!$E$4:$G$24,3,1))</f>
        <v>120</v>
      </c>
      <c r="F271" s="48"/>
      <c r="G271" s="43">
        <v>30</v>
      </c>
      <c r="H271" s="49" t="s">
        <v>228</v>
      </c>
      <c r="I271" s="50" t="s">
        <v>0</v>
      </c>
      <c r="J271" s="51"/>
      <c r="K271" s="121">
        <v>2200</v>
      </c>
      <c r="L271" s="52" t="s">
        <v>0</v>
      </c>
      <c r="M271" s="53" t="str">
        <f>IFERROR(VLOOKUP(VLOOKUP(O271,O271,1,1),Categories!$K$4:$V$17,2+VLOOKUP(L271,L271,1,1)),"-"  )</f>
        <v>-</v>
      </c>
      <c r="N271" s="53" t="str">
        <f>IFERROR(VLOOKUP(VLOOKUP(O271,O271,1,1),Categories!$K$3:$V$17,7+VLOOKUP(L271,L271,1,1)),"-")</f>
        <v>-</v>
      </c>
      <c r="O271" s="54" t="s">
        <v>0</v>
      </c>
      <c r="P271" s="176" t="s">
        <v>0</v>
      </c>
      <c r="Q271" s="180" t="s">
        <v>0</v>
      </c>
      <c r="R271" s="169"/>
      <c r="S271" s="169"/>
      <c r="T271" s="168"/>
      <c r="U271" s="169"/>
      <c r="V271" s="170">
        <v>3.2</v>
      </c>
      <c r="W271" s="170">
        <v>2.1</v>
      </c>
      <c r="X271" s="171">
        <v>4.8600000000000003</v>
      </c>
      <c r="Y271" s="172"/>
      <c r="Z271" s="172"/>
      <c r="AA271" s="172"/>
      <c r="AB271" s="172"/>
      <c r="AC271" s="172"/>
      <c r="AD271" s="172"/>
      <c r="AE271" s="172"/>
      <c r="AF271" s="172"/>
      <c r="AG271" s="171"/>
      <c r="AH271" s="173"/>
      <c r="AI271" s="131"/>
      <c r="AJ271" s="55"/>
      <c r="AK271" s="55"/>
      <c r="AL271" s="55" t="s">
        <v>310</v>
      </c>
    </row>
    <row r="272" spans="1:38" ht="31.95" customHeight="1" x14ac:dyDescent="0.3">
      <c r="A272" s="167">
        <v>44063</v>
      </c>
      <c r="B272" s="197">
        <v>0.76552083333333332</v>
      </c>
      <c r="C272" s="48"/>
      <c r="D272" s="48"/>
      <c r="E272" s="48">
        <v>30</v>
      </c>
      <c r="F272" s="48"/>
      <c r="G272" s="43">
        <v>31</v>
      </c>
      <c r="H272" s="49" t="s">
        <v>224</v>
      </c>
      <c r="I272" s="50" t="s">
        <v>2</v>
      </c>
      <c r="J272" s="51"/>
      <c r="K272" s="121">
        <v>2100</v>
      </c>
      <c r="L272" s="52" t="s">
        <v>0</v>
      </c>
      <c r="M272" s="53" t="str">
        <f>IFERROR(VLOOKUP(VLOOKUP(O272,O272,1,1),Categories!$K$4:$V$17,2+VLOOKUP(L272,L272,1,1)),"-"  )</f>
        <v>-</v>
      </c>
      <c r="N272" s="53" t="str">
        <f>IFERROR(VLOOKUP(VLOOKUP(O272,O272,1,1),Categories!$K$3:$V$17,7+VLOOKUP(L272,L272,1,1)),"-")</f>
        <v>-</v>
      </c>
      <c r="O272" s="54" t="s">
        <v>0</v>
      </c>
      <c r="P272" s="176" t="s">
        <v>0</v>
      </c>
      <c r="Q272" s="180" t="s">
        <v>0</v>
      </c>
      <c r="R272" s="169"/>
      <c r="S272" s="169"/>
      <c r="T272" s="168"/>
      <c r="U272" s="169"/>
      <c r="V272" s="170"/>
      <c r="W272" s="170"/>
      <c r="X272" s="171"/>
      <c r="Y272" s="172"/>
      <c r="Z272" s="172"/>
      <c r="AA272" s="172"/>
      <c r="AB272" s="172"/>
      <c r="AC272" s="172"/>
      <c r="AD272" s="172"/>
      <c r="AE272" s="172"/>
      <c r="AF272" s="172"/>
      <c r="AG272" s="171"/>
      <c r="AH272" s="173"/>
      <c r="AI272" s="131"/>
      <c r="AJ272" s="55"/>
      <c r="AK272" s="55"/>
      <c r="AL272" s="55" t="s">
        <v>232</v>
      </c>
    </row>
    <row r="273" spans="1:38" ht="31.95" customHeight="1" x14ac:dyDescent="0.3">
      <c r="A273" s="167">
        <v>44063</v>
      </c>
      <c r="B273" s="197">
        <v>0.76593750000000005</v>
      </c>
      <c r="C273" s="48"/>
      <c r="D273" s="48"/>
      <c r="E273" s="48">
        <v>45</v>
      </c>
      <c r="F273" s="48"/>
      <c r="G273" s="43">
        <v>31</v>
      </c>
      <c r="H273" s="49" t="s">
        <v>44</v>
      </c>
      <c r="I273" s="50" t="s">
        <v>0</v>
      </c>
      <c r="J273" s="51"/>
      <c r="K273" s="121">
        <v>2100</v>
      </c>
      <c r="L273" s="52" t="s">
        <v>0</v>
      </c>
      <c r="M273" s="53" t="str">
        <f>IFERROR(VLOOKUP(VLOOKUP(O273,O273,1,1),Categories!$K$4:$V$17,2+VLOOKUP(L273,L273,1,1)),"-"  )</f>
        <v>-</v>
      </c>
      <c r="N273" s="53" t="str">
        <f>IFERROR(VLOOKUP(VLOOKUP(O273,O273,1,1),Categories!$K$3:$V$17,7+VLOOKUP(L273,L273,1,1)),"-")</f>
        <v>-</v>
      </c>
      <c r="O273" s="54" t="s">
        <v>0</v>
      </c>
      <c r="P273" s="176" t="s">
        <v>0</v>
      </c>
      <c r="Q273" s="180" t="s">
        <v>0</v>
      </c>
      <c r="R273" s="169"/>
      <c r="S273" s="169"/>
      <c r="T273" s="168"/>
      <c r="U273" s="169"/>
      <c r="V273" s="170">
        <v>3</v>
      </c>
      <c r="W273" s="170">
        <v>1.8</v>
      </c>
      <c r="X273" s="171">
        <v>4.6100000000000003</v>
      </c>
      <c r="Y273" s="172"/>
      <c r="Z273" s="172"/>
      <c r="AA273" s="172"/>
      <c r="AB273" s="172"/>
      <c r="AC273" s="172"/>
      <c r="AD273" s="172"/>
      <c r="AE273" s="172"/>
      <c r="AF273" s="172"/>
      <c r="AG273" s="171"/>
      <c r="AH273" s="173"/>
      <c r="AI273" s="131"/>
      <c r="AJ273" s="55"/>
      <c r="AK273" s="55"/>
      <c r="AL273" s="55" t="s">
        <v>233</v>
      </c>
    </row>
    <row r="274" spans="1:38" ht="31.95" customHeight="1" x14ac:dyDescent="0.3">
      <c r="A274" s="167">
        <v>44063</v>
      </c>
      <c r="B274" s="197">
        <v>0.76650462962962962</v>
      </c>
      <c r="C274" s="48"/>
      <c r="D274" s="48"/>
      <c r="E274" s="48">
        <v>30</v>
      </c>
      <c r="F274" s="48"/>
      <c r="G274" s="43">
        <v>31</v>
      </c>
      <c r="H274" s="49" t="s">
        <v>224</v>
      </c>
      <c r="I274" s="50" t="s">
        <v>2</v>
      </c>
      <c r="J274" s="51"/>
      <c r="K274" s="121">
        <v>2300</v>
      </c>
      <c r="L274" s="52" t="s">
        <v>0</v>
      </c>
      <c r="M274" s="53" t="str">
        <f>IFERROR(VLOOKUP(VLOOKUP(O274,O274,1,1),Categories!$K$4:$V$17,2+VLOOKUP(L274,L274,1,1)),"-"  )</f>
        <v>-</v>
      </c>
      <c r="N274" s="53" t="str">
        <f>IFERROR(VLOOKUP(VLOOKUP(O274,O274,1,1),Categories!$K$3:$V$17,7+VLOOKUP(L274,L274,1,1)),"-")</f>
        <v>-</v>
      </c>
      <c r="O274" s="54" t="s">
        <v>0</v>
      </c>
      <c r="P274" s="176" t="s">
        <v>0</v>
      </c>
      <c r="Q274" s="180" t="s">
        <v>0</v>
      </c>
      <c r="R274" s="169"/>
      <c r="S274" s="169"/>
      <c r="T274" s="168"/>
      <c r="U274" s="169"/>
      <c r="V274" s="170"/>
      <c r="W274" s="170"/>
      <c r="X274" s="171"/>
      <c r="Y274" s="172"/>
      <c r="Z274" s="172"/>
      <c r="AA274" s="172"/>
      <c r="AB274" s="172"/>
      <c r="AC274" s="172"/>
      <c r="AD274" s="172"/>
      <c r="AE274" s="172"/>
      <c r="AF274" s="172"/>
      <c r="AG274" s="171"/>
      <c r="AH274" s="173"/>
      <c r="AI274" s="131"/>
      <c r="AJ274" s="55"/>
      <c r="AK274" s="55"/>
      <c r="AL274" s="55" t="s">
        <v>233</v>
      </c>
    </row>
    <row r="275" spans="1:38" ht="31.95" customHeight="1" x14ac:dyDescent="0.3">
      <c r="A275" s="167">
        <v>44063</v>
      </c>
      <c r="B275" s="197">
        <v>0.76689814814814816</v>
      </c>
      <c r="C275" s="48"/>
      <c r="D275" s="48"/>
      <c r="E275" s="48">
        <v>45</v>
      </c>
      <c r="F275" s="48"/>
      <c r="G275" s="43">
        <v>31</v>
      </c>
      <c r="H275" s="49" t="s">
        <v>44</v>
      </c>
      <c r="I275" s="50" t="s">
        <v>0</v>
      </c>
      <c r="J275" s="51"/>
      <c r="K275" s="121">
        <v>2300</v>
      </c>
      <c r="L275" s="52" t="s">
        <v>0</v>
      </c>
      <c r="M275" s="53" t="str">
        <f>IFERROR(VLOOKUP(VLOOKUP(O275,O275,1,1),Categories!$K$4:$V$17,2+VLOOKUP(L275,L275,1,1)),"-"  )</f>
        <v>-</v>
      </c>
      <c r="N275" s="53" t="str">
        <f>IFERROR(VLOOKUP(VLOOKUP(O275,O275,1,1),Categories!$K$3:$V$17,7+VLOOKUP(L275,L275,1,1)),"-")</f>
        <v>-</v>
      </c>
      <c r="O275" s="54" t="s">
        <v>0</v>
      </c>
      <c r="P275" s="176" t="s">
        <v>0</v>
      </c>
      <c r="Q275" s="180" t="s">
        <v>0</v>
      </c>
      <c r="R275" s="169"/>
      <c r="S275" s="169"/>
      <c r="T275" s="168"/>
      <c r="U275" s="169"/>
      <c r="V275" s="170">
        <v>3.4</v>
      </c>
      <c r="W275" s="170">
        <v>2.2999999999999998</v>
      </c>
      <c r="X275" s="171">
        <v>5.0999999999999996</v>
      </c>
      <c r="Y275" s="172"/>
      <c r="Z275" s="172"/>
      <c r="AA275" s="172"/>
      <c r="AB275" s="172"/>
      <c r="AC275" s="172"/>
      <c r="AD275" s="172"/>
      <c r="AE275" s="172"/>
      <c r="AF275" s="172"/>
      <c r="AG275" s="171"/>
      <c r="AH275" s="173"/>
      <c r="AI275" s="131"/>
      <c r="AJ275" s="55"/>
      <c r="AK275" s="55"/>
      <c r="AL275" s="55" t="s">
        <v>233</v>
      </c>
    </row>
    <row r="276" spans="1:38" ht="31.95" customHeight="1" x14ac:dyDescent="0.3">
      <c r="A276" s="167">
        <v>44063</v>
      </c>
      <c r="B276" s="197">
        <v>0.7674305555555555</v>
      </c>
      <c r="C276" s="48"/>
      <c r="D276" s="48"/>
      <c r="E276" s="48">
        <v>30</v>
      </c>
      <c r="F276" s="48"/>
      <c r="G276" s="43">
        <v>31</v>
      </c>
      <c r="H276" s="49" t="s">
        <v>224</v>
      </c>
      <c r="I276" s="50" t="s">
        <v>2</v>
      </c>
      <c r="J276" s="51"/>
      <c r="K276" s="121">
        <v>2400</v>
      </c>
      <c r="L276" s="52" t="s">
        <v>0</v>
      </c>
      <c r="M276" s="53" t="str">
        <f>IFERROR(VLOOKUP(VLOOKUP(O276,O276,1,1),Categories!$K$4:$V$17,2+VLOOKUP(L276,L276,1,1)),"-"  )</f>
        <v>-</v>
      </c>
      <c r="N276" s="53" t="str">
        <f>IFERROR(VLOOKUP(VLOOKUP(O276,O276,1,1),Categories!$K$3:$V$17,7+VLOOKUP(L276,L276,1,1)),"-")</f>
        <v>-</v>
      </c>
      <c r="O276" s="54" t="s">
        <v>0</v>
      </c>
      <c r="P276" s="176" t="s">
        <v>0</v>
      </c>
      <c r="Q276" s="180" t="s">
        <v>0</v>
      </c>
      <c r="R276" s="169"/>
      <c r="S276" s="169"/>
      <c r="T276" s="168"/>
      <c r="U276" s="169"/>
      <c r="V276" s="170"/>
      <c r="W276" s="170"/>
      <c r="X276" s="171"/>
      <c r="Y276" s="172"/>
      <c r="Z276" s="172"/>
      <c r="AA276" s="172"/>
      <c r="AB276" s="172"/>
      <c r="AC276" s="172"/>
      <c r="AD276" s="172"/>
      <c r="AE276" s="172"/>
      <c r="AF276" s="172"/>
      <c r="AG276" s="171"/>
      <c r="AH276" s="173"/>
      <c r="AI276" s="131"/>
      <c r="AJ276" s="55"/>
      <c r="AK276" s="55"/>
      <c r="AL276" s="55" t="s">
        <v>233</v>
      </c>
    </row>
    <row r="277" spans="1:38" ht="31.95" customHeight="1" x14ac:dyDescent="0.3">
      <c r="A277" s="167">
        <v>44063</v>
      </c>
      <c r="B277" s="197">
        <v>0.76788194444444446</v>
      </c>
      <c r="C277" s="48"/>
      <c r="D277" s="48"/>
      <c r="E277" s="48">
        <v>45</v>
      </c>
      <c r="F277" s="48"/>
      <c r="G277" s="43">
        <v>31</v>
      </c>
      <c r="H277" s="49" t="s">
        <v>44</v>
      </c>
      <c r="I277" s="50" t="s">
        <v>0</v>
      </c>
      <c r="J277" s="51"/>
      <c r="K277" s="121">
        <v>2400</v>
      </c>
      <c r="L277" s="52" t="s">
        <v>0</v>
      </c>
      <c r="M277" s="53" t="str">
        <f>IFERROR(VLOOKUP(VLOOKUP(O277,O277,1,1),Categories!$K$4:$V$17,2+VLOOKUP(L277,L277,1,1)),"-"  )</f>
        <v>-</v>
      </c>
      <c r="N277" s="53" t="str">
        <f>IFERROR(VLOOKUP(VLOOKUP(O277,O277,1,1),Categories!$K$3:$V$17,7+VLOOKUP(L277,L277,1,1)),"-")</f>
        <v>-</v>
      </c>
      <c r="O277" s="54" t="s">
        <v>0</v>
      </c>
      <c r="P277" s="176" t="s">
        <v>0</v>
      </c>
      <c r="Q277" s="180" t="s">
        <v>0</v>
      </c>
      <c r="R277" s="169"/>
      <c r="S277" s="169"/>
      <c r="T277" s="168"/>
      <c r="U277" s="169"/>
      <c r="V277" s="170">
        <v>3.6</v>
      </c>
      <c r="W277" s="170">
        <v>2.6</v>
      </c>
      <c r="X277" s="171">
        <v>5.35</v>
      </c>
      <c r="Y277" s="172"/>
      <c r="Z277" s="172"/>
      <c r="AA277" s="172"/>
      <c r="AB277" s="172"/>
      <c r="AC277" s="172"/>
      <c r="AD277" s="172"/>
      <c r="AE277" s="172"/>
      <c r="AF277" s="172"/>
      <c r="AG277" s="171"/>
      <c r="AH277" s="173"/>
      <c r="AI277" s="131"/>
      <c r="AJ277" s="55"/>
      <c r="AK277" s="55"/>
      <c r="AL277" s="55" t="s">
        <v>233</v>
      </c>
    </row>
    <row r="278" spans="1:38" ht="31.95" customHeight="1" x14ac:dyDescent="0.3">
      <c r="A278" s="167">
        <v>44063</v>
      </c>
      <c r="B278" s="197">
        <v>0.76857638888888891</v>
      </c>
      <c r="C278" s="48"/>
      <c r="D278" s="48"/>
      <c r="E278" s="48">
        <v>30</v>
      </c>
      <c r="F278" s="48"/>
      <c r="G278" s="43">
        <v>31</v>
      </c>
      <c r="H278" s="49" t="s">
        <v>224</v>
      </c>
      <c r="I278" s="50" t="s">
        <v>2</v>
      </c>
      <c r="J278" s="51"/>
      <c r="K278" s="121">
        <v>2600</v>
      </c>
      <c r="L278" s="52" t="s">
        <v>0</v>
      </c>
      <c r="M278" s="53" t="str">
        <f>IFERROR(VLOOKUP(VLOOKUP(O278,O278,1,1),Categories!$K$4:$V$17,2+VLOOKUP(L278,L278,1,1)),"-"  )</f>
        <v>-</v>
      </c>
      <c r="N278" s="53" t="str">
        <f>IFERROR(VLOOKUP(VLOOKUP(O278,O278,1,1),Categories!$K$3:$V$17,7+VLOOKUP(L278,L278,1,1)),"-")</f>
        <v>-</v>
      </c>
      <c r="O278" s="54" t="s">
        <v>0</v>
      </c>
      <c r="P278" s="176" t="s">
        <v>0</v>
      </c>
      <c r="Q278" s="180" t="s">
        <v>0</v>
      </c>
      <c r="R278" s="169"/>
      <c r="S278" s="169"/>
      <c r="T278" s="168"/>
      <c r="U278" s="169"/>
      <c r="V278" s="170"/>
      <c r="W278" s="170"/>
      <c r="X278" s="171"/>
      <c r="Y278" s="172"/>
      <c r="Z278" s="172"/>
      <c r="AA278" s="172"/>
      <c r="AB278" s="172"/>
      <c r="AC278" s="172"/>
      <c r="AD278" s="172"/>
      <c r="AE278" s="172"/>
      <c r="AF278" s="172"/>
      <c r="AG278" s="171"/>
      <c r="AH278" s="173"/>
      <c r="AI278" s="131"/>
      <c r="AJ278" s="55"/>
      <c r="AK278" s="55"/>
      <c r="AL278" s="55" t="s">
        <v>233</v>
      </c>
    </row>
    <row r="279" spans="1:38" ht="31.95" customHeight="1" x14ac:dyDescent="0.3">
      <c r="A279" s="167">
        <v>44063</v>
      </c>
      <c r="B279" s="197">
        <v>0.76905092592592583</v>
      </c>
      <c r="C279" s="48"/>
      <c r="D279" s="48"/>
      <c r="E279" s="48">
        <v>45</v>
      </c>
      <c r="F279" s="48"/>
      <c r="G279" s="43">
        <v>31</v>
      </c>
      <c r="H279" s="49" t="s">
        <v>44</v>
      </c>
      <c r="I279" s="50" t="s">
        <v>0</v>
      </c>
      <c r="J279" s="51"/>
      <c r="K279" s="121">
        <v>2600</v>
      </c>
      <c r="L279" s="52" t="s">
        <v>0</v>
      </c>
      <c r="M279" s="53" t="str">
        <f>IFERROR(VLOOKUP(VLOOKUP(O279,O279,1,1),Categories!$K$4:$V$17,2+VLOOKUP(L279,L279,1,1)),"-"  )</f>
        <v>-</v>
      </c>
      <c r="N279" s="53" t="str">
        <f>IFERROR(VLOOKUP(VLOOKUP(O279,O279,1,1),Categories!$K$3:$V$17,7+VLOOKUP(L279,L279,1,1)),"-")</f>
        <v>-</v>
      </c>
      <c r="O279" s="54" t="s">
        <v>0</v>
      </c>
      <c r="P279" s="176" t="s">
        <v>0</v>
      </c>
      <c r="Q279" s="180" t="s">
        <v>0</v>
      </c>
      <c r="R279" s="169"/>
      <c r="S279" s="169"/>
      <c r="T279" s="168"/>
      <c r="U279" s="169"/>
      <c r="V279" s="170">
        <v>4</v>
      </c>
      <c r="W279" s="170">
        <v>3.3</v>
      </c>
      <c r="X279" s="171">
        <v>5.83</v>
      </c>
      <c r="Y279" s="172"/>
      <c r="Z279" s="172"/>
      <c r="AA279" s="172"/>
      <c r="AB279" s="172"/>
      <c r="AC279" s="172"/>
      <c r="AD279" s="172"/>
      <c r="AE279" s="172"/>
      <c r="AF279" s="172"/>
      <c r="AG279" s="171"/>
      <c r="AH279" s="173"/>
      <c r="AI279" s="131"/>
      <c r="AJ279" s="55"/>
      <c r="AK279" s="55"/>
      <c r="AL279" s="55" t="s">
        <v>233</v>
      </c>
    </row>
    <row r="280" spans="1:38" ht="31.95" customHeight="1" x14ac:dyDescent="0.3">
      <c r="A280" s="167">
        <v>44063</v>
      </c>
      <c r="B280" s="197">
        <v>0.76961805555555562</v>
      </c>
      <c r="C280" s="48"/>
      <c r="D280" s="48"/>
      <c r="E280" s="48">
        <v>30</v>
      </c>
      <c r="F280" s="48"/>
      <c r="G280" s="43">
        <v>31</v>
      </c>
      <c r="H280" s="49" t="s">
        <v>224</v>
      </c>
      <c r="I280" s="50" t="s">
        <v>2</v>
      </c>
      <c r="J280" s="51"/>
      <c r="K280" s="121">
        <v>2700</v>
      </c>
      <c r="L280" s="52" t="s">
        <v>0</v>
      </c>
      <c r="M280" s="53" t="str">
        <f>IFERROR(VLOOKUP(VLOOKUP(O280,O280,1,1),Categories!$K$4:$V$17,2+VLOOKUP(L280,L280,1,1)),"-"  )</f>
        <v>-</v>
      </c>
      <c r="N280" s="53" t="str">
        <f>IFERROR(VLOOKUP(VLOOKUP(O280,O280,1,1),Categories!$K$3:$V$17,7+VLOOKUP(L280,L280,1,1)),"-")</f>
        <v>-</v>
      </c>
      <c r="O280" s="54" t="s">
        <v>0</v>
      </c>
      <c r="P280" s="176" t="s">
        <v>0</v>
      </c>
      <c r="Q280" s="180" t="s">
        <v>0</v>
      </c>
      <c r="R280" s="169"/>
      <c r="S280" s="169"/>
      <c r="T280" s="168"/>
      <c r="U280" s="169"/>
      <c r="V280" s="170"/>
      <c r="W280" s="170"/>
      <c r="X280" s="171"/>
      <c r="Y280" s="172"/>
      <c r="Z280" s="172"/>
      <c r="AA280" s="172"/>
      <c r="AB280" s="172"/>
      <c r="AC280" s="172"/>
      <c r="AD280" s="172"/>
      <c r="AE280" s="172"/>
      <c r="AF280" s="172"/>
      <c r="AG280" s="171"/>
      <c r="AH280" s="173"/>
      <c r="AI280" s="131"/>
      <c r="AJ280" s="55"/>
      <c r="AK280" s="55"/>
      <c r="AL280" s="55" t="s">
        <v>233</v>
      </c>
    </row>
    <row r="281" spans="1:38" ht="31.95" customHeight="1" x14ac:dyDescent="0.3">
      <c r="A281" s="167">
        <v>44063</v>
      </c>
      <c r="B281" s="197">
        <v>0.76996527777777779</v>
      </c>
      <c r="C281" s="48"/>
      <c r="D281" s="48"/>
      <c r="E281" s="48">
        <v>45</v>
      </c>
      <c r="F281" s="48"/>
      <c r="G281" s="43">
        <v>31</v>
      </c>
      <c r="H281" s="49" t="s">
        <v>44</v>
      </c>
      <c r="I281" s="50" t="s">
        <v>0</v>
      </c>
      <c r="J281" s="51"/>
      <c r="K281" s="121">
        <v>2700</v>
      </c>
      <c r="L281" s="52" t="s">
        <v>0</v>
      </c>
      <c r="M281" s="53" t="str">
        <f>IFERROR(VLOOKUP(VLOOKUP(O281,O281,1,1),Categories!$K$4:$V$17,2+VLOOKUP(L281,L281,1,1)),"-"  )</f>
        <v>-</v>
      </c>
      <c r="N281" s="53" t="str">
        <f>IFERROR(VLOOKUP(VLOOKUP(O281,O281,1,1),Categories!$K$3:$V$17,7+VLOOKUP(L281,L281,1,1)),"-")</f>
        <v>-</v>
      </c>
      <c r="O281" s="54" t="s">
        <v>0</v>
      </c>
      <c r="P281" s="176" t="s">
        <v>0</v>
      </c>
      <c r="Q281" s="180" t="s">
        <v>0</v>
      </c>
      <c r="R281" s="169"/>
      <c r="S281" s="169"/>
      <c r="T281" s="168"/>
      <c r="U281" s="169"/>
      <c r="V281" s="170">
        <v>4.3</v>
      </c>
      <c r="W281" s="170">
        <v>3.6</v>
      </c>
      <c r="X281" s="171">
        <v>6.07</v>
      </c>
      <c r="Y281" s="172"/>
      <c r="Z281" s="172"/>
      <c r="AA281" s="172"/>
      <c r="AB281" s="172"/>
      <c r="AC281" s="172"/>
      <c r="AD281" s="172"/>
      <c r="AE281" s="172"/>
      <c r="AF281" s="172"/>
      <c r="AG281" s="171"/>
      <c r="AH281" s="173"/>
      <c r="AI281" s="131"/>
      <c r="AJ281" s="55"/>
      <c r="AK281" s="55"/>
      <c r="AL281" s="55" t="s">
        <v>233</v>
      </c>
    </row>
    <row r="282" spans="1:38" ht="31.95" customHeight="1" x14ac:dyDescent="0.3">
      <c r="A282" s="167">
        <v>44063</v>
      </c>
      <c r="B282" s="197">
        <v>0.77052083333333332</v>
      </c>
      <c r="C282" s="48"/>
      <c r="D282" s="48"/>
      <c r="E282" s="48">
        <v>30</v>
      </c>
      <c r="F282" s="48"/>
      <c r="G282" s="43">
        <v>31</v>
      </c>
      <c r="H282" s="49" t="s">
        <v>224</v>
      </c>
      <c r="I282" s="50" t="s">
        <v>2</v>
      </c>
      <c r="J282" s="51"/>
      <c r="K282" s="121">
        <v>2900</v>
      </c>
      <c r="L282" s="52" t="s">
        <v>0</v>
      </c>
      <c r="M282" s="53" t="str">
        <f>IFERROR(VLOOKUP(VLOOKUP(O282,O282,1,1),Categories!$K$4:$V$17,2+VLOOKUP(L282,L282,1,1)),"-"  )</f>
        <v>-</v>
      </c>
      <c r="N282" s="53" t="str">
        <f>IFERROR(VLOOKUP(VLOOKUP(O282,O282,1,1),Categories!$K$3:$V$17,7+VLOOKUP(L282,L282,1,1)),"-")</f>
        <v>-</v>
      </c>
      <c r="O282" s="54" t="s">
        <v>0</v>
      </c>
      <c r="P282" s="176" t="s">
        <v>0</v>
      </c>
      <c r="Q282" s="180" t="s">
        <v>0</v>
      </c>
      <c r="R282" s="169"/>
      <c r="S282" s="169"/>
      <c r="T282" s="168"/>
      <c r="U282" s="169"/>
      <c r="V282" s="170"/>
      <c r="W282" s="170"/>
      <c r="X282" s="171"/>
      <c r="Y282" s="172"/>
      <c r="Z282" s="172"/>
      <c r="AA282" s="172"/>
      <c r="AB282" s="172"/>
      <c r="AC282" s="172"/>
      <c r="AD282" s="172"/>
      <c r="AE282" s="172"/>
      <c r="AF282" s="172"/>
      <c r="AG282" s="171"/>
      <c r="AH282" s="173"/>
      <c r="AI282" s="131"/>
      <c r="AJ282" s="55"/>
      <c r="AK282" s="55"/>
      <c r="AL282" s="55" t="s">
        <v>233</v>
      </c>
    </row>
    <row r="283" spans="1:38" ht="31.95" customHeight="1" x14ac:dyDescent="0.3">
      <c r="A283" s="167">
        <v>44063</v>
      </c>
      <c r="B283" s="197">
        <v>0.77090277777777771</v>
      </c>
      <c r="C283" s="48"/>
      <c r="D283" s="48"/>
      <c r="E283" s="48">
        <v>45</v>
      </c>
      <c r="F283" s="48"/>
      <c r="G283" s="43">
        <v>31</v>
      </c>
      <c r="H283" s="49" t="s">
        <v>44</v>
      </c>
      <c r="I283" s="50" t="s">
        <v>0</v>
      </c>
      <c r="J283" s="51"/>
      <c r="K283" s="121">
        <v>2900</v>
      </c>
      <c r="L283" s="52" t="s">
        <v>0</v>
      </c>
      <c r="M283" s="53" t="str">
        <f>IFERROR(VLOOKUP(VLOOKUP(O283,O283,1,1),Categories!$K$4:$V$17,2+VLOOKUP(L283,L283,1,1)),"-"  )</f>
        <v>-</v>
      </c>
      <c r="N283" s="53" t="str">
        <f>IFERROR(VLOOKUP(VLOOKUP(O283,O283,1,1),Categories!$K$3:$V$17,7+VLOOKUP(L283,L283,1,1)),"-")</f>
        <v>-</v>
      </c>
      <c r="O283" s="54" t="s">
        <v>0</v>
      </c>
      <c r="P283" s="176" t="s">
        <v>0</v>
      </c>
      <c r="Q283" s="180" t="s">
        <v>0</v>
      </c>
      <c r="R283" s="169"/>
      <c r="S283" s="169"/>
      <c r="T283" s="168"/>
      <c r="U283" s="169"/>
      <c r="V283" s="170">
        <v>4.5999999999999996</v>
      </c>
      <c r="W283" s="170">
        <v>4.5</v>
      </c>
      <c r="X283" s="171">
        <v>6.55</v>
      </c>
      <c r="Y283" s="172"/>
      <c r="Z283" s="172"/>
      <c r="AA283" s="172"/>
      <c r="AB283" s="172"/>
      <c r="AC283" s="172"/>
      <c r="AD283" s="172"/>
      <c r="AE283" s="172"/>
      <c r="AF283" s="172"/>
      <c r="AG283" s="171"/>
      <c r="AH283" s="173"/>
      <c r="AI283" s="131"/>
      <c r="AJ283" s="55"/>
      <c r="AK283" s="55"/>
      <c r="AL283" s="55" t="s">
        <v>233</v>
      </c>
    </row>
    <row r="284" spans="1:38" ht="31.95" customHeight="1" x14ac:dyDescent="0.3">
      <c r="A284" s="12">
        <v>44063</v>
      </c>
      <c r="B284" s="198">
        <v>0.77148148148148143</v>
      </c>
      <c r="C284" s="42"/>
      <c r="D284" s="48"/>
      <c r="E284" s="48" t="str">
        <f>IF(I284=Categories!$E$4,VLOOKUP(H284,Categories!$A$4:$C$13,3,1),VLOOKUP(I284,Categories!$E$4:$G$24,3,1))</f>
        <v>-</v>
      </c>
      <c r="F284" s="48"/>
      <c r="G284" s="43" t="s">
        <v>0</v>
      </c>
      <c r="H284" s="21" t="s">
        <v>45</v>
      </c>
      <c r="I284" s="44" t="s">
        <v>0</v>
      </c>
      <c r="J284" s="45"/>
      <c r="K284" s="121" t="s">
        <v>0</v>
      </c>
      <c r="L284" s="52" t="s">
        <v>0</v>
      </c>
      <c r="M284" s="53" t="str">
        <f>IFERROR(VLOOKUP(VLOOKUP(O284,O284,1,1),Categories!$K$4:$V$17,2+VLOOKUP(L284,L284,1,1)),"-"  )</f>
        <v>-</v>
      </c>
      <c r="N284" s="53" t="str">
        <f>IFERROR(VLOOKUP(VLOOKUP(O284,O284,1,1),Categories!$K$3:$V$17,7+VLOOKUP(L284,L284,1,1)),"-")</f>
        <v>-</v>
      </c>
      <c r="O284" s="54" t="s">
        <v>0</v>
      </c>
      <c r="P284" s="177" t="s">
        <v>0</v>
      </c>
      <c r="Q284" s="180" t="s">
        <v>0</v>
      </c>
      <c r="R284" s="132"/>
      <c r="S284" s="132"/>
      <c r="T284" s="139"/>
      <c r="U284" s="169"/>
      <c r="V284" s="46"/>
      <c r="W284" s="46"/>
      <c r="X284" s="133"/>
      <c r="Y284" s="134"/>
      <c r="Z284" s="134"/>
      <c r="AA284" s="134"/>
      <c r="AB284" s="134"/>
      <c r="AC284" s="134"/>
      <c r="AD284" s="134"/>
      <c r="AE284" s="134"/>
      <c r="AF284" s="134"/>
      <c r="AG284" s="133"/>
      <c r="AH284" s="127"/>
      <c r="AI284" s="130" t="s">
        <v>245</v>
      </c>
      <c r="AJ284" s="47" t="s">
        <v>323</v>
      </c>
      <c r="AK284" s="47"/>
      <c r="AL284" s="47"/>
    </row>
  </sheetData>
  <protectedRanges>
    <protectedRange algorithmName="SHA-512" hashValue="4NhdbTyulRXZkBEq7Mn6+VKgOZdKtlfacISEdowO5xIUCa7OlX5LdkGNxnngfJg/0C5iD9A0fDWAkH//tV2WEg==" saltValue="4IZ1hkVaCZH46leZVUmsLQ==" spinCount="100000" sqref="A2:B3" name="Range1"/>
    <protectedRange algorithmName="SHA-512" hashValue="4NhdbTyulRXZkBEq7Mn6+VKgOZdKtlfacISEdowO5xIUCa7OlX5LdkGNxnngfJg/0C5iD9A0fDWAkH//tV2WEg==" saltValue="4IZ1hkVaCZH46leZVUmsLQ==" spinCount="100000" sqref="G2:I3 C2:F3" name="Range1_1"/>
  </protectedRanges>
  <mergeCells count="7">
    <mergeCell ref="AI1:AL1"/>
    <mergeCell ref="J1:Q1"/>
    <mergeCell ref="R1:S1"/>
    <mergeCell ref="AG1:AH1"/>
    <mergeCell ref="V1:W1"/>
    <mergeCell ref="Y1:AF1"/>
    <mergeCell ref="T1:U1"/>
  </mergeCells>
  <conditionalFormatting sqref="G4">
    <cfRule type="expression" dxfId="573" priority="1418">
      <formula>MOD(G4,2)=0</formula>
    </cfRule>
    <cfRule type="expression" dxfId="572" priority="1421">
      <formula>MOD(G4,2)=1</formula>
    </cfRule>
    <cfRule type="containsBlanks" dxfId="571" priority="1423">
      <formula>LEN(TRIM(G4))=0</formula>
    </cfRule>
  </conditionalFormatting>
  <conditionalFormatting sqref="G12:G112 G176 G185:G220 G272:G284">
    <cfRule type="containsBlanks" dxfId="570" priority="1397">
      <formula>LEN(TRIM(G12))=0</formula>
    </cfRule>
    <cfRule type="expression" dxfId="569" priority="1399">
      <formula>MOD(G12,2)=0</formula>
    </cfRule>
    <cfRule type="expression" dxfId="568" priority="1400">
      <formula>MOD(G12,2)=1</formula>
    </cfRule>
  </conditionalFormatting>
  <conditionalFormatting sqref="G81">
    <cfRule type="containsBlanks" dxfId="567" priority="1367">
      <formula>LEN(TRIM(G81))=0</formula>
    </cfRule>
    <cfRule type="expression" dxfId="566" priority="1369">
      <formula>MOD(G81,2)=0</formula>
    </cfRule>
    <cfRule type="expression" dxfId="565" priority="1370">
      <formula>MOD(G81,2)=1</formula>
    </cfRule>
  </conditionalFormatting>
  <conditionalFormatting sqref="G88">
    <cfRule type="containsBlanks" dxfId="564" priority="1357">
      <formula>LEN(TRIM(G88))=0</formula>
    </cfRule>
    <cfRule type="expression" dxfId="563" priority="1359">
      <formula>MOD(G88,2)=0</formula>
    </cfRule>
    <cfRule type="expression" dxfId="562" priority="1360">
      <formula>MOD(G88,2)=1</formula>
    </cfRule>
  </conditionalFormatting>
  <conditionalFormatting sqref="G89:G95">
    <cfRule type="containsBlanks" dxfId="561" priority="1348">
      <formula>LEN(TRIM(G89))=0</formula>
    </cfRule>
    <cfRule type="expression" dxfId="560" priority="1350">
      <formula>MOD(G89,2)=0</formula>
    </cfRule>
    <cfRule type="expression" dxfId="559" priority="1351">
      <formula>MOD(G89,2)=1</formula>
    </cfRule>
  </conditionalFormatting>
  <conditionalFormatting sqref="G96">
    <cfRule type="containsBlanks" dxfId="558" priority="1328">
      <formula>LEN(TRIM(G96))=0</formula>
    </cfRule>
    <cfRule type="expression" dxfId="557" priority="1330">
      <formula>MOD(G96,2)=0</formula>
    </cfRule>
    <cfRule type="expression" dxfId="556" priority="1331">
      <formula>MOD(G96,2)=1</formula>
    </cfRule>
  </conditionalFormatting>
  <conditionalFormatting sqref="G97">
    <cfRule type="containsBlanks" dxfId="555" priority="1323">
      <formula>LEN(TRIM(G97))=0</formula>
    </cfRule>
    <cfRule type="expression" dxfId="554" priority="1325">
      <formula>MOD(G97,2)=0</formula>
    </cfRule>
    <cfRule type="expression" dxfId="553" priority="1326">
      <formula>MOD(G97,2)=1</formula>
    </cfRule>
  </conditionalFormatting>
  <conditionalFormatting sqref="G47:G53">
    <cfRule type="containsBlanks" dxfId="552" priority="1236">
      <formula>LEN(TRIM(G47))=0</formula>
    </cfRule>
    <cfRule type="expression" dxfId="551" priority="1238">
      <formula>MOD(G47,2)=0</formula>
    </cfRule>
    <cfRule type="expression" dxfId="550" priority="1239">
      <formula>MOD(G47,2)=1</formula>
    </cfRule>
  </conditionalFormatting>
  <conditionalFormatting sqref="G5">
    <cfRule type="containsBlanks" dxfId="549" priority="1288">
      <formula>LEN(TRIM(G5))=0</formula>
    </cfRule>
    <cfRule type="expression" dxfId="548" priority="1290">
      <formula>MOD(G5,2)=0</formula>
    </cfRule>
    <cfRule type="expression" dxfId="547" priority="1291">
      <formula>MOD(G5,2)=1</formula>
    </cfRule>
  </conditionalFormatting>
  <conditionalFormatting sqref="G104">
    <cfRule type="containsBlanks" dxfId="546" priority="1263">
      <formula>LEN(TRIM(G104))=0</formula>
    </cfRule>
    <cfRule type="expression" dxfId="545" priority="1265">
      <formula>MOD(G104,2)=0</formula>
    </cfRule>
    <cfRule type="expression" dxfId="544" priority="1266">
      <formula>MOD(G104,2)=1</formula>
    </cfRule>
  </conditionalFormatting>
  <conditionalFormatting sqref="G105">
    <cfRule type="containsBlanks" dxfId="543" priority="1258">
      <formula>LEN(TRIM(G105))=0</formula>
    </cfRule>
    <cfRule type="expression" dxfId="542" priority="1260">
      <formula>MOD(G105,2)=0</formula>
    </cfRule>
    <cfRule type="expression" dxfId="541" priority="1261">
      <formula>MOD(G105,2)=1</formula>
    </cfRule>
  </conditionalFormatting>
  <conditionalFormatting sqref="G46">
    <cfRule type="containsBlanks" dxfId="540" priority="1245">
      <formula>LEN(TRIM(G46))=0</formula>
    </cfRule>
    <cfRule type="expression" dxfId="539" priority="1247">
      <formula>MOD(G46,2)=0</formula>
    </cfRule>
    <cfRule type="expression" dxfId="538" priority="1248">
      <formula>MOD(G46,2)=1</formula>
    </cfRule>
  </conditionalFormatting>
  <conditionalFormatting sqref="G54">
    <cfRule type="containsBlanks" dxfId="537" priority="1229">
      <formula>LEN(TRIM(G54))=0</formula>
    </cfRule>
    <cfRule type="expression" dxfId="536" priority="1231">
      <formula>MOD(G54,2)=0</formula>
    </cfRule>
    <cfRule type="expression" dxfId="535" priority="1232">
      <formula>MOD(G54,2)=1</formula>
    </cfRule>
  </conditionalFormatting>
  <conditionalFormatting sqref="G55">
    <cfRule type="containsBlanks" dxfId="534" priority="1224">
      <formula>LEN(TRIM(G55))=0</formula>
    </cfRule>
    <cfRule type="expression" dxfId="533" priority="1226">
      <formula>MOD(G55,2)=0</formula>
    </cfRule>
    <cfRule type="expression" dxfId="532" priority="1227">
      <formula>MOD(G55,2)=1</formula>
    </cfRule>
  </conditionalFormatting>
  <conditionalFormatting sqref="G62">
    <cfRule type="containsBlanks" dxfId="531" priority="1204">
      <formula>LEN(TRIM(G62))=0</formula>
    </cfRule>
    <cfRule type="expression" dxfId="530" priority="1206">
      <formula>MOD(G62,2)=0</formula>
    </cfRule>
    <cfRule type="expression" dxfId="529" priority="1207">
      <formula>MOD(G62,2)=1</formula>
    </cfRule>
  </conditionalFormatting>
  <conditionalFormatting sqref="G63">
    <cfRule type="containsBlanks" dxfId="528" priority="1199">
      <formula>LEN(TRIM(G63))=0</formula>
    </cfRule>
    <cfRule type="expression" dxfId="527" priority="1201">
      <formula>MOD(G63,2)=0</formula>
    </cfRule>
    <cfRule type="expression" dxfId="526" priority="1202">
      <formula>MOD(G63,2)=1</formula>
    </cfRule>
  </conditionalFormatting>
  <conditionalFormatting sqref="G70">
    <cfRule type="containsBlanks" dxfId="525" priority="1185">
      <formula>LEN(TRIM(G70))=0</formula>
    </cfRule>
    <cfRule type="expression" dxfId="524" priority="1187">
      <formula>MOD(G70,2)=0</formula>
    </cfRule>
    <cfRule type="expression" dxfId="523" priority="1188">
      <formula>MOD(G70,2)=1</formula>
    </cfRule>
  </conditionalFormatting>
  <conditionalFormatting sqref="G71">
    <cfRule type="containsBlanks" dxfId="522" priority="1180">
      <formula>LEN(TRIM(G71))=0</formula>
    </cfRule>
    <cfRule type="expression" dxfId="521" priority="1182">
      <formula>MOD(G71,2)=0</formula>
    </cfRule>
    <cfRule type="expression" dxfId="520" priority="1183">
      <formula>MOD(G71,2)=1</formula>
    </cfRule>
  </conditionalFormatting>
  <conditionalFormatting sqref="G177">
    <cfRule type="containsBlanks" dxfId="519" priority="1128">
      <formula>LEN(TRIM(G177))=0</formula>
    </cfRule>
    <cfRule type="expression" dxfId="518" priority="1130">
      <formula>MOD(G177,2)=0</formula>
    </cfRule>
    <cfRule type="expression" dxfId="517" priority="1131">
      <formula>MOD(G177,2)=1</formula>
    </cfRule>
  </conditionalFormatting>
  <conditionalFormatting sqref="G129">
    <cfRule type="containsBlanks" dxfId="516" priority="841">
      <formula>LEN(TRIM(G129))=0</formula>
    </cfRule>
    <cfRule type="expression" dxfId="515" priority="843">
      <formula>MOD(G129,2)=0</formula>
    </cfRule>
    <cfRule type="expression" dxfId="514" priority="844">
      <formula>MOD(G129,2)=1</formula>
    </cfRule>
  </conditionalFormatting>
  <conditionalFormatting sqref="G141">
    <cfRule type="containsBlanks" dxfId="513" priority="829">
      <formula>LEN(TRIM(G141))=0</formula>
    </cfRule>
    <cfRule type="expression" dxfId="512" priority="831">
      <formula>MOD(G141,2)=0</formula>
    </cfRule>
    <cfRule type="expression" dxfId="511" priority="832">
      <formula>MOD(G141,2)=1</formula>
    </cfRule>
  </conditionalFormatting>
  <conditionalFormatting sqref="G128">
    <cfRule type="containsBlanks" dxfId="510" priority="850">
      <formula>LEN(TRIM(G128))=0</formula>
    </cfRule>
    <cfRule type="expression" dxfId="509" priority="852">
      <formula>MOD(G128,2)=0</formula>
    </cfRule>
    <cfRule type="expression" dxfId="508" priority="853">
      <formula>MOD(G128,2)=1</formula>
    </cfRule>
  </conditionalFormatting>
  <conditionalFormatting sqref="G140">
    <cfRule type="containsBlanks" dxfId="507" priority="834">
      <formula>LEN(TRIM(G140))=0</formula>
    </cfRule>
    <cfRule type="expression" dxfId="506" priority="836">
      <formula>MOD(G140,2)=0</formula>
    </cfRule>
    <cfRule type="expression" dxfId="505" priority="837">
      <formula>MOD(G140,2)=1</formula>
    </cfRule>
  </conditionalFormatting>
  <conditionalFormatting sqref="G152">
    <cfRule type="containsBlanks" dxfId="504" priority="815">
      <formula>LEN(TRIM(G152))=0</formula>
    </cfRule>
    <cfRule type="expression" dxfId="503" priority="817">
      <formula>MOD(G152,2)=0</formula>
    </cfRule>
    <cfRule type="expression" dxfId="502" priority="818">
      <formula>MOD(G152,2)=1</formula>
    </cfRule>
  </conditionalFormatting>
  <conditionalFormatting sqref="G153">
    <cfRule type="containsBlanks" dxfId="501" priority="810">
      <formula>LEN(TRIM(G153))=0</formula>
    </cfRule>
    <cfRule type="expression" dxfId="500" priority="812">
      <formula>MOD(G153,2)=0</formula>
    </cfRule>
    <cfRule type="expression" dxfId="499" priority="813">
      <formula>MOD(G153,2)=1</formula>
    </cfRule>
  </conditionalFormatting>
  <conditionalFormatting sqref="G164">
    <cfRule type="containsBlanks" dxfId="498" priority="796">
      <formula>LEN(TRIM(G164))=0</formula>
    </cfRule>
    <cfRule type="expression" dxfId="497" priority="798">
      <formula>MOD(G164,2)=0</formula>
    </cfRule>
    <cfRule type="expression" dxfId="496" priority="799">
      <formula>MOD(G164,2)=1</formula>
    </cfRule>
  </conditionalFormatting>
  <conditionalFormatting sqref="G165">
    <cfRule type="containsBlanks" dxfId="495" priority="791">
      <formula>LEN(TRIM(G165))=0</formula>
    </cfRule>
    <cfRule type="expression" dxfId="494" priority="793">
      <formula>MOD(G165,2)=0</formula>
    </cfRule>
    <cfRule type="expression" dxfId="493" priority="794">
      <formula>MOD(G165,2)=1</formula>
    </cfRule>
  </conditionalFormatting>
  <conditionalFormatting sqref="G80">
    <cfRule type="containsBlanks" dxfId="492" priority="699">
      <formula>LEN(TRIM(G80))=0</formula>
    </cfRule>
    <cfRule type="expression" dxfId="491" priority="701">
      <formula>MOD(G80,2)=0</formula>
    </cfRule>
    <cfRule type="expression" dxfId="490" priority="702">
      <formula>MOD(G80,2)=1</formula>
    </cfRule>
  </conditionalFormatting>
  <conditionalFormatting sqref="G112">
    <cfRule type="containsBlanks" dxfId="489" priority="693">
      <formula>LEN(TRIM(G112))=0</formula>
    </cfRule>
    <cfRule type="expression" dxfId="488" priority="695">
      <formula>MOD(G112,2)=0</formula>
    </cfRule>
    <cfRule type="expression" dxfId="487" priority="696">
      <formula>MOD(G112,2)=1</formula>
    </cfRule>
  </conditionalFormatting>
  <conditionalFormatting sqref="G82:G87">
    <cfRule type="containsBlanks" dxfId="486" priority="667">
      <formula>LEN(TRIM(G82))=0</formula>
    </cfRule>
    <cfRule type="expression" dxfId="485" priority="669">
      <formula>MOD(G82,2)=0</formula>
    </cfRule>
    <cfRule type="expression" dxfId="484" priority="670">
      <formula>MOD(G82,2)=1</formula>
    </cfRule>
  </conditionalFormatting>
  <conditionalFormatting sqref="G90:G95">
    <cfRule type="containsBlanks" dxfId="483" priority="662">
      <formula>LEN(TRIM(G90))=0</formula>
    </cfRule>
    <cfRule type="expression" dxfId="482" priority="664">
      <formula>MOD(G90,2)=0</formula>
    </cfRule>
    <cfRule type="expression" dxfId="481" priority="665">
      <formula>MOD(G90,2)=1</formula>
    </cfRule>
  </conditionalFormatting>
  <conditionalFormatting sqref="G98:G103">
    <cfRule type="containsBlanks" dxfId="480" priority="658">
      <formula>LEN(TRIM(G98))=0</formula>
    </cfRule>
    <cfRule type="expression" dxfId="479" priority="660">
      <formula>MOD(G98,2)=0</formula>
    </cfRule>
    <cfRule type="expression" dxfId="478" priority="661">
      <formula>MOD(G98,2)=1</formula>
    </cfRule>
  </conditionalFormatting>
  <conditionalFormatting sqref="G106:G112">
    <cfRule type="containsBlanks" dxfId="477" priority="654">
      <formula>LEN(TRIM(G106))=0</formula>
    </cfRule>
    <cfRule type="expression" dxfId="476" priority="656">
      <formula>MOD(G106,2)=0</formula>
    </cfRule>
    <cfRule type="expression" dxfId="475" priority="657">
      <formula>MOD(G106,2)=1</formula>
    </cfRule>
  </conditionalFormatting>
  <conditionalFormatting sqref="G48:G53">
    <cfRule type="containsBlanks" dxfId="474" priority="650">
      <formula>LEN(TRIM(G48))=0</formula>
    </cfRule>
    <cfRule type="expression" dxfId="473" priority="652">
      <formula>MOD(G48,2)=0</formula>
    </cfRule>
    <cfRule type="expression" dxfId="472" priority="653">
      <formula>MOD(G48,2)=1</formula>
    </cfRule>
  </conditionalFormatting>
  <conditionalFormatting sqref="G56:G61">
    <cfRule type="containsBlanks" dxfId="471" priority="646">
      <formula>LEN(TRIM(G56))=0</formula>
    </cfRule>
    <cfRule type="expression" dxfId="470" priority="648">
      <formula>MOD(G56,2)=0</formula>
    </cfRule>
    <cfRule type="expression" dxfId="469" priority="649">
      <formula>MOD(G56,2)=1</formula>
    </cfRule>
  </conditionalFormatting>
  <conditionalFormatting sqref="G64:G69">
    <cfRule type="containsBlanks" dxfId="468" priority="642">
      <formula>LEN(TRIM(G64))=0</formula>
    </cfRule>
    <cfRule type="expression" dxfId="467" priority="644">
      <formula>MOD(G64,2)=0</formula>
    </cfRule>
    <cfRule type="expression" dxfId="466" priority="645">
      <formula>MOD(G64,2)=1</formula>
    </cfRule>
  </conditionalFormatting>
  <conditionalFormatting sqref="G72:G77">
    <cfRule type="containsBlanks" dxfId="465" priority="638">
      <formula>LEN(TRIM(G72))=0</formula>
    </cfRule>
    <cfRule type="expression" dxfId="464" priority="640">
      <formula>MOD(G72,2)=0</formula>
    </cfRule>
    <cfRule type="expression" dxfId="463" priority="641">
      <formula>MOD(G72,2)=1</formula>
    </cfRule>
  </conditionalFormatting>
  <conditionalFormatting sqref="G272">
    <cfRule type="containsBlanks" dxfId="462" priority="634">
      <formula>LEN(TRIM(G272))=0</formula>
    </cfRule>
    <cfRule type="expression" dxfId="461" priority="636">
      <formula>MOD(G272,2)=0</formula>
    </cfRule>
    <cfRule type="expression" dxfId="460" priority="637">
      <formula>MOD(G272,2)=1</formula>
    </cfRule>
  </conditionalFormatting>
  <conditionalFormatting sqref="G12">
    <cfRule type="containsBlanks" dxfId="459" priority="616">
      <formula>LEN(TRIM(G12))=0</formula>
    </cfRule>
    <cfRule type="expression" dxfId="458" priority="618">
      <formula>MOD(G12,2)=0</formula>
    </cfRule>
    <cfRule type="expression" dxfId="457" priority="619">
      <formula>MOD(G12,2)=1</formula>
    </cfRule>
  </conditionalFormatting>
  <conditionalFormatting sqref="G13">
    <cfRule type="containsBlanks" dxfId="456" priority="611">
      <formula>LEN(TRIM(G13))=0</formula>
    </cfRule>
    <cfRule type="expression" dxfId="455" priority="613">
      <formula>MOD(G13,2)=0</formula>
    </cfRule>
    <cfRule type="expression" dxfId="454" priority="614">
      <formula>MOD(G13,2)=1</formula>
    </cfRule>
  </conditionalFormatting>
  <conditionalFormatting sqref="G20">
    <cfRule type="containsBlanks" dxfId="453" priority="604">
      <formula>LEN(TRIM(G20))=0</formula>
    </cfRule>
    <cfRule type="expression" dxfId="452" priority="606">
      <formula>MOD(G20,2)=0</formula>
    </cfRule>
    <cfRule type="expression" dxfId="451" priority="607">
      <formula>MOD(G20,2)=1</formula>
    </cfRule>
  </conditionalFormatting>
  <conditionalFormatting sqref="G21">
    <cfRule type="containsBlanks" dxfId="450" priority="599">
      <formula>LEN(TRIM(G21))=0</formula>
    </cfRule>
    <cfRule type="expression" dxfId="449" priority="601">
      <formula>MOD(G21,2)=0</formula>
    </cfRule>
    <cfRule type="expression" dxfId="448" priority="602">
      <formula>MOD(G21,2)=1</formula>
    </cfRule>
  </conditionalFormatting>
  <conditionalFormatting sqref="G28">
    <cfRule type="containsBlanks" dxfId="447" priority="589">
      <formula>LEN(TRIM(G28))=0</formula>
    </cfRule>
    <cfRule type="expression" dxfId="446" priority="591">
      <formula>MOD(G28,2)=0</formula>
    </cfRule>
    <cfRule type="expression" dxfId="445" priority="592">
      <formula>MOD(G28,2)=1</formula>
    </cfRule>
  </conditionalFormatting>
  <conditionalFormatting sqref="G29:G35">
    <cfRule type="containsBlanks" dxfId="444" priority="584">
      <formula>LEN(TRIM(G29))=0</formula>
    </cfRule>
    <cfRule type="expression" dxfId="443" priority="586">
      <formula>MOD(G29,2)=0</formula>
    </cfRule>
    <cfRule type="expression" dxfId="442" priority="587">
      <formula>MOD(G29,2)=1</formula>
    </cfRule>
  </conditionalFormatting>
  <conditionalFormatting sqref="G36">
    <cfRule type="containsBlanks" dxfId="441" priority="574">
      <formula>LEN(TRIM(G36))=0</formula>
    </cfRule>
    <cfRule type="expression" dxfId="440" priority="576">
      <formula>MOD(G36,2)=0</formula>
    </cfRule>
    <cfRule type="expression" dxfId="439" priority="577">
      <formula>MOD(G36,2)=1</formula>
    </cfRule>
  </conditionalFormatting>
  <conditionalFormatting sqref="G37:G43">
    <cfRule type="containsBlanks" dxfId="438" priority="569">
      <formula>LEN(TRIM(G37))=0</formula>
    </cfRule>
    <cfRule type="expression" dxfId="437" priority="571">
      <formula>MOD(G37,2)=0</formula>
    </cfRule>
    <cfRule type="expression" dxfId="436" priority="572">
      <formula>MOD(G37,2)=1</formula>
    </cfRule>
  </conditionalFormatting>
  <conditionalFormatting sqref="G14:G19">
    <cfRule type="containsBlanks" dxfId="435" priority="547">
      <formula>LEN(TRIM(G14))=0</formula>
    </cfRule>
    <cfRule type="expression" dxfId="434" priority="549">
      <formula>MOD(G14,2)=0</formula>
    </cfRule>
    <cfRule type="expression" dxfId="433" priority="550">
      <formula>MOD(G14,2)=1</formula>
    </cfRule>
  </conditionalFormatting>
  <conditionalFormatting sqref="G22:G27">
    <cfRule type="containsBlanks" dxfId="432" priority="543">
      <formula>LEN(TRIM(G22))=0</formula>
    </cfRule>
    <cfRule type="expression" dxfId="431" priority="545">
      <formula>MOD(G22,2)=0</formula>
    </cfRule>
    <cfRule type="expression" dxfId="430" priority="546">
      <formula>MOD(G22,2)=1</formula>
    </cfRule>
  </conditionalFormatting>
  <conditionalFormatting sqref="G30:G35">
    <cfRule type="containsBlanks" dxfId="429" priority="539">
      <formula>LEN(TRIM(G30))=0</formula>
    </cfRule>
    <cfRule type="expression" dxfId="428" priority="541">
      <formula>MOD(G30,2)=0</formula>
    </cfRule>
    <cfRule type="expression" dxfId="427" priority="542">
      <formula>MOD(G30,2)=1</formula>
    </cfRule>
  </conditionalFormatting>
  <conditionalFormatting sqref="G38:G44">
    <cfRule type="containsBlanks" dxfId="426" priority="535">
      <formula>LEN(TRIM(G38))=0</formula>
    </cfRule>
    <cfRule type="expression" dxfId="425" priority="537">
      <formula>MOD(G38,2)=0</formula>
    </cfRule>
    <cfRule type="expression" dxfId="424" priority="538">
      <formula>MOD(G38,2)=1</formula>
    </cfRule>
  </conditionalFormatting>
  <conditionalFormatting sqref="G6:G11">
    <cfRule type="containsBlanks" dxfId="423" priority="316">
      <formula>LEN(TRIM(G6))=0</formula>
    </cfRule>
    <cfRule type="expression" dxfId="422" priority="318">
      <formula>MOD(G6,2)=0</formula>
    </cfRule>
    <cfRule type="expression" dxfId="421" priority="319">
      <formula>MOD(G6,2)=1</formula>
    </cfRule>
  </conditionalFormatting>
  <conditionalFormatting sqref="G14:G19">
    <cfRule type="containsBlanks" dxfId="420" priority="312">
      <formula>LEN(TRIM(G14))=0</formula>
    </cfRule>
    <cfRule type="expression" dxfId="419" priority="314">
      <formula>MOD(G14,2)=0</formula>
    </cfRule>
    <cfRule type="expression" dxfId="418" priority="315">
      <formula>MOD(G14,2)=1</formula>
    </cfRule>
  </conditionalFormatting>
  <conditionalFormatting sqref="G22:G27">
    <cfRule type="containsBlanks" dxfId="417" priority="308">
      <formula>LEN(TRIM(G22))=0</formula>
    </cfRule>
    <cfRule type="expression" dxfId="416" priority="310">
      <formula>MOD(G22,2)=0</formula>
    </cfRule>
    <cfRule type="expression" dxfId="415" priority="311">
      <formula>MOD(G22,2)=1</formula>
    </cfRule>
  </conditionalFormatting>
  <conditionalFormatting sqref="G56:G61">
    <cfRule type="containsBlanks" dxfId="414" priority="304">
      <formula>LEN(TRIM(G56))=0</formula>
    </cfRule>
    <cfRule type="expression" dxfId="413" priority="306">
      <formula>MOD(G56,2)=0</formula>
    </cfRule>
    <cfRule type="expression" dxfId="412" priority="307">
      <formula>MOD(G56,2)=1</formula>
    </cfRule>
  </conditionalFormatting>
  <conditionalFormatting sqref="G64:G69">
    <cfRule type="containsBlanks" dxfId="411" priority="300">
      <formula>LEN(TRIM(G64))=0</formula>
    </cfRule>
    <cfRule type="expression" dxfId="410" priority="302">
      <formula>MOD(G64,2)=0</formula>
    </cfRule>
    <cfRule type="expression" dxfId="409" priority="303">
      <formula>MOD(G64,2)=1</formula>
    </cfRule>
  </conditionalFormatting>
  <conditionalFormatting sqref="G72:G77">
    <cfRule type="containsBlanks" dxfId="408" priority="296">
      <formula>LEN(TRIM(G72))=0</formula>
    </cfRule>
    <cfRule type="expression" dxfId="407" priority="298">
      <formula>MOD(G72,2)=0</formula>
    </cfRule>
    <cfRule type="expression" dxfId="406" priority="299">
      <formula>MOD(G72,2)=1</formula>
    </cfRule>
  </conditionalFormatting>
  <conditionalFormatting sqref="G82:G87">
    <cfRule type="containsBlanks" dxfId="405" priority="292">
      <formula>LEN(TRIM(G82))=0</formula>
    </cfRule>
    <cfRule type="expression" dxfId="404" priority="294">
      <formula>MOD(G82,2)=0</formula>
    </cfRule>
    <cfRule type="expression" dxfId="403" priority="295">
      <formula>MOD(G82,2)=1</formula>
    </cfRule>
  </conditionalFormatting>
  <conditionalFormatting sqref="G98:G103">
    <cfRule type="containsBlanks" dxfId="402" priority="288">
      <formula>LEN(TRIM(G98))=0</formula>
    </cfRule>
    <cfRule type="expression" dxfId="401" priority="290">
      <formula>MOD(G98,2)=0</formula>
    </cfRule>
    <cfRule type="expression" dxfId="400" priority="291">
      <formula>MOD(G98,2)=1</formula>
    </cfRule>
  </conditionalFormatting>
  <conditionalFormatting sqref="G106:G112">
    <cfRule type="containsBlanks" dxfId="399" priority="284">
      <formula>LEN(TRIM(G106))=0</formula>
    </cfRule>
    <cfRule type="expression" dxfId="398" priority="286">
      <formula>MOD(G106,2)=0</formula>
    </cfRule>
    <cfRule type="expression" dxfId="397" priority="287">
      <formula>MOD(G106,2)=1</formula>
    </cfRule>
  </conditionalFormatting>
  <conditionalFormatting sqref="G273:G283">
    <cfRule type="containsBlanks" dxfId="396" priority="248">
      <formula>LEN(TRIM(G273))=0</formula>
    </cfRule>
    <cfRule type="expression" dxfId="395" priority="250">
      <formula>MOD(G273,2)=0</formula>
    </cfRule>
    <cfRule type="expression" dxfId="394" priority="251">
      <formula>MOD(G273,2)=1</formula>
    </cfRule>
  </conditionalFormatting>
  <conditionalFormatting sqref="G273:G283">
    <cfRule type="containsBlanks" dxfId="393" priority="244">
      <formula>LEN(TRIM(G273))=0</formula>
    </cfRule>
    <cfRule type="expression" dxfId="392" priority="246">
      <formula>MOD(G273,2)=0</formula>
    </cfRule>
    <cfRule type="expression" dxfId="391" priority="247">
      <formula>MOD(G273,2)=1</formula>
    </cfRule>
  </conditionalFormatting>
  <conditionalFormatting sqref="G113">
    <cfRule type="containsBlanks" dxfId="390" priority="223">
      <formula>LEN(TRIM(G113))=0</formula>
    </cfRule>
    <cfRule type="expression" dxfId="389" priority="225">
      <formula>MOD(G113,2)=0</formula>
    </cfRule>
    <cfRule type="expression" dxfId="388" priority="226">
      <formula>MOD(G113,2)=1</formula>
    </cfRule>
  </conditionalFormatting>
  <conditionalFormatting sqref="G114:G119">
    <cfRule type="containsBlanks" dxfId="387" priority="206">
      <formula>LEN(TRIM(G114))=0</formula>
    </cfRule>
    <cfRule type="expression" dxfId="386" priority="208">
      <formula>MOD(G114,2)=0</formula>
    </cfRule>
    <cfRule type="expression" dxfId="385" priority="209">
      <formula>MOD(G114,2)=1</formula>
    </cfRule>
  </conditionalFormatting>
  <conditionalFormatting sqref="G121">
    <cfRule type="containsBlanks" dxfId="384" priority="199">
      <formula>LEN(TRIM(G121))=0</formula>
    </cfRule>
    <cfRule type="expression" dxfId="383" priority="201">
      <formula>MOD(G121,2)=0</formula>
    </cfRule>
    <cfRule type="expression" dxfId="382" priority="202">
      <formula>MOD(G121,2)=1</formula>
    </cfRule>
  </conditionalFormatting>
  <conditionalFormatting sqref="G120">
    <cfRule type="containsBlanks" dxfId="381" priority="182">
      <formula>LEN(TRIM(G120))=0</formula>
    </cfRule>
    <cfRule type="expression" dxfId="380" priority="183">
      <formula>MOD(G120,2)=0</formula>
    </cfRule>
    <cfRule type="expression" dxfId="379" priority="184">
      <formula>MOD(G120,2)=1</formula>
    </cfRule>
  </conditionalFormatting>
  <conditionalFormatting sqref="G122:G127">
    <cfRule type="containsBlanks" dxfId="378" priority="172">
      <formula>LEN(TRIM(G122))=0</formula>
    </cfRule>
    <cfRule type="expression" dxfId="377" priority="174">
      <formula>MOD(G122,2)=0</formula>
    </cfRule>
    <cfRule type="expression" dxfId="376" priority="175">
      <formula>MOD(G122,2)=1</formula>
    </cfRule>
  </conditionalFormatting>
  <conditionalFormatting sqref="G130:G139">
    <cfRule type="containsBlanks" dxfId="375" priority="168">
      <formula>LEN(TRIM(G130))=0</formula>
    </cfRule>
    <cfRule type="expression" dxfId="374" priority="170">
      <formula>MOD(G130,2)=0</formula>
    </cfRule>
    <cfRule type="expression" dxfId="373" priority="171">
      <formula>MOD(G130,2)=1</formula>
    </cfRule>
  </conditionalFormatting>
  <conditionalFormatting sqref="G142:G151">
    <cfRule type="containsBlanks" dxfId="372" priority="164">
      <formula>LEN(TRIM(G142))=0</formula>
    </cfRule>
    <cfRule type="expression" dxfId="371" priority="166">
      <formula>MOD(G142,2)=0</formula>
    </cfRule>
    <cfRule type="expression" dxfId="370" priority="167">
      <formula>MOD(G142,2)=1</formula>
    </cfRule>
  </conditionalFormatting>
  <conditionalFormatting sqref="G154:G163">
    <cfRule type="containsBlanks" dxfId="369" priority="160">
      <formula>LEN(TRIM(G154))=0</formula>
    </cfRule>
    <cfRule type="expression" dxfId="368" priority="162">
      <formula>MOD(G154,2)=0</formula>
    </cfRule>
    <cfRule type="expression" dxfId="367" priority="163">
      <formula>MOD(G154,2)=1</formula>
    </cfRule>
  </conditionalFormatting>
  <conditionalFormatting sqref="G166:G175">
    <cfRule type="containsBlanks" dxfId="366" priority="156">
      <formula>LEN(TRIM(G166))=0</formula>
    </cfRule>
    <cfRule type="expression" dxfId="365" priority="158">
      <formula>MOD(G166,2)=0</formula>
    </cfRule>
    <cfRule type="expression" dxfId="364" priority="159">
      <formula>MOD(G166,2)=1</formula>
    </cfRule>
  </conditionalFormatting>
  <conditionalFormatting sqref="G178:G183">
    <cfRule type="containsBlanks" dxfId="363" priority="152">
      <formula>LEN(TRIM(G178))=0</formula>
    </cfRule>
    <cfRule type="expression" dxfId="362" priority="154">
      <formula>MOD(G178,2)=0</formula>
    </cfRule>
    <cfRule type="expression" dxfId="361" priority="155">
      <formula>MOD(G178,2)=1</formula>
    </cfRule>
  </conditionalFormatting>
  <conditionalFormatting sqref="G184">
    <cfRule type="containsBlanks" dxfId="360" priority="147">
      <formula>LEN(TRIM(G184))=0</formula>
    </cfRule>
    <cfRule type="expression" dxfId="359" priority="149">
      <formula>MOD(G184,2)=0</formula>
    </cfRule>
    <cfRule type="expression" dxfId="358" priority="150">
      <formula>MOD(G184,2)=1</formula>
    </cfRule>
  </conditionalFormatting>
  <conditionalFormatting sqref="G184">
    <cfRule type="containsBlanks" dxfId="357" priority="141">
      <formula>LEN(TRIM(G184))=0</formula>
    </cfRule>
    <cfRule type="expression" dxfId="356" priority="143">
      <formula>MOD(G184,2)=0</formula>
    </cfRule>
    <cfRule type="expression" dxfId="355" priority="144">
      <formula>MOD(G184,2)=1</formula>
    </cfRule>
  </conditionalFormatting>
  <conditionalFormatting sqref="G221">
    <cfRule type="containsBlanks" dxfId="354" priority="126">
      <formula>LEN(TRIM(G221))=0</formula>
    </cfRule>
    <cfRule type="expression" dxfId="353" priority="128">
      <formula>MOD(G221,2)=0</formula>
    </cfRule>
    <cfRule type="expression" dxfId="352" priority="129">
      <formula>MOD(G221,2)=1</formula>
    </cfRule>
  </conditionalFormatting>
  <conditionalFormatting sqref="G222:G227">
    <cfRule type="containsBlanks" dxfId="351" priority="111">
      <formula>LEN(TRIM(G222))=0</formula>
    </cfRule>
    <cfRule type="expression" dxfId="350" priority="113">
      <formula>MOD(G222,2)=0</formula>
    </cfRule>
    <cfRule type="expression" dxfId="349" priority="114">
      <formula>MOD(G222,2)=1</formula>
    </cfRule>
  </conditionalFormatting>
  <conditionalFormatting sqref="G237:G264">
    <cfRule type="containsBlanks" dxfId="348" priority="96">
      <formula>LEN(TRIM(G237))=0</formula>
    </cfRule>
    <cfRule type="expression" dxfId="347" priority="97">
      <formula>MOD(G237,2)=0</formula>
    </cfRule>
    <cfRule type="expression" dxfId="346" priority="98">
      <formula>MOD(G237,2)=1</formula>
    </cfRule>
  </conditionalFormatting>
  <conditionalFormatting sqref="G229:G236">
    <cfRule type="containsBlanks" dxfId="345" priority="54">
      <formula>LEN(TRIM(G229))=0</formula>
    </cfRule>
    <cfRule type="expression" dxfId="344" priority="56">
      <formula>MOD(G229,2)=0</formula>
    </cfRule>
    <cfRule type="expression" dxfId="343" priority="57">
      <formula>MOD(G229,2)=1</formula>
    </cfRule>
  </conditionalFormatting>
  <conditionalFormatting sqref="G265">
    <cfRule type="containsBlanks" dxfId="342" priority="45">
      <formula>LEN(TRIM(G265))=0</formula>
    </cfRule>
    <cfRule type="expression" dxfId="341" priority="47">
      <formula>MOD(G265,2)=0</formula>
    </cfRule>
    <cfRule type="expression" dxfId="340" priority="48">
      <formula>MOD(G265,2)=1</formula>
    </cfRule>
  </conditionalFormatting>
  <conditionalFormatting sqref="G273:G283">
    <cfRule type="containsBlanks" dxfId="339" priority="26">
      <formula>LEN(TRIM(G273))=0</formula>
    </cfRule>
    <cfRule type="expression" dxfId="338" priority="28">
      <formula>MOD(G273,2)=0</formula>
    </cfRule>
    <cfRule type="expression" dxfId="337" priority="29">
      <formula>MOD(G273,2)=1</formula>
    </cfRule>
  </conditionalFormatting>
  <conditionalFormatting sqref="G266:G271">
    <cfRule type="containsBlanks" dxfId="336" priority="30">
      <formula>LEN(TRIM(G266))=0</formula>
    </cfRule>
    <cfRule type="expression" dxfId="335" priority="32">
      <formula>MOD(G266,2)=0</formula>
    </cfRule>
    <cfRule type="expression" dxfId="334" priority="33">
      <formula>MOD(G266,2)=1</formula>
    </cfRule>
  </conditionalFormatting>
  <conditionalFormatting sqref="G228">
    <cfRule type="containsBlanks" dxfId="333" priority="16">
      <formula>LEN(TRIM(G228))=0</formula>
    </cfRule>
    <cfRule type="expression" dxfId="332" priority="18">
      <formula>MOD(G228,2)=0</formula>
    </cfRule>
    <cfRule type="expression" dxfId="331" priority="19">
      <formula>MOD(G228,2)=1</formula>
    </cfRule>
  </conditionalFormatting>
  <dataValidations count="1">
    <dataValidation showInputMessage="1" showErrorMessage="1" sqref="B58 A4:A284 B284"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containsText" priority="1401" operator="containsText" id="{CAB4DD24-5E18-4C25-976E-F1B42BE95576}">
            <xm:f>NOT(ISERROR(SEARCH("-",G4)))</xm:f>
            <xm:f>"-"</xm:f>
            <x14:dxf>
              <fill>
                <patternFill>
                  <bgColor theme="0" tint="-4.9989318521683403E-2"/>
                </patternFill>
              </fill>
            </x14:dxf>
          </x14:cfRule>
          <xm:sqref>G4 G12:G112 G176 G185:G220 G272:G283</xm:sqref>
        </x14:conditionalFormatting>
        <x14:conditionalFormatting xmlns:xm="http://schemas.microsoft.com/office/excel/2006/main">
          <x14:cfRule type="containsText" priority="1398" operator="containsText" id="{5EFD3F10-06DD-4C45-AFA0-1EBA1F1AB1DA}">
            <xm:f>NOT(ISERROR(SEARCH("-",G284)))</xm:f>
            <xm:f>"-"</xm:f>
            <x14:dxf>
              <fill>
                <patternFill>
                  <bgColor theme="0" tint="-4.9989318521683403E-2"/>
                </patternFill>
              </fill>
            </x14:dxf>
          </x14:cfRule>
          <xm:sqref>G284</xm:sqref>
        </x14:conditionalFormatting>
        <x14:conditionalFormatting xmlns:xm="http://schemas.microsoft.com/office/excel/2006/main">
          <x14:cfRule type="containsText" priority="1368" operator="containsText" id="{D30BB66E-0353-40AA-BA3A-04C6AFDB6828}">
            <xm:f>NOT(ISERROR(SEARCH("-",G81)))</xm:f>
            <xm:f>"-"</xm:f>
            <x14:dxf>
              <fill>
                <patternFill>
                  <bgColor theme="0" tint="-4.9989318521683403E-2"/>
                </patternFill>
              </fill>
            </x14:dxf>
          </x14:cfRule>
          <xm:sqref>G81</xm:sqref>
        </x14:conditionalFormatting>
        <x14:conditionalFormatting xmlns:xm="http://schemas.microsoft.com/office/excel/2006/main">
          <x14:cfRule type="expression" priority="1363" id="{D4C5C327-9AAC-4D8D-8591-0D0468C0C4CE}">
            <xm:f>I4=Categories!$E$7</xm:f>
            <x14:dxf>
              <font>
                <b/>
                <i val="0"/>
              </font>
            </x14:dxf>
          </x14:cfRule>
          <xm:sqref>L81:L82 L4 L11 L79 L39:L45 L176 L107:L111 L185:L220 L283:L284</xm:sqref>
        </x14:conditionalFormatting>
        <x14:conditionalFormatting xmlns:xm="http://schemas.microsoft.com/office/excel/2006/main">
          <x14:cfRule type="expression" priority="1361" id="{E176C055-4F32-4661-A4EF-F66CEE0A0964}">
            <xm:f>I83=Categories!$E$7</xm:f>
            <x14:dxf>
              <font>
                <b/>
                <i val="0"/>
              </font>
            </x14:dxf>
          </x14:cfRule>
          <xm:sqref>L83:L88</xm:sqref>
        </x14:conditionalFormatting>
        <x14:conditionalFormatting xmlns:xm="http://schemas.microsoft.com/office/excel/2006/main">
          <x14:cfRule type="containsText" priority="1358" operator="containsText" id="{D02A06B7-DB2A-441A-B030-470D58CB9C95}">
            <xm:f>NOT(ISERROR(SEARCH("-",G88)))</xm:f>
            <xm:f>"-"</xm:f>
            <x14:dxf>
              <fill>
                <patternFill>
                  <bgColor theme="0" tint="-4.9989318521683403E-2"/>
                </patternFill>
              </fill>
            </x14:dxf>
          </x14:cfRule>
          <xm:sqref>G88</xm:sqref>
        </x14:conditionalFormatting>
        <x14:conditionalFormatting xmlns:xm="http://schemas.microsoft.com/office/excel/2006/main">
          <x14:cfRule type="containsText" priority="1349" operator="containsText" id="{6681EA3C-ABFF-4E2C-8E14-DD8564A3FC39}">
            <xm:f>NOT(ISERROR(SEARCH("-",G89)))</xm:f>
            <xm:f>"-"</xm:f>
            <x14:dxf>
              <fill>
                <patternFill>
                  <bgColor theme="0" tint="-4.9989318521683403E-2"/>
                </patternFill>
              </fill>
            </x14:dxf>
          </x14:cfRule>
          <xm:sqref>G89:G95</xm:sqref>
        </x14:conditionalFormatting>
        <x14:conditionalFormatting xmlns:xm="http://schemas.microsoft.com/office/excel/2006/main">
          <x14:cfRule type="expression" priority="1346" id="{CDCE1F52-38D3-498E-9334-8EACB987C8D4}">
            <xm:f>I90=Categories!$E$7</xm:f>
            <x14:dxf>
              <font>
                <b/>
                <i val="0"/>
              </font>
            </x14:dxf>
          </x14:cfRule>
          <xm:sqref>L90</xm:sqref>
        </x14:conditionalFormatting>
        <x14:conditionalFormatting xmlns:xm="http://schemas.microsoft.com/office/excel/2006/main">
          <x14:cfRule type="expression" priority="1345" id="{A9DE52F6-7C7B-41D1-B405-87A85E4FE152}">
            <xm:f>I89=Categories!$E$7</xm:f>
            <x14:dxf>
              <font>
                <b/>
                <i val="0"/>
              </font>
            </x14:dxf>
          </x14:cfRule>
          <xm:sqref>L89</xm:sqref>
        </x14:conditionalFormatting>
        <x14:conditionalFormatting xmlns:xm="http://schemas.microsoft.com/office/excel/2006/main">
          <x14:cfRule type="expression" priority="1344" id="{2C775027-A839-49B0-B71F-1AD013D175B9}">
            <xm:f>I91=Categories!$E$7</xm:f>
            <x14:dxf>
              <font>
                <b/>
                <i val="0"/>
              </font>
            </x14:dxf>
          </x14:cfRule>
          <xm:sqref>L91:L95</xm:sqref>
        </x14:conditionalFormatting>
        <x14:conditionalFormatting xmlns:xm="http://schemas.microsoft.com/office/excel/2006/main">
          <x14:cfRule type="expression" priority="1332" id="{B37B2E97-6B7E-4F9C-8A52-E70316A50631}">
            <xm:f>I96=Categories!$E$7</xm:f>
            <x14:dxf>
              <font>
                <b/>
                <i val="0"/>
              </font>
            </x14:dxf>
          </x14:cfRule>
          <xm:sqref>L96</xm:sqref>
        </x14:conditionalFormatting>
        <x14:conditionalFormatting xmlns:xm="http://schemas.microsoft.com/office/excel/2006/main">
          <x14:cfRule type="containsText" priority="1329" operator="containsText" id="{3B539539-397B-48A8-9E71-734BB0220D41}">
            <xm:f>NOT(ISERROR(SEARCH("-",G96)))</xm:f>
            <xm:f>"-"</xm:f>
            <x14:dxf>
              <fill>
                <patternFill>
                  <bgColor theme="0" tint="-4.9989318521683403E-2"/>
                </patternFill>
              </fill>
            </x14:dxf>
          </x14:cfRule>
          <xm:sqref>G96</xm:sqref>
        </x14:conditionalFormatting>
        <x14:conditionalFormatting xmlns:xm="http://schemas.microsoft.com/office/excel/2006/main">
          <x14:cfRule type="containsText" priority="1324" operator="containsText" id="{D959859E-7789-4663-9915-17DDEF7D6A62}">
            <xm:f>NOT(ISERROR(SEARCH("-",G97)))</xm:f>
            <xm:f>"-"</xm:f>
            <x14:dxf>
              <fill>
                <patternFill>
                  <bgColor theme="0" tint="-4.9989318521683403E-2"/>
                </patternFill>
              </fill>
            </x14:dxf>
          </x14:cfRule>
          <xm:sqref>G97</xm:sqref>
        </x14:conditionalFormatting>
        <x14:conditionalFormatting xmlns:xm="http://schemas.microsoft.com/office/excel/2006/main">
          <x14:cfRule type="expression" priority="1321" id="{C115C6A3-3615-4FF5-A92A-BBC1D65E4E97}">
            <xm:f>I98=Categories!$E$7</xm:f>
            <x14:dxf>
              <font>
                <b/>
                <i val="0"/>
              </font>
            </x14:dxf>
          </x14:cfRule>
          <xm:sqref>L98</xm:sqref>
        </x14:conditionalFormatting>
        <x14:conditionalFormatting xmlns:xm="http://schemas.microsoft.com/office/excel/2006/main">
          <x14:cfRule type="expression" priority="1320" id="{65720FBD-9F56-46F3-AB90-C779052A0001}">
            <xm:f>I97=Categories!$E$7</xm:f>
            <x14:dxf>
              <font>
                <b/>
                <i val="0"/>
              </font>
            </x14:dxf>
          </x14:cfRule>
          <xm:sqref>L97</xm:sqref>
        </x14:conditionalFormatting>
        <x14:conditionalFormatting xmlns:xm="http://schemas.microsoft.com/office/excel/2006/main">
          <x14:cfRule type="expression" priority="1319" id="{51306C2D-505A-46AD-BFC2-7E692756B84B}">
            <xm:f>I99=Categories!$E$7</xm:f>
            <x14:dxf>
              <font>
                <b/>
                <i val="0"/>
              </font>
            </x14:dxf>
          </x14:cfRule>
          <xm:sqref>L99:L103</xm:sqref>
        </x14:conditionalFormatting>
        <x14:conditionalFormatting xmlns:xm="http://schemas.microsoft.com/office/excel/2006/main">
          <x14:cfRule type="containsText" priority="1237" operator="containsText" id="{C27D0B93-7E4A-409F-B639-8F779BC8E132}">
            <xm:f>NOT(ISERROR(SEARCH("-",G47)))</xm:f>
            <xm:f>"-"</xm:f>
            <x14:dxf>
              <fill>
                <patternFill>
                  <bgColor theme="0" tint="-4.9989318521683403E-2"/>
                </patternFill>
              </fill>
            </x14:dxf>
          </x14:cfRule>
          <xm:sqref>G47:G53</xm:sqref>
        </x14:conditionalFormatting>
        <x14:conditionalFormatting xmlns:xm="http://schemas.microsoft.com/office/excel/2006/main">
          <x14:cfRule type="expression" priority="1299" id="{B690748B-0D91-40AD-B1EA-EF9FA1C801CA}">
            <xm:f>I9=Categories!$E$7</xm:f>
            <x14:dxf>
              <font>
                <b/>
                <i val="0"/>
              </font>
            </x14:dxf>
          </x14:cfRule>
          <xm:sqref>L9</xm:sqref>
        </x14:conditionalFormatting>
        <x14:conditionalFormatting xmlns:xm="http://schemas.microsoft.com/office/excel/2006/main">
          <x14:cfRule type="expression" priority="1293" id="{AEF939AE-6C84-4C1C-8676-A68415BBD2E6}">
            <xm:f>I7=Categories!$E$7</xm:f>
            <x14:dxf>
              <font>
                <b/>
                <i val="0"/>
              </font>
            </x14:dxf>
          </x14:cfRule>
          <xm:sqref>L7</xm:sqref>
        </x14:conditionalFormatting>
        <x14:conditionalFormatting xmlns:xm="http://schemas.microsoft.com/office/excel/2006/main">
          <x14:cfRule type="containsText" priority="1289" operator="containsText" id="{1625350E-CD59-4E82-BAF1-486B769BDDC3}">
            <xm:f>NOT(ISERROR(SEARCH("-",G5)))</xm:f>
            <xm:f>"-"</xm:f>
            <x14:dxf>
              <fill>
                <patternFill>
                  <bgColor theme="0" tint="-4.9989318521683403E-2"/>
                </patternFill>
              </fill>
            </x14:dxf>
          </x14:cfRule>
          <xm:sqref>G5</xm:sqref>
        </x14:conditionalFormatting>
        <x14:conditionalFormatting xmlns:xm="http://schemas.microsoft.com/office/excel/2006/main">
          <x14:cfRule type="expression" priority="1287" id="{30BF7911-0DCC-4D59-8B5B-0551C4B70BB2}">
            <xm:f>I5=Categories!$E$7</xm:f>
            <x14:dxf>
              <font>
                <b/>
                <i val="0"/>
              </font>
            </x14:dxf>
          </x14:cfRule>
          <xm:sqref>L5</xm:sqref>
        </x14:conditionalFormatting>
        <x14:conditionalFormatting xmlns:xm="http://schemas.microsoft.com/office/excel/2006/main">
          <x14:cfRule type="expression" priority="1281" id="{9711090F-FE45-4F2B-BA70-493F283F7FD3}">
            <xm:f>I6=Categories!$E$7</xm:f>
            <x14:dxf>
              <font>
                <b/>
                <i val="0"/>
              </font>
            </x14:dxf>
          </x14:cfRule>
          <xm:sqref>L6</xm:sqref>
        </x14:conditionalFormatting>
        <x14:conditionalFormatting xmlns:xm="http://schemas.microsoft.com/office/excel/2006/main">
          <x14:cfRule type="expression" priority="1275" id="{6E67B10F-5E80-4A13-BEEF-1CC20F4C8D08}">
            <xm:f>I8=Categories!$E$7</xm:f>
            <x14:dxf>
              <font>
                <b/>
                <i val="0"/>
              </font>
            </x14:dxf>
          </x14:cfRule>
          <xm:sqref>L8</xm:sqref>
        </x14:conditionalFormatting>
        <x14:conditionalFormatting xmlns:xm="http://schemas.microsoft.com/office/excel/2006/main">
          <x14:cfRule type="expression" priority="1269" id="{3D0A0574-04ED-48F3-AB98-44BD15F969AC}">
            <xm:f>I10=Categories!$E$7</xm:f>
            <x14:dxf>
              <font>
                <b/>
                <i val="0"/>
              </font>
            </x14:dxf>
          </x14:cfRule>
          <xm:sqref>L10</xm:sqref>
        </x14:conditionalFormatting>
        <x14:conditionalFormatting xmlns:xm="http://schemas.microsoft.com/office/excel/2006/main">
          <x14:cfRule type="expression" priority="1267" id="{3A3F690E-954D-46D8-8578-D83263748EBC}">
            <xm:f>I104=Categories!$E$7</xm:f>
            <x14:dxf>
              <font>
                <b/>
                <i val="0"/>
              </font>
            </x14:dxf>
          </x14:cfRule>
          <xm:sqref>L104</xm:sqref>
        </x14:conditionalFormatting>
        <x14:conditionalFormatting xmlns:xm="http://schemas.microsoft.com/office/excel/2006/main">
          <x14:cfRule type="containsText" priority="1264" operator="containsText" id="{1348026C-623B-4AF8-B7B7-1DF8BBD8429B}">
            <xm:f>NOT(ISERROR(SEARCH("-",G104)))</xm:f>
            <xm:f>"-"</xm:f>
            <x14:dxf>
              <fill>
                <patternFill>
                  <bgColor theme="0" tint="-4.9989318521683403E-2"/>
                </patternFill>
              </fill>
            </x14:dxf>
          </x14:cfRule>
          <xm:sqref>G104</xm:sqref>
        </x14:conditionalFormatting>
        <x14:conditionalFormatting xmlns:xm="http://schemas.microsoft.com/office/excel/2006/main">
          <x14:cfRule type="containsText" priority="1259" operator="containsText" id="{A523D16A-2D90-4EA0-9E41-4E34F99198EA}">
            <xm:f>NOT(ISERROR(SEARCH("-",G105)))</xm:f>
            <xm:f>"-"</xm:f>
            <x14:dxf>
              <fill>
                <patternFill>
                  <bgColor theme="0" tint="-4.9989318521683403E-2"/>
                </patternFill>
              </fill>
            </x14:dxf>
          </x14:cfRule>
          <xm:sqref>G105</xm:sqref>
        </x14:conditionalFormatting>
        <x14:conditionalFormatting xmlns:xm="http://schemas.microsoft.com/office/excel/2006/main">
          <x14:cfRule type="expression" priority="1256" id="{69B89F9F-EEC5-4B56-9A54-EB5E4982AEEC}">
            <xm:f>I106=Categories!$E$7</xm:f>
            <x14:dxf>
              <font>
                <b/>
                <i val="0"/>
              </font>
            </x14:dxf>
          </x14:cfRule>
          <xm:sqref>L106</xm:sqref>
        </x14:conditionalFormatting>
        <x14:conditionalFormatting xmlns:xm="http://schemas.microsoft.com/office/excel/2006/main">
          <x14:cfRule type="expression" priority="1255" id="{0B732B9C-FE07-4801-8F53-B24FCAE98315}">
            <xm:f>I105=Categories!$E$7</xm:f>
            <x14:dxf>
              <font>
                <b/>
                <i val="0"/>
              </font>
            </x14:dxf>
          </x14:cfRule>
          <xm:sqref>L105</xm:sqref>
        </x14:conditionalFormatting>
        <x14:conditionalFormatting xmlns:xm="http://schemas.microsoft.com/office/excel/2006/main">
          <x14:cfRule type="containsText" priority="1246" operator="containsText" id="{CD37DEBC-768F-49FC-A07D-DB6F256125DD}">
            <xm:f>NOT(ISERROR(SEARCH("-",G46)))</xm:f>
            <xm:f>"-"</xm:f>
            <x14:dxf>
              <fill>
                <patternFill>
                  <bgColor theme="0" tint="-4.9989318521683403E-2"/>
                </patternFill>
              </fill>
            </x14:dxf>
          </x14:cfRule>
          <xm:sqref>G46</xm:sqref>
        </x14:conditionalFormatting>
        <x14:conditionalFormatting xmlns:xm="http://schemas.microsoft.com/office/excel/2006/main">
          <x14:cfRule type="expression" priority="1234" id="{77B3B43B-BD75-4343-8435-52CF5B820C6C}">
            <xm:f>I46=Categories!$E$7</xm:f>
            <x14:dxf>
              <font>
                <b/>
                <i val="0"/>
              </font>
            </x14:dxf>
          </x14:cfRule>
          <xm:sqref>L46:L48</xm:sqref>
        </x14:conditionalFormatting>
        <x14:conditionalFormatting xmlns:xm="http://schemas.microsoft.com/office/excel/2006/main">
          <x14:cfRule type="expression" priority="1233" id="{208CA26F-1814-4477-8302-D7B833EE07AB}">
            <xm:f>I49=Categories!$E$7</xm:f>
            <x14:dxf>
              <font>
                <b/>
                <i val="0"/>
              </font>
            </x14:dxf>
          </x14:cfRule>
          <xm:sqref>L49:L54</xm:sqref>
        </x14:conditionalFormatting>
        <x14:conditionalFormatting xmlns:xm="http://schemas.microsoft.com/office/excel/2006/main">
          <x14:cfRule type="containsText" priority="1230" operator="containsText" id="{3DA4BF0E-CE0B-42F7-8BF8-E41CC873A646}">
            <xm:f>NOT(ISERROR(SEARCH("-",G54)))</xm:f>
            <xm:f>"-"</xm:f>
            <x14:dxf>
              <fill>
                <patternFill>
                  <bgColor theme="0" tint="-4.9989318521683403E-2"/>
                </patternFill>
              </fill>
            </x14:dxf>
          </x14:cfRule>
          <xm:sqref>G54</xm:sqref>
        </x14:conditionalFormatting>
        <x14:conditionalFormatting xmlns:xm="http://schemas.microsoft.com/office/excel/2006/main">
          <x14:cfRule type="containsText" priority="1225" operator="containsText" id="{9A207BC2-968B-4495-B9DE-FA4B91D2C732}">
            <xm:f>NOT(ISERROR(SEARCH("-",G55)))</xm:f>
            <xm:f>"-"</xm:f>
            <x14:dxf>
              <fill>
                <patternFill>
                  <bgColor theme="0" tint="-4.9989318521683403E-2"/>
                </patternFill>
              </fill>
            </x14:dxf>
          </x14:cfRule>
          <xm:sqref>G55</xm:sqref>
        </x14:conditionalFormatting>
        <x14:conditionalFormatting xmlns:xm="http://schemas.microsoft.com/office/excel/2006/main">
          <x14:cfRule type="expression" priority="1222" id="{135C1E64-A4B1-4A76-85FC-6B05DB473833}">
            <xm:f>I56=Categories!$E$7</xm:f>
            <x14:dxf>
              <font>
                <b/>
                <i val="0"/>
              </font>
            </x14:dxf>
          </x14:cfRule>
          <xm:sqref>L56</xm:sqref>
        </x14:conditionalFormatting>
        <x14:conditionalFormatting xmlns:xm="http://schemas.microsoft.com/office/excel/2006/main">
          <x14:cfRule type="expression" priority="1221" id="{52CE9F60-9282-4175-9EEF-AAF75EA0B1E0}">
            <xm:f>I55=Categories!$E$7</xm:f>
            <x14:dxf>
              <font>
                <b/>
                <i val="0"/>
              </font>
            </x14:dxf>
          </x14:cfRule>
          <xm:sqref>L55</xm:sqref>
        </x14:conditionalFormatting>
        <x14:conditionalFormatting xmlns:xm="http://schemas.microsoft.com/office/excel/2006/main">
          <x14:cfRule type="expression" priority="1220" id="{004DBA39-FE7F-46EE-9EA1-677388F08406}">
            <xm:f>I57=Categories!$E$7</xm:f>
            <x14:dxf>
              <font>
                <b/>
                <i val="0"/>
              </font>
            </x14:dxf>
          </x14:cfRule>
          <xm:sqref>L57:L61</xm:sqref>
        </x14:conditionalFormatting>
        <x14:conditionalFormatting xmlns:xm="http://schemas.microsoft.com/office/excel/2006/main">
          <x14:cfRule type="expression" priority="1208" id="{3B264F62-85E1-420E-87CF-6872F7601075}">
            <xm:f>I62=Categories!$E$7</xm:f>
            <x14:dxf>
              <font>
                <b/>
                <i val="0"/>
              </font>
            </x14:dxf>
          </x14:cfRule>
          <xm:sqref>L62</xm:sqref>
        </x14:conditionalFormatting>
        <x14:conditionalFormatting xmlns:xm="http://schemas.microsoft.com/office/excel/2006/main">
          <x14:cfRule type="containsText" priority="1205" operator="containsText" id="{D9BFC4C3-C05E-4B38-853B-21744F254799}">
            <xm:f>NOT(ISERROR(SEARCH("-",G62)))</xm:f>
            <xm:f>"-"</xm:f>
            <x14:dxf>
              <fill>
                <patternFill>
                  <bgColor theme="0" tint="-4.9989318521683403E-2"/>
                </patternFill>
              </fill>
            </x14:dxf>
          </x14:cfRule>
          <xm:sqref>G62</xm:sqref>
        </x14:conditionalFormatting>
        <x14:conditionalFormatting xmlns:xm="http://schemas.microsoft.com/office/excel/2006/main">
          <x14:cfRule type="containsText" priority="1200" operator="containsText" id="{20C2CA9B-8BBE-4E37-A6D2-923DB58D5434}">
            <xm:f>NOT(ISERROR(SEARCH("-",G63)))</xm:f>
            <xm:f>"-"</xm:f>
            <x14:dxf>
              <fill>
                <patternFill>
                  <bgColor theme="0" tint="-4.9989318521683403E-2"/>
                </patternFill>
              </fill>
            </x14:dxf>
          </x14:cfRule>
          <xm:sqref>G63</xm:sqref>
        </x14:conditionalFormatting>
        <x14:conditionalFormatting xmlns:xm="http://schemas.microsoft.com/office/excel/2006/main">
          <x14:cfRule type="expression" priority="1197" id="{61B907B6-8383-4378-B925-EF6D98661D3E}">
            <xm:f>I64=Categories!$E$7</xm:f>
            <x14:dxf>
              <font>
                <b/>
                <i val="0"/>
              </font>
            </x14:dxf>
          </x14:cfRule>
          <xm:sqref>L64</xm:sqref>
        </x14:conditionalFormatting>
        <x14:conditionalFormatting xmlns:xm="http://schemas.microsoft.com/office/excel/2006/main">
          <x14:cfRule type="expression" priority="1196" id="{208FCA81-B627-42E5-8802-AB91E017280E}">
            <xm:f>I63=Categories!$E$7</xm:f>
            <x14:dxf>
              <font>
                <b/>
                <i val="0"/>
              </font>
            </x14:dxf>
          </x14:cfRule>
          <xm:sqref>L63</xm:sqref>
        </x14:conditionalFormatting>
        <x14:conditionalFormatting xmlns:xm="http://schemas.microsoft.com/office/excel/2006/main">
          <x14:cfRule type="expression" priority="1195" id="{5050FC78-D21E-4981-85BF-C2FDD0581BB1}">
            <xm:f>I65=Categories!$E$7</xm:f>
            <x14:dxf>
              <font>
                <b/>
                <i val="0"/>
              </font>
            </x14:dxf>
          </x14:cfRule>
          <xm:sqref>L65:L69</xm:sqref>
        </x14:conditionalFormatting>
        <x14:conditionalFormatting xmlns:xm="http://schemas.microsoft.com/office/excel/2006/main">
          <x14:cfRule type="expression" priority="1189" id="{A7F4D635-DB5C-4427-AE22-BA56BEDDD7F6}">
            <xm:f>I70=Categories!$E$7</xm:f>
            <x14:dxf>
              <font>
                <b/>
                <i val="0"/>
              </font>
            </x14:dxf>
          </x14:cfRule>
          <xm:sqref>L70</xm:sqref>
        </x14:conditionalFormatting>
        <x14:conditionalFormatting xmlns:xm="http://schemas.microsoft.com/office/excel/2006/main">
          <x14:cfRule type="containsText" priority="1186" operator="containsText" id="{D21B4F77-E43E-4852-9CC3-6801B3EB271E}">
            <xm:f>NOT(ISERROR(SEARCH("-",G70)))</xm:f>
            <xm:f>"-"</xm:f>
            <x14:dxf>
              <fill>
                <patternFill>
                  <bgColor theme="0" tint="-4.9989318521683403E-2"/>
                </patternFill>
              </fill>
            </x14:dxf>
          </x14:cfRule>
          <xm:sqref>G70</xm:sqref>
        </x14:conditionalFormatting>
        <x14:conditionalFormatting xmlns:xm="http://schemas.microsoft.com/office/excel/2006/main">
          <x14:cfRule type="containsText" priority="1181" operator="containsText" id="{A012BF5F-525E-4F18-9358-873D9987EB42}">
            <xm:f>NOT(ISERROR(SEARCH("-",G71)))</xm:f>
            <xm:f>"-"</xm:f>
            <x14:dxf>
              <fill>
                <patternFill>
                  <bgColor theme="0" tint="-4.9989318521683403E-2"/>
                </patternFill>
              </fill>
            </x14:dxf>
          </x14:cfRule>
          <xm:sqref>G71</xm:sqref>
        </x14:conditionalFormatting>
        <x14:conditionalFormatting xmlns:xm="http://schemas.microsoft.com/office/excel/2006/main">
          <x14:cfRule type="expression" priority="1178" id="{450897D3-F3D4-44CD-82D7-036F5636F134}">
            <xm:f>I72=Categories!$E$7</xm:f>
            <x14:dxf>
              <font>
                <b/>
                <i val="0"/>
              </font>
            </x14:dxf>
          </x14:cfRule>
          <xm:sqref>L72</xm:sqref>
        </x14:conditionalFormatting>
        <x14:conditionalFormatting xmlns:xm="http://schemas.microsoft.com/office/excel/2006/main">
          <x14:cfRule type="expression" priority="1177" id="{AB883E64-3A5E-4219-B6BA-2DFC748CAA9C}">
            <xm:f>I71=Categories!$E$7</xm:f>
            <x14:dxf>
              <font>
                <b/>
                <i val="0"/>
              </font>
            </x14:dxf>
          </x14:cfRule>
          <xm:sqref>L71</xm:sqref>
        </x14:conditionalFormatting>
        <x14:conditionalFormatting xmlns:xm="http://schemas.microsoft.com/office/excel/2006/main">
          <x14:cfRule type="expression" priority="1176" id="{4CCDE968-4A54-4B81-93E9-8CDB00FADC8E}">
            <xm:f>I73=Categories!$E$7</xm:f>
            <x14:dxf>
              <font>
                <b/>
                <i val="0"/>
              </font>
            </x14:dxf>
          </x14:cfRule>
          <xm:sqref>L73:L77</xm:sqref>
        </x14:conditionalFormatting>
        <x14:conditionalFormatting xmlns:xm="http://schemas.microsoft.com/office/excel/2006/main">
          <x14:cfRule type="expression" priority="1164" id="{A9850F29-A827-43E9-A3A2-2A2FD7D6958F}">
            <xm:f>I4=Categories!$E$11</xm:f>
            <x14:dxf>
              <font>
                <b/>
                <i val="0"/>
              </font>
            </x14:dxf>
          </x14:cfRule>
          <xm:sqref>O4:O11 O79 O13:O46 O176:O183 O81:O111 O185:O220 O282:O283</xm:sqref>
        </x14:conditionalFormatting>
        <x14:conditionalFormatting xmlns:xm="http://schemas.microsoft.com/office/excel/2006/main">
          <x14:cfRule type="expression" priority="1161" id="{8879DCA1-5057-4EF3-A47F-E81C40A6D98E}">
            <xm:f>I284=Categories!$E$11</xm:f>
            <x14:dxf>
              <font>
                <b/>
                <i val="0"/>
              </font>
            </x14:dxf>
          </x14:cfRule>
          <xm:sqref>O284</xm:sqref>
        </x14:conditionalFormatting>
        <x14:conditionalFormatting xmlns:xm="http://schemas.microsoft.com/office/excel/2006/main">
          <x14:cfRule type="notContainsText" priority="1160" operator="notContains" id="{F37CDFD8-E384-4FD1-BCA6-9A53B82912CA}">
            <xm:f>ISERROR(SEARCH("-",M4))</xm:f>
            <xm:f>"-"</xm:f>
            <x14:dxf>
              <fill>
                <patternFill>
                  <bgColor theme="0" tint="-4.9989318521683403E-2"/>
                </patternFill>
              </fill>
            </x14:dxf>
          </x14:cfRule>
          <xm:sqref>M4:N112 M176:N183 M185:N220 M272:N283</xm:sqref>
        </x14:conditionalFormatting>
        <x14:conditionalFormatting xmlns:xm="http://schemas.microsoft.com/office/excel/2006/main">
          <x14:cfRule type="notContainsText" priority="1159" operator="notContains" id="{D1A139D2-900B-443B-9184-1518E9917013}">
            <xm:f>ISERROR(SEARCH("-",M48))</xm:f>
            <xm:f>"-"</xm:f>
            <x14:dxf>
              <fill>
                <patternFill>
                  <bgColor theme="0" tint="-4.9989318521683403E-2"/>
                </patternFill>
              </fill>
            </x14:dxf>
          </x14:cfRule>
          <xm:sqref>M48:N49</xm:sqref>
        </x14:conditionalFormatting>
        <x14:conditionalFormatting xmlns:xm="http://schemas.microsoft.com/office/excel/2006/main">
          <x14:cfRule type="notContainsText" priority="1157" operator="notContains" id="{060B3F3D-1845-46FD-9937-39A5F145DA37}">
            <xm:f>ISERROR(SEARCH("-",M50))</xm:f>
            <xm:f>"-"</xm:f>
            <x14:dxf>
              <fill>
                <patternFill>
                  <bgColor theme="0" tint="-4.9989318521683403E-2"/>
                </patternFill>
              </fill>
            </x14:dxf>
          </x14:cfRule>
          <xm:sqref>M284:N284 M52:M53 M50:N51</xm:sqref>
        </x14:conditionalFormatting>
        <x14:conditionalFormatting xmlns:xm="http://schemas.microsoft.com/office/excel/2006/main">
          <x14:cfRule type="expression" priority="1145" id="{1BE7A09D-5AB4-49B4-8713-3D1F4C876D89}">
            <xm:f>I183=Categories!$E$7</xm:f>
            <x14:dxf>
              <font>
                <b/>
                <i val="0"/>
              </font>
            </x14:dxf>
          </x14:cfRule>
          <xm:sqref>L183</xm:sqref>
        </x14:conditionalFormatting>
        <x14:conditionalFormatting xmlns:xm="http://schemas.microsoft.com/office/excel/2006/main">
          <x14:cfRule type="expression" priority="1139" id="{EEB89346-02DE-427D-A685-642CF6CB052F}">
            <xm:f>I181=Categories!$E$7</xm:f>
            <x14:dxf>
              <font>
                <b/>
                <i val="0"/>
              </font>
            </x14:dxf>
          </x14:cfRule>
          <xm:sqref>L181</xm:sqref>
        </x14:conditionalFormatting>
        <x14:conditionalFormatting xmlns:xm="http://schemas.microsoft.com/office/excel/2006/main">
          <x14:cfRule type="expression" priority="1133" id="{71DC4C86-634D-4C87-B044-D7A9E4EA2BD2}">
            <xm:f>I179=Categories!$E$7</xm:f>
            <x14:dxf>
              <font>
                <b/>
                <i val="0"/>
              </font>
            </x14:dxf>
          </x14:cfRule>
          <xm:sqref>L179</xm:sqref>
        </x14:conditionalFormatting>
        <x14:conditionalFormatting xmlns:xm="http://schemas.microsoft.com/office/excel/2006/main">
          <x14:cfRule type="containsText" priority="1129" operator="containsText" id="{ED564451-0176-4248-A956-7F2E919DC838}">
            <xm:f>NOT(ISERROR(SEARCH("-",G177)))</xm:f>
            <xm:f>"-"</xm:f>
            <x14:dxf>
              <fill>
                <patternFill>
                  <bgColor theme="0" tint="-4.9989318521683403E-2"/>
                </patternFill>
              </fill>
            </x14:dxf>
          </x14:cfRule>
          <xm:sqref>G177</xm:sqref>
        </x14:conditionalFormatting>
        <x14:conditionalFormatting xmlns:xm="http://schemas.microsoft.com/office/excel/2006/main">
          <x14:cfRule type="expression" priority="1127" id="{DBAD27B3-02DA-4191-A0F1-EB6C059C7981}">
            <xm:f>I177=Categories!$E$7</xm:f>
            <x14:dxf>
              <font>
                <b/>
                <i val="0"/>
              </font>
            </x14:dxf>
          </x14:cfRule>
          <xm:sqref>L177</xm:sqref>
        </x14:conditionalFormatting>
        <x14:conditionalFormatting xmlns:xm="http://schemas.microsoft.com/office/excel/2006/main">
          <x14:cfRule type="expression" priority="1121" id="{183D966D-075A-46BB-8404-8124EEAFEA03}">
            <xm:f>I178=Categories!$E$7</xm:f>
            <x14:dxf>
              <font>
                <b/>
                <i val="0"/>
              </font>
            </x14:dxf>
          </x14:cfRule>
          <xm:sqref>L178</xm:sqref>
        </x14:conditionalFormatting>
        <x14:conditionalFormatting xmlns:xm="http://schemas.microsoft.com/office/excel/2006/main">
          <x14:cfRule type="expression" priority="1115" id="{6FBB0EF9-392C-44DF-AC25-5F65E8FD0D59}">
            <xm:f>I180=Categories!$E$7</xm:f>
            <x14:dxf>
              <font>
                <b/>
                <i val="0"/>
              </font>
            </x14:dxf>
          </x14:cfRule>
          <xm:sqref>L180</xm:sqref>
        </x14:conditionalFormatting>
        <x14:conditionalFormatting xmlns:xm="http://schemas.microsoft.com/office/excel/2006/main">
          <x14:cfRule type="expression" priority="1109" id="{5E0BD41B-FDCA-4D14-935E-069B5B9250E8}">
            <xm:f>I182=Categories!$E$7</xm:f>
            <x14:dxf>
              <font>
                <b/>
                <i val="0"/>
              </font>
            </x14:dxf>
          </x14:cfRule>
          <xm:sqref>L182</xm:sqref>
        </x14:conditionalFormatting>
        <x14:conditionalFormatting xmlns:xm="http://schemas.microsoft.com/office/excel/2006/main">
          <x14:cfRule type="expression" priority="1095" id="{319B59F0-35B3-446B-95B6-7A9720BFB8C6}">
            <xm:f>I277=Categories!$E$7</xm:f>
            <x14:dxf>
              <font>
                <b/>
                <i val="0"/>
              </font>
            </x14:dxf>
          </x14:cfRule>
          <xm:sqref>L277</xm:sqref>
        </x14:conditionalFormatting>
        <x14:conditionalFormatting xmlns:xm="http://schemas.microsoft.com/office/excel/2006/main">
          <x14:cfRule type="expression" priority="1089" id="{97093B4F-BEF7-40ED-B94D-E0ABD5F157BA}">
            <xm:f>I275=Categories!$E$7</xm:f>
            <x14:dxf>
              <font>
                <b/>
                <i val="0"/>
              </font>
            </x14:dxf>
          </x14:cfRule>
          <xm:sqref>L275</xm:sqref>
        </x14:conditionalFormatting>
        <x14:conditionalFormatting xmlns:xm="http://schemas.microsoft.com/office/excel/2006/main">
          <x14:cfRule type="expression" priority="1083" id="{00F28AC0-D266-41E2-859F-0489D8178C9D}">
            <xm:f>I273=Categories!$E$7</xm:f>
            <x14:dxf>
              <font>
                <b/>
                <i val="0"/>
              </font>
            </x14:dxf>
          </x14:cfRule>
          <xm:sqref>L273</xm:sqref>
        </x14:conditionalFormatting>
        <x14:conditionalFormatting xmlns:xm="http://schemas.microsoft.com/office/excel/2006/main">
          <x14:cfRule type="expression" priority="1077" id="{B42D148E-142F-493F-9522-C0DE0F2BEB20}">
            <xm:f>I274=Categories!$E$7</xm:f>
            <x14:dxf>
              <font>
                <b/>
                <i val="0"/>
              </font>
            </x14:dxf>
          </x14:cfRule>
          <xm:sqref>L274</xm:sqref>
        </x14:conditionalFormatting>
        <x14:conditionalFormatting xmlns:xm="http://schemas.microsoft.com/office/excel/2006/main">
          <x14:cfRule type="expression" priority="1071" id="{5EA0B276-7919-4A80-9771-FFB0CFC6A399}">
            <xm:f>I276=Categories!$E$7</xm:f>
            <x14:dxf>
              <font>
                <b/>
                <i val="0"/>
              </font>
            </x14:dxf>
          </x14:cfRule>
          <xm:sqref>L276</xm:sqref>
        </x14:conditionalFormatting>
        <x14:conditionalFormatting xmlns:xm="http://schemas.microsoft.com/office/excel/2006/main">
          <x14:cfRule type="expression" priority="1065" id="{F223B964-83EE-49D4-ABB4-06C9953D1C57}">
            <xm:f>I282=Categories!$E$7</xm:f>
            <x14:dxf>
              <font>
                <b/>
                <i val="0"/>
              </font>
            </x14:dxf>
          </x14:cfRule>
          <xm:sqref>L282</xm:sqref>
        </x14:conditionalFormatting>
        <x14:conditionalFormatting xmlns:xm="http://schemas.microsoft.com/office/excel/2006/main">
          <x14:cfRule type="expression" priority="1064" id="{4A8D5D05-D47F-48E7-B621-C388040B4AE3}">
            <xm:f>I273=Categories!$E$11</xm:f>
            <x14:dxf>
              <font>
                <b/>
                <i val="0"/>
              </font>
            </x14:dxf>
          </x14:cfRule>
          <xm:sqref>O273:O277</xm:sqref>
        </x14:conditionalFormatting>
        <x14:conditionalFormatting xmlns:xm="http://schemas.microsoft.com/office/excel/2006/main">
          <x14:cfRule type="notContainsText" priority="1063" operator="notContains" id="{BF97FCFD-A6DD-45E3-9259-AAAA432EB26C}">
            <xm:f>ISERROR(SEARCH("-",M273))</xm:f>
            <xm:f>"-"</xm:f>
            <x14:dxf>
              <fill>
                <patternFill>
                  <bgColor theme="0" tint="-4.9989318521683403E-2"/>
                </patternFill>
              </fill>
            </x14:dxf>
          </x14:cfRule>
          <xm:sqref>M273:N277</xm:sqref>
        </x14:conditionalFormatting>
        <x14:conditionalFormatting xmlns:xm="http://schemas.microsoft.com/office/excel/2006/main">
          <x14:cfRule type="expression" priority="1057" id="{EB41A7EA-4E5C-4DBA-AF72-772625FEA883}">
            <xm:f>I272=Categories!$E$7</xm:f>
            <x14:dxf>
              <font>
                <b/>
                <i val="0"/>
              </font>
            </x14:dxf>
          </x14:cfRule>
          <xm:sqref>L272</xm:sqref>
        </x14:conditionalFormatting>
        <x14:conditionalFormatting xmlns:xm="http://schemas.microsoft.com/office/excel/2006/main">
          <x14:cfRule type="expression" priority="1056" id="{10FA903F-4700-498A-951F-1331EFACB768}">
            <xm:f>I272=Categories!$E$11</xm:f>
            <x14:dxf>
              <font>
                <b/>
                <i val="0"/>
              </font>
            </x14:dxf>
          </x14:cfRule>
          <xm:sqref>O272</xm:sqref>
        </x14:conditionalFormatting>
        <x14:conditionalFormatting xmlns:xm="http://schemas.microsoft.com/office/excel/2006/main">
          <x14:cfRule type="notContainsText" priority="1055" operator="notContains" id="{89AD9DAE-3F50-4ADA-9BDD-11E6B407D330}">
            <xm:f>ISERROR(SEARCH("-",M272))</xm:f>
            <xm:f>"-"</xm:f>
            <x14:dxf>
              <fill>
                <patternFill>
                  <bgColor theme="0" tint="-4.9989318521683403E-2"/>
                </patternFill>
              </fill>
            </x14:dxf>
          </x14:cfRule>
          <xm:sqref>M272:N272</xm:sqref>
        </x14:conditionalFormatting>
        <x14:conditionalFormatting xmlns:xm="http://schemas.microsoft.com/office/excel/2006/main">
          <x14:cfRule type="expression" priority="1049" id="{FEDDC8D6-ACCA-4873-9AB4-0631A5F179F6}">
            <xm:f>I279=Categories!$E$7</xm:f>
            <x14:dxf>
              <font>
                <b/>
                <i val="0"/>
              </font>
            </x14:dxf>
          </x14:cfRule>
          <xm:sqref>L279</xm:sqref>
        </x14:conditionalFormatting>
        <x14:conditionalFormatting xmlns:xm="http://schemas.microsoft.com/office/excel/2006/main">
          <x14:cfRule type="expression" priority="1043" id="{0B1083E2-39E4-4F99-BF1C-9AF373462231}">
            <xm:f>I278=Categories!$E$7</xm:f>
            <x14:dxf>
              <font>
                <b/>
                <i val="0"/>
              </font>
            </x14:dxf>
          </x14:cfRule>
          <xm:sqref>L278</xm:sqref>
        </x14:conditionalFormatting>
        <x14:conditionalFormatting xmlns:xm="http://schemas.microsoft.com/office/excel/2006/main">
          <x14:cfRule type="expression" priority="1042" id="{8EC06C0F-C549-48AD-985A-C6F698319E50}">
            <xm:f>I278=Categories!$E$11</xm:f>
            <x14:dxf>
              <font>
                <b/>
                <i val="0"/>
              </font>
            </x14:dxf>
          </x14:cfRule>
          <xm:sqref>O278:O279</xm:sqref>
        </x14:conditionalFormatting>
        <x14:conditionalFormatting xmlns:xm="http://schemas.microsoft.com/office/excel/2006/main">
          <x14:cfRule type="notContainsText" priority="1041" operator="notContains" id="{A70823AC-5141-4373-B563-79F363016D0C}">
            <xm:f>ISERROR(SEARCH("-",M278))</xm:f>
            <xm:f>"-"</xm:f>
            <x14:dxf>
              <fill>
                <patternFill>
                  <bgColor theme="0" tint="-4.9989318521683403E-2"/>
                </patternFill>
              </fill>
            </x14:dxf>
          </x14:cfRule>
          <xm:sqref>M278:N279</xm:sqref>
        </x14:conditionalFormatting>
        <x14:conditionalFormatting xmlns:xm="http://schemas.microsoft.com/office/excel/2006/main">
          <x14:cfRule type="expression" priority="1035" id="{46CCB02F-A21F-4FB6-9904-5CB982010C99}">
            <xm:f>I281=Categories!$E$7</xm:f>
            <x14:dxf>
              <font>
                <b/>
                <i val="0"/>
              </font>
            </x14:dxf>
          </x14:cfRule>
          <xm:sqref>L281</xm:sqref>
        </x14:conditionalFormatting>
        <x14:conditionalFormatting xmlns:xm="http://schemas.microsoft.com/office/excel/2006/main">
          <x14:cfRule type="expression" priority="1029" id="{C2BF8E7B-CF37-4B86-806B-705D8F72D05F}">
            <xm:f>I280=Categories!$E$7</xm:f>
            <x14:dxf>
              <font>
                <b/>
                <i val="0"/>
              </font>
            </x14:dxf>
          </x14:cfRule>
          <xm:sqref>L280</xm:sqref>
        </x14:conditionalFormatting>
        <x14:conditionalFormatting xmlns:xm="http://schemas.microsoft.com/office/excel/2006/main">
          <x14:cfRule type="expression" priority="1028" id="{55C6D8B0-C376-4854-AA18-4619DDF3E224}">
            <xm:f>I280=Categories!$E$11</xm:f>
            <x14:dxf>
              <font>
                <b/>
                <i val="0"/>
              </font>
            </x14:dxf>
          </x14:cfRule>
          <xm:sqref>O280:O281</xm:sqref>
        </x14:conditionalFormatting>
        <x14:conditionalFormatting xmlns:xm="http://schemas.microsoft.com/office/excel/2006/main">
          <x14:cfRule type="notContainsText" priority="1027" operator="notContains" id="{A8028447-89FC-49F3-BFB8-155241013A44}">
            <xm:f>ISERROR(SEARCH("-",M280))</xm:f>
            <xm:f>"-"</xm:f>
            <x14:dxf>
              <fill>
                <patternFill>
                  <bgColor theme="0" tint="-4.9989318521683403E-2"/>
                </patternFill>
              </fill>
            </x14:dxf>
          </x14:cfRule>
          <xm:sqref>M280:N281</xm:sqref>
        </x14:conditionalFormatting>
        <x14:conditionalFormatting xmlns:xm="http://schemas.microsoft.com/office/excel/2006/main">
          <x14:cfRule type="containsText" priority="842" operator="containsText" id="{41CC55C1-A14B-474C-9FD2-736F2793A1B1}">
            <xm:f>NOT(ISERROR(SEARCH("-",G129)))</xm:f>
            <xm:f>"-"</xm:f>
            <x14:dxf>
              <fill>
                <patternFill>
                  <bgColor theme="0" tint="-4.9989318521683403E-2"/>
                </patternFill>
              </fill>
            </x14:dxf>
          </x14:cfRule>
          <xm:sqref>G129</xm:sqref>
        </x14:conditionalFormatting>
        <x14:conditionalFormatting xmlns:xm="http://schemas.microsoft.com/office/excel/2006/main">
          <x14:cfRule type="containsText" priority="830" operator="containsText" id="{B524CBE5-AC37-4006-B493-84A77E57D6CA}">
            <xm:f>NOT(ISERROR(SEARCH("-",G141)))</xm:f>
            <xm:f>"-"</xm:f>
            <x14:dxf>
              <fill>
                <patternFill>
                  <bgColor theme="0" tint="-4.9989318521683403E-2"/>
                </patternFill>
              </fill>
            </x14:dxf>
          </x14:cfRule>
          <xm:sqref>G141</xm:sqref>
        </x14:conditionalFormatting>
        <x14:conditionalFormatting xmlns:xm="http://schemas.microsoft.com/office/excel/2006/main">
          <x14:cfRule type="containsText" priority="851" operator="containsText" id="{85CB44C4-1095-4006-93E8-4C1A67619D47}">
            <xm:f>NOT(ISERROR(SEARCH("-",G128)))</xm:f>
            <xm:f>"-"</xm:f>
            <x14:dxf>
              <fill>
                <patternFill>
                  <bgColor theme="0" tint="-4.9989318521683403E-2"/>
                </patternFill>
              </fill>
            </x14:dxf>
          </x14:cfRule>
          <xm:sqref>G128</xm:sqref>
        </x14:conditionalFormatting>
        <x14:conditionalFormatting xmlns:xm="http://schemas.microsoft.com/office/excel/2006/main">
          <x14:cfRule type="expression" priority="839" id="{8104DCEE-C298-4C2D-8FE4-F76BAD5965F9}">
            <xm:f>I128=Categories!$E$7</xm:f>
            <x14:dxf>
              <font>
                <b/>
                <i val="0"/>
              </font>
            </x14:dxf>
          </x14:cfRule>
          <xm:sqref>L128:L130</xm:sqref>
        </x14:conditionalFormatting>
        <x14:conditionalFormatting xmlns:xm="http://schemas.microsoft.com/office/excel/2006/main">
          <x14:cfRule type="expression" priority="838" id="{93A91E2A-3D52-470D-8C3B-DABC35F12A22}">
            <xm:f>I131=Categories!$E$7</xm:f>
            <x14:dxf>
              <font>
                <b/>
                <i val="0"/>
              </font>
            </x14:dxf>
          </x14:cfRule>
          <xm:sqref>L131:L133 L138:L140</xm:sqref>
        </x14:conditionalFormatting>
        <x14:conditionalFormatting xmlns:xm="http://schemas.microsoft.com/office/excel/2006/main">
          <x14:cfRule type="containsText" priority="835" operator="containsText" id="{0DF1B8C6-C8F9-4E59-AEBF-D4C8195A7252}">
            <xm:f>NOT(ISERROR(SEARCH("-",G140)))</xm:f>
            <xm:f>"-"</xm:f>
            <x14:dxf>
              <fill>
                <patternFill>
                  <bgColor theme="0" tint="-4.9989318521683403E-2"/>
                </patternFill>
              </fill>
            </x14:dxf>
          </x14:cfRule>
          <xm:sqref>G140</xm:sqref>
        </x14:conditionalFormatting>
        <x14:conditionalFormatting xmlns:xm="http://schemas.microsoft.com/office/excel/2006/main">
          <x14:cfRule type="expression" priority="827" id="{ACB0D109-D221-404E-8368-749284067EDE}">
            <xm:f>I142=Categories!$E$7</xm:f>
            <x14:dxf>
              <font>
                <b/>
                <i val="0"/>
              </font>
            </x14:dxf>
          </x14:cfRule>
          <xm:sqref>L142</xm:sqref>
        </x14:conditionalFormatting>
        <x14:conditionalFormatting xmlns:xm="http://schemas.microsoft.com/office/excel/2006/main">
          <x14:cfRule type="expression" priority="826" id="{16FA0459-E246-454F-B5C7-E25C04FE3D31}">
            <xm:f>I141=Categories!$E$7</xm:f>
            <x14:dxf>
              <font>
                <b/>
                <i val="0"/>
              </font>
            </x14:dxf>
          </x14:cfRule>
          <xm:sqref>L141</xm:sqref>
        </x14:conditionalFormatting>
        <x14:conditionalFormatting xmlns:xm="http://schemas.microsoft.com/office/excel/2006/main">
          <x14:cfRule type="expression" priority="825" id="{6B4C0858-0561-4C82-8A29-A9476247CF61}">
            <xm:f>I143=Categories!$E$7</xm:f>
            <x14:dxf>
              <font>
                <b/>
                <i val="0"/>
              </font>
            </x14:dxf>
          </x14:cfRule>
          <xm:sqref>L143 L148:L151</xm:sqref>
        </x14:conditionalFormatting>
        <x14:conditionalFormatting xmlns:xm="http://schemas.microsoft.com/office/excel/2006/main">
          <x14:cfRule type="expression" priority="819" id="{545030E7-DBE7-4FE0-BEB8-FD9C05CE0A4D}">
            <xm:f>I152=Categories!$E$7</xm:f>
            <x14:dxf>
              <font>
                <b/>
                <i val="0"/>
              </font>
            </x14:dxf>
          </x14:cfRule>
          <xm:sqref>L152</xm:sqref>
        </x14:conditionalFormatting>
        <x14:conditionalFormatting xmlns:xm="http://schemas.microsoft.com/office/excel/2006/main">
          <x14:cfRule type="containsText" priority="816" operator="containsText" id="{9FF117BF-FE8C-4ABA-8668-E23ED92C83C7}">
            <xm:f>NOT(ISERROR(SEARCH("-",G152)))</xm:f>
            <xm:f>"-"</xm:f>
            <x14:dxf>
              <fill>
                <patternFill>
                  <bgColor theme="0" tint="-4.9989318521683403E-2"/>
                </patternFill>
              </fill>
            </x14:dxf>
          </x14:cfRule>
          <xm:sqref>G152</xm:sqref>
        </x14:conditionalFormatting>
        <x14:conditionalFormatting xmlns:xm="http://schemas.microsoft.com/office/excel/2006/main">
          <x14:cfRule type="containsText" priority="811" operator="containsText" id="{7DD88289-3DAE-42C1-8A47-7C9ABB2487A0}">
            <xm:f>NOT(ISERROR(SEARCH("-",G153)))</xm:f>
            <xm:f>"-"</xm:f>
            <x14:dxf>
              <fill>
                <patternFill>
                  <bgColor theme="0" tint="-4.9989318521683403E-2"/>
                </patternFill>
              </fill>
            </x14:dxf>
          </x14:cfRule>
          <xm:sqref>G153</xm:sqref>
        </x14:conditionalFormatting>
        <x14:conditionalFormatting xmlns:xm="http://schemas.microsoft.com/office/excel/2006/main">
          <x14:cfRule type="expression" priority="808" id="{5DF27CF3-0714-4228-9B3A-61E70EA644B7}">
            <xm:f>I154=Categories!$E$7</xm:f>
            <x14:dxf>
              <font>
                <b/>
                <i val="0"/>
              </font>
            </x14:dxf>
          </x14:cfRule>
          <xm:sqref>L154</xm:sqref>
        </x14:conditionalFormatting>
        <x14:conditionalFormatting xmlns:xm="http://schemas.microsoft.com/office/excel/2006/main">
          <x14:cfRule type="expression" priority="807" id="{3C9084F8-1D6E-4045-8B00-36EFF8DD829F}">
            <xm:f>I153=Categories!$E$7</xm:f>
            <x14:dxf>
              <font>
                <b/>
                <i val="0"/>
              </font>
            </x14:dxf>
          </x14:cfRule>
          <xm:sqref>L153</xm:sqref>
        </x14:conditionalFormatting>
        <x14:conditionalFormatting xmlns:xm="http://schemas.microsoft.com/office/excel/2006/main">
          <x14:cfRule type="expression" priority="806" id="{F185A5BE-FF05-47AD-8048-95703DB80F30}">
            <xm:f>I155=Categories!$E$7</xm:f>
            <x14:dxf>
              <font>
                <b/>
                <i val="0"/>
              </font>
            </x14:dxf>
          </x14:cfRule>
          <xm:sqref>L155 L160:L163</xm:sqref>
        </x14:conditionalFormatting>
        <x14:conditionalFormatting xmlns:xm="http://schemas.microsoft.com/office/excel/2006/main">
          <x14:cfRule type="expression" priority="800" id="{4780A2C3-645F-423F-BC58-C91BD7206D48}">
            <xm:f>I164=Categories!$E$7</xm:f>
            <x14:dxf>
              <font>
                <b/>
                <i val="0"/>
              </font>
            </x14:dxf>
          </x14:cfRule>
          <xm:sqref>L164</xm:sqref>
        </x14:conditionalFormatting>
        <x14:conditionalFormatting xmlns:xm="http://schemas.microsoft.com/office/excel/2006/main">
          <x14:cfRule type="containsText" priority="797" operator="containsText" id="{AAF715DF-3AF1-418A-B00B-16A1CCE76718}">
            <xm:f>NOT(ISERROR(SEARCH("-",G164)))</xm:f>
            <xm:f>"-"</xm:f>
            <x14:dxf>
              <fill>
                <patternFill>
                  <bgColor theme="0" tint="-4.9989318521683403E-2"/>
                </patternFill>
              </fill>
            </x14:dxf>
          </x14:cfRule>
          <xm:sqref>G164</xm:sqref>
        </x14:conditionalFormatting>
        <x14:conditionalFormatting xmlns:xm="http://schemas.microsoft.com/office/excel/2006/main">
          <x14:cfRule type="containsText" priority="792" operator="containsText" id="{9FCC5108-D589-4129-96DF-DE232DC6AC2F}">
            <xm:f>NOT(ISERROR(SEARCH("-",G165)))</xm:f>
            <xm:f>"-"</xm:f>
            <x14:dxf>
              <fill>
                <patternFill>
                  <bgColor theme="0" tint="-4.9989318521683403E-2"/>
                </patternFill>
              </fill>
            </x14:dxf>
          </x14:cfRule>
          <xm:sqref>G165</xm:sqref>
        </x14:conditionalFormatting>
        <x14:conditionalFormatting xmlns:xm="http://schemas.microsoft.com/office/excel/2006/main">
          <x14:cfRule type="expression" priority="789" id="{BEB16842-62C1-424E-AF9D-CBFC0EE5E6AF}">
            <xm:f>I166=Categories!$E$7</xm:f>
            <x14:dxf>
              <font>
                <b/>
                <i val="0"/>
              </font>
            </x14:dxf>
          </x14:cfRule>
          <xm:sqref>L166</xm:sqref>
        </x14:conditionalFormatting>
        <x14:conditionalFormatting xmlns:xm="http://schemas.microsoft.com/office/excel/2006/main">
          <x14:cfRule type="expression" priority="788" id="{F169E485-62DD-4053-9DBC-4FAE934D1764}">
            <xm:f>I165=Categories!$E$7</xm:f>
            <x14:dxf>
              <font>
                <b/>
                <i val="0"/>
              </font>
            </x14:dxf>
          </x14:cfRule>
          <xm:sqref>L165</xm:sqref>
        </x14:conditionalFormatting>
        <x14:conditionalFormatting xmlns:xm="http://schemas.microsoft.com/office/excel/2006/main">
          <x14:cfRule type="expression" priority="787" id="{59E49A70-D271-4A2D-877A-1BF380540484}">
            <xm:f>I167=Categories!$E$7</xm:f>
            <x14:dxf>
              <font>
                <b/>
                <i val="0"/>
              </font>
            </x14:dxf>
          </x14:cfRule>
          <xm:sqref>L167 L172:L175</xm:sqref>
        </x14:conditionalFormatting>
        <x14:conditionalFormatting xmlns:xm="http://schemas.microsoft.com/office/excel/2006/main">
          <x14:cfRule type="expression" priority="782" id="{C441477A-0E4F-4D6A-A9DA-A656DBFEDABD}">
            <xm:f>I128=Categories!$E$11</xm:f>
            <x14:dxf>
              <font>
                <b/>
                <i val="0"/>
              </font>
            </x14:dxf>
          </x14:cfRule>
          <xm:sqref>O128</xm:sqref>
        </x14:conditionalFormatting>
        <x14:conditionalFormatting xmlns:xm="http://schemas.microsoft.com/office/excel/2006/main">
          <x14:cfRule type="notContainsText" priority="781" operator="notContains" id="{E46A8983-2549-4BB5-8CBD-4254DE0B5EAF}">
            <xm:f>ISERROR(SEARCH("-",M128))</xm:f>
            <xm:f>"-"</xm:f>
            <x14:dxf>
              <fill>
                <patternFill>
                  <bgColor theme="0" tint="-4.9989318521683403E-2"/>
                </patternFill>
              </fill>
            </x14:dxf>
          </x14:cfRule>
          <xm:sqref>M128:N129</xm:sqref>
        </x14:conditionalFormatting>
        <x14:conditionalFormatting xmlns:xm="http://schemas.microsoft.com/office/excel/2006/main">
          <x14:cfRule type="notContainsText" priority="780" operator="notContains" id="{7004B56F-438A-4997-9598-22E5487464FD}">
            <xm:f>ISERROR(SEARCH("-",M130))</xm:f>
            <xm:f>"-"</xm:f>
            <x14:dxf>
              <fill>
                <patternFill>
                  <bgColor theme="0" tint="-4.9989318521683403E-2"/>
                </patternFill>
              </fill>
            </x14:dxf>
          </x14:cfRule>
          <xm:sqref>M130:N131</xm:sqref>
        </x14:conditionalFormatting>
        <x14:conditionalFormatting xmlns:xm="http://schemas.microsoft.com/office/excel/2006/main">
          <x14:cfRule type="notContainsText" priority="779" operator="notContains" id="{42535A7E-CB77-4CD9-AEC5-0866B28B8F12}">
            <xm:f>ISERROR(SEARCH("-",M132))</xm:f>
            <xm:f>"-"</xm:f>
            <x14:dxf>
              <fill>
                <patternFill>
                  <bgColor theme="0" tint="-4.9989318521683403E-2"/>
                </patternFill>
              </fill>
            </x14:dxf>
          </x14:cfRule>
          <xm:sqref>M132:N133 M138:N143 M148:N155 M160:N167 M172:N175</xm:sqref>
        </x14:conditionalFormatting>
        <x14:conditionalFormatting xmlns:xm="http://schemas.microsoft.com/office/excel/2006/main">
          <x14:cfRule type="expression" priority="778" id="{0712D98F-3D1C-46B9-82DA-D23E90D95A8D}">
            <xm:f>I129=Categories!$E$11</xm:f>
            <x14:dxf>
              <font>
                <b/>
                <i val="0"/>
              </font>
            </x14:dxf>
          </x14:cfRule>
          <xm:sqref>O129</xm:sqref>
        </x14:conditionalFormatting>
        <x14:conditionalFormatting xmlns:xm="http://schemas.microsoft.com/office/excel/2006/main">
          <x14:cfRule type="expression" priority="777" id="{6CFAA65C-D57F-4BB0-AC38-3FED9A18D15A}">
            <xm:f>I130=Categories!$E$11</xm:f>
            <x14:dxf>
              <font>
                <b/>
                <i val="0"/>
              </font>
            </x14:dxf>
          </x14:cfRule>
          <xm:sqref>O130:O133 O138:O139</xm:sqref>
        </x14:conditionalFormatting>
        <x14:conditionalFormatting xmlns:xm="http://schemas.microsoft.com/office/excel/2006/main">
          <x14:cfRule type="expression" priority="767" id="{582542C7-BB1C-4F5A-8DE3-DE1991619B1E}">
            <xm:f>I136=Categories!$E$7</xm:f>
            <x14:dxf>
              <font>
                <b/>
                <i val="0"/>
              </font>
            </x14:dxf>
          </x14:cfRule>
          <xm:sqref>L136:L137</xm:sqref>
        </x14:conditionalFormatting>
        <x14:conditionalFormatting xmlns:xm="http://schemas.microsoft.com/office/excel/2006/main">
          <x14:cfRule type="notContainsText" priority="766" operator="notContains" id="{8E9D2FEB-821E-45B7-8A43-600F716BD940}">
            <xm:f>ISERROR(SEARCH("-",M136))</xm:f>
            <xm:f>"-"</xm:f>
            <x14:dxf>
              <fill>
                <patternFill>
                  <bgColor theme="0" tint="-4.9989318521683403E-2"/>
                </patternFill>
              </fill>
            </x14:dxf>
          </x14:cfRule>
          <xm:sqref>M136:N137</xm:sqref>
        </x14:conditionalFormatting>
        <x14:conditionalFormatting xmlns:xm="http://schemas.microsoft.com/office/excel/2006/main">
          <x14:cfRule type="expression" priority="765" id="{412DE43A-9B49-4298-94B7-974948C819F9}">
            <xm:f>I136=Categories!$E$11</xm:f>
            <x14:dxf>
              <font>
                <b/>
                <i val="0"/>
              </font>
            </x14:dxf>
          </x14:cfRule>
          <xm:sqref>O136:O137</xm:sqref>
        </x14:conditionalFormatting>
        <x14:conditionalFormatting xmlns:xm="http://schemas.microsoft.com/office/excel/2006/main">
          <x14:cfRule type="expression" priority="755" id="{6EB78DDF-84C3-4A6C-9909-E84063BD1378}">
            <xm:f>I134=Categories!$E$7</xm:f>
            <x14:dxf>
              <font>
                <b/>
                <i val="0"/>
              </font>
            </x14:dxf>
          </x14:cfRule>
          <xm:sqref>L134:L135</xm:sqref>
        </x14:conditionalFormatting>
        <x14:conditionalFormatting xmlns:xm="http://schemas.microsoft.com/office/excel/2006/main">
          <x14:cfRule type="notContainsText" priority="754" operator="notContains" id="{572288C8-6572-4F1D-86EF-1B929F8768F7}">
            <xm:f>ISERROR(SEARCH("-",M134))</xm:f>
            <xm:f>"-"</xm:f>
            <x14:dxf>
              <fill>
                <patternFill>
                  <bgColor theme="0" tint="-4.9989318521683403E-2"/>
                </patternFill>
              </fill>
            </x14:dxf>
          </x14:cfRule>
          <xm:sqref>M134:N135</xm:sqref>
        </x14:conditionalFormatting>
        <x14:conditionalFormatting xmlns:xm="http://schemas.microsoft.com/office/excel/2006/main">
          <x14:cfRule type="expression" priority="753" id="{8828C07F-C7D2-496D-9342-4BD338501FD5}">
            <xm:f>I134=Categories!$E$11</xm:f>
            <x14:dxf>
              <font>
                <b/>
                <i val="0"/>
              </font>
            </x14:dxf>
          </x14:cfRule>
          <xm:sqref>O134:O135</xm:sqref>
        </x14:conditionalFormatting>
        <x14:conditionalFormatting xmlns:xm="http://schemas.microsoft.com/office/excel/2006/main">
          <x14:cfRule type="expression" priority="751" id="{9D025576-2D33-4528-848C-E6105F96230E}">
            <xm:f>I146=Categories!$E$7</xm:f>
            <x14:dxf>
              <font>
                <b/>
                <i val="0"/>
              </font>
            </x14:dxf>
          </x14:cfRule>
          <xm:sqref>L146:L147</xm:sqref>
        </x14:conditionalFormatting>
        <x14:conditionalFormatting xmlns:xm="http://schemas.microsoft.com/office/excel/2006/main">
          <x14:cfRule type="notContainsText" priority="746" operator="notContains" id="{0BF4F1F5-2BC7-4B8E-8170-AFBAD77DE481}">
            <xm:f>ISERROR(SEARCH("-",M146))</xm:f>
            <xm:f>"-"</xm:f>
            <x14:dxf>
              <fill>
                <patternFill>
                  <bgColor theme="0" tint="-4.9989318521683403E-2"/>
                </patternFill>
              </fill>
            </x14:dxf>
          </x14:cfRule>
          <xm:sqref>M146:N147</xm:sqref>
        </x14:conditionalFormatting>
        <x14:conditionalFormatting xmlns:xm="http://schemas.microsoft.com/office/excel/2006/main">
          <x14:cfRule type="expression" priority="744" id="{E89BF443-8FFE-4B39-847A-726F90A12B10}">
            <xm:f>I144=Categories!$E$7</xm:f>
            <x14:dxf>
              <font>
                <b/>
                <i val="0"/>
              </font>
            </x14:dxf>
          </x14:cfRule>
          <xm:sqref>L144:L145</xm:sqref>
        </x14:conditionalFormatting>
        <x14:conditionalFormatting xmlns:xm="http://schemas.microsoft.com/office/excel/2006/main">
          <x14:cfRule type="notContainsText" priority="739" operator="notContains" id="{CC087B30-D33C-4840-84C7-C88A073ED184}">
            <xm:f>ISERROR(SEARCH("-",M144))</xm:f>
            <xm:f>"-"</xm:f>
            <x14:dxf>
              <fill>
                <patternFill>
                  <bgColor theme="0" tint="-4.9989318521683403E-2"/>
                </patternFill>
              </fill>
            </x14:dxf>
          </x14:cfRule>
          <xm:sqref>M144:N145</xm:sqref>
        </x14:conditionalFormatting>
        <x14:conditionalFormatting xmlns:xm="http://schemas.microsoft.com/office/excel/2006/main">
          <x14:cfRule type="expression" priority="737" id="{56C78D18-D107-40FC-8E2D-C556EE18A03C}">
            <xm:f>I158=Categories!$E$7</xm:f>
            <x14:dxf>
              <font>
                <b/>
                <i val="0"/>
              </font>
            </x14:dxf>
          </x14:cfRule>
          <xm:sqref>L158:L159</xm:sqref>
        </x14:conditionalFormatting>
        <x14:conditionalFormatting xmlns:xm="http://schemas.microsoft.com/office/excel/2006/main">
          <x14:cfRule type="notContainsText" priority="732" operator="notContains" id="{D5CDAE2A-84F4-4F31-B028-2F9930385736}">
            <xm:f>ISERROR(SEARCH("-",M158))</xm:f>
            <xm:f>"-"</xm:f>
            <x14:dxf>
              <fill>
                <patternFill>
                  <bgColor theme="0" tint="-4.9989318521683403E-2"/>
                </patternFill>
              </fill>
            </x14:dxf>
          </x14:cfRule>
          <xm:sqref>M158:N159</xm:sqref>
        </x14:conditionalFormatting>
        <x14:conditionalFormatting xmlns:xm="http://schemas.microsoft.com/office/excel/2006/main">
          <x14:cfRule type="expression" priority="730" id="{D20AE3F7-00E8-4436-8910-020962BEFCB6}">
            <xm:f>I156=Categories!$E$7</xm:f>
            <x14:dxf>
              <font>
                <b/>
                <i val="0"/>
              </font>
            </x14:dxf>
          </x14:cfRule>
          <xm:sqref>L156:L157</xm:sqref>
        </x14:conditionalFormatting>
        <x14:conditionalFormatting xmlns:xm="http://schemas.microsoft.com/office/excel/2006/main">
          <x14:cfRule type="notContainsText" priority="725" operator="notContains" id="{1C34EA8D-6161-4083-B351-CBC986677515}">
            <xm:f>ISERROR(SEARCH("-",M156))</xm:f>
            <xm:f>"-"</xm:f>
            <x14:dxf>
              <fill>
                <patternFill>
                  <bgColor theme="0" tint="-4.9989318521683403E-2"/>
                </patternFill>
              </fill>
            </x14:dxf>
          </x14:cfRule>
          <xm:sqref>M156:N157</xm:sqref>
        </x14:conditionalFormatting>
        <x14:conditionalFormatting xmlns:xm="http://schemas.microsoft.com/office/excel/2006/main">
          <x14:cfRule type="expression" priority="723" id="{365111B4-787B-4A32-B8C7-4C7B70A40264}">
            <xm:f>I170=Categories!$E$7</xm:f>
            <x14:dxf>
              <font>
                <b/>
                <i val="0"/>
              </font>
            </x14:dxf>
          </x14:cfRule>
          <xm:sqref>L170:L171</xm:sqref>
        </x14:conditionalFormatting>
        <x14:conditionalFormatting xmlns:xm="http://schemas.microsoft.com/office/excel/2006/main">
          <x14:cfRule type="notContainsText" priority="718" operator="notContains" id="{22F4B3A8-2A12-4C26-849F-A61FBE521C40}">
            <xm:f>ISERROR(SEARCH("-",M170))</xm:f>
            <xm:f>"-"</xm:f>
            <x14:dxf>
              <fill>
                <patternFill>
                  <bgColor theme="0" tint="-4.9989318521683403E-2"/>
                </patternFill>
              </fill>
            </x14:dxf>
          </x14:cfRule>
          <xm:sqref>M170:N171</xm:sqref>
        </x14:conditionalFormatting>
        <x14:conditionalFormatting xmlns:xm="http://schemas.microsoft.com/office/excel/2006/main">
          <x14:cfRule type="expression" priority="716" id="{77D461E3-4C6F-47C3-BC3A-FA9153C260CE}">
            <xm:f>I168=Categories!$E$7</xm:f>
            <x14:dxf>
              <font>
                <b/>
                <i val="0"/>
              </font>
            </x14:dxf>
          </x14:cfRule>
          <xm:sqref>L168:L169</xm:sqref>
        </x14:conditionalFormatting>
        <x14:conditionalFormatting xmlns:xm="http://schemas.microsoft.com/office/excel/2006/main">
          <x14:cfRule type="notContainsText" priority="711" operator="notContains" id="{E94E0EBC-F06F-4FBA-85B6-22CB53A5A118}">
            <xm:f>ISERROR(SEARCH("-",M168))</xm:f>
            <xm:f>"-"</xm:f>
            <x14:dxf>
              <fill>
                <patternFill>
                  <bgColor theme="0" tint="-4.9989318521683403E-2"/>
                </patternFill>
              </fill>
            </x14:dxf>
          </x14:cfRule>
          <xm:sqref>M168:N169</xm:sqref>
        </x14:conditionalFormatting>
        <x14:conditionalFormatting xmlns:xm="http://schemas.microsoft.com/office/excel/2006/main">
          <x14:cfRule type="expression" priority="710" id="{328AACD2-8C63-41C2-AA7E-71D27238838E}">
            <xm:f>I140=Categories!$E$11</xm:f>
            <x14:dxf>
              <font>
                <b/>
                <i val="0"/>
              </font>
            </x14:dxf>
          </x14:cfRule>
          <xm:sqref>O140:O175</xm:sqref>
        </x14:conditionalFormatting>
        <x14:conditionalFormatting xmlns:xm="http://schemas.microsoft.com/office/excel/2006/main">
          <x14:cfRule type="containsText" priority="700" operator="containsText" id="{D7235D5B-654F-45C1-9166-314A1D2542C9}">
            <xm:f>NOT(ISERROR(SEARCH("-",G80)))</xm:f>
            <xm:f>"-"</xm:f>
            <x14:dxf>
              <fill>
                <patternFill>
                  <bgColor theme="0" tint="-4.9989318521683403E-2"/>
                </patternFill>
              </fill>
            </x14:dxf>
          </x14:cfRule>
          <xm:sqref>G80</xm:sqref>
        </x14:conditionalFormatting>
        <x14:conditionalFormatting xmlns:xm="http://schemas.microsoft.com/office/excel/2006/main">
          <x14:cfRule type="expression" priority="698" id="{6FA5BCA4-3D96-44F5-8349-B2A466BC3971}">
            <xm:f>I80=Categories!$E$7</xm:f>
            <x14:dxf>
              <font>
                <b/>
                <i val="0"/>
              </font>
            </x14:dxf>
          </x14:cfRule>
          <xm:sqref>L80</xm:sqref>
        </x14:conditionalFormatting>
        <x14:conditionalFormatting xmlns:xm="http://schemas.microsoft.com/office/excel/2006/main">
          <x14:cfRule type="containsText" priority="694" operator="containsText" id="{35AEA26C-DB3D-4A63-91FC-FA9084C8D6E3}">
            <xm:f>NOT(ISERROR(SEARCH("-",G112)))</xm:f>
            <xm:f>"-"</xm:f>
            <x14:dxf>
              <fill>
                <patternFill>
                  <bgColor theme="0" tint="-4.9989318521683403E-2"/>
                </patternFill>
              </fill>
            </x14:dxf>
          </x14:cfRule>
          <xm:sqref>G112</xm:sqref>
        </x14:conditionalFormatting>
        <x14:conditionalFormatting xmlns:xm="http://schemas.microsoft.com/office/excel/2006/main">
          <x14:cfRule type="expression" priority="692" id="{E4CDE3F7-EFD4-4826-A4F1-ED556DA3F494}">
            <xm:f>I112=Categories!$E$7</xm:f>
            <x14:dxf>
              <font>
                <b/>
                <i val="0"/>
              </font>
            </x14:dxf>
          </x14:cfRule>
          <xm:sqref>L112</xm:sqref>
        </x14:conditionalFormatting>
        <x14:conditionalFormatting xmlns:xm="http://schemas.microsoft.com/office/excel/2006/main">
          <x14:cfRule type="expression" priority="690" id="{9518A415-745E-4D46-ADB3-9359FE5DC5BD}">
            <xm:f>I112=Categories!$E$11</xm:f>
            <x14:dxf>
              <font>
                <b/>
                <i val="0"/>
              </font>
            </x14:dxf>
          </x14:cfRule>
          <xm:sqref>O112</xm:sqref>
        </x14:conditionalFormatting>
        <x14:conditionalFormatting xmlns:xm="http://schemas.microsoft.com/office/excel/2006/main">
          <x14:cfRule type="notContainsText" priority="689" operator="notContains" id="{40D130B6-AB5F-4DEE-9267-8ACCFF076B7D}">
            <xm:f>ISERROR(SEARCH("-",M80))</xm:f>
            <xm:f>"-"</xm:f>
            <x14:dxf>
              <fill>
                <patternFill>
                  <bgColor theme="0" tint="-4.9989318521683403E-2"/>
                </patternFill>
              </fill>
            </x14:dxf>
          </x14:cfRule>
          <xm:sqref>M80:N80</xm:sqref>
        </x14:conditionalFormatting>
        <x14:conditionalFormatting xmlns:xm="http://schemas.microsoft.com/office/excel/2006/main">
          <x14:cfRule type="containsText" priority="668" operator="containsText" id="{ADAA6408-6AE2-4543-89E6-3704849F9E76}">
            <xm:f>NOT(ISERROR(SEARCH("-",G82)))</xm:f>
            <xm:f>"-"</xm:f>
            <x14:dxf>
              <fill>
                <patternFill>
                  <bgColor theme="0" tint="-4.9989318521683403E-2"/>
                </patternFill>
              </fill>
            </x14:dxf>
          </x14:cfRule>
          <xm:sqref>G82:G87</xm:sqref>
        </x14:conditionalFormatting>
        <x14:conditionalFormatting xmlns:xm="http://schemas.microsoft.com/office/excel/2006/main">
          <x14:cfRule type="expression" priority="666" id="{0ED68E19-0A70-40B7-AA3F-807E917EF425}">
            <xm:f>I80=Categories!$E$11</xm:f>
            <x14:dxf>
              <font>
                <b/>
                <i val="0"/>
              </font>
            </x14:dxf>
          </x14:cfRule>
          <xm:sqref>O80</xm:sqref>
        </x14:conditionalFormatting>
        <x14:conditionalFormatting xmlns:xm="http://schemas.microsoft.com/office/excel/2006/main">
          <x14:cfRule type="containsText" priority="663" operator="containsText" id="{570CEB5C-5BE8-417F-B48D-A5D1CE4ECDEB}">
            <xm:f>NOT(ISERROR(SEARCH("-",G90)))</xm:f>
            <xm:f>"-"</xm:f>
            <x14:dxf>
              <fill>
                <patternFill>
                  <bgColor theme="0" tint="-4.9989318521683403E-2"/>
                </patternFill>
              </fill>
            </x14:dxf>
          </x14:cfRule>
          <xm:sqref>G90:G95</xm:sqref>
        </x14:conditionalFormatting>
        <x14:conditionalFormatting xmlns:xm="http://schemas.microsoft.com/office/excel/2006/main">
          <x14:cfRule type="containsText" priority="659" operator="containsText" id="{2982C816-AB4A-4BD6-A5C0-7320B0653E70}">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655" operator="containsText" id="{7A496A67-EAD2-4C9D-88C1-84F28AC9379E}">
            <xm:f>NOT(ISERROR(SEARCH("-",G106)))</xm:f>
            <xm:f>"-"</xm:f>
            <x14:dxf>
              <fill>
                <patternFill>
                  <bgColor theme="0" tint="-4.9989318521683403E-2"/>
                </patternFill>
              </fill>
            </x14:dxf>
          </x14:cfRule>
          <xm:sqref>G106:G112</xm:sqref>
        </x14:conditionalFormatting>
        <x14:conditionalFormatting xmlns:xm="http://schemas.microsoft.com/office/excel/2006/main">
          <x14:cfRule type="containsText" priority="651" operator="containsText" id="{99D3CC32-FC86-4EFC-B08F-24DE359F5060}">
            <xm:f>NOT(ISERROR(SEARCH("-",G48)))</xm:f>
            <xm:f>"-"</xm:f>
            <x14:dxf>
              <fill>
                <patternFill>
                  <bgColor theme="0" tint="-4.9989318521683403E-2"/>
                </patternFill>
              </fill>
            </x14:dxf>
          </x14:cfRule>
          <xm:sqref>G48:G53</xm:sqref>
        </x14:conditionalFormatting>
        <x14:conditionalFormatting xmlns:xm="http://schemas.microsoft.com/office/excel/2006/main">
          <x14:cfRule type="containsText" priority="647" operator="containsText" id="{43E440B3-53E8-4C12-8404-3BD3F0725588}">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643" operator="containsText" id="{1B6C54E4-5C4E-4DC7-BC21-4E9C4F23195C}">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639" operator="containsText" id="{E3738A2D-75FF-420C-ACEF-9403CED557FC}">
            <xm:f>NOT(ISERROR(SEARCH("-",G72)))</xm:f>
            <xm:f>"-"</xm:f>
            <x14:dxf>
              <fill>
                <patternFill>
                  <bgColor theme="0" tint="-4.9989318521683403E-2"/>
                </patternFill>
              </fill>
            </x14:dxf>
          </x14:cfRule>
          <xm:sqref>G72:G77</xm:sqref>
        </x14:conditionalFormatting>
        <x14:conditionalFormatting xmlns:xm="http://schemas.microsoft.com/office/excel/2006/main">
          <x14:cfRule type="containsText" priority="635" operator="containsText" id="{E484BE68-FFBC-4440-9A62-F4F826C63976}">
            <xm:f>NOT(ISERROR(SEARCH("-",G272)))</xm:f>
            <xm:f>"-"</xm:f>
            <x14:dxf>
              <fill>
                <patternFill>
                  <bgColor theme="0" tint="-4.9989318521683403E-2"/>
                </patternFill>
              </fill>
            </x14:dxf>
          </x14:cfRule>
          <xm:sqref>G272</xm:sqref>
        </x14:conditionalFormatting>
        <x14:conditionalFormatting xmlns:xm="http://schemas.microsoft.com/office/excel/2006/main">
          <x14:cfRule type="expression" priority="629" id="{80A7B110-7A96-43E9-972F-CB241F23EE6F}">
            <xm:f>I4=Categories!$E$16</xm:f>
            <x14:dxf>
              <font>
                <b/>
                <i val="0"/>
              </font>
            </x14:dxf>
          </x14:cfRule>
          <xm:sqref>K4:K112 K128:K183 K185:K220 K272:K284</xm:sqref>
        </x14:conditionalFormatting>
        <x14:conditionalFormatting xmlns:xm="http://schemas.microsoft.com/office/excel/2006/main">
          <x14:cfRule type="expression" priority="626" id="{6A1C322E-771D-41A7-8524-B2F8375A2EB5}">
            <xm:f>I78=Categories!$E$7</xm:f>
            <x14:dxf>
              <font>
                <b/>
                <i val="0"/>
              </font>
            </x14:dxf>
          </x14:cfRule>
          <xm:sqref>L78</xm:sqref>
        </x14:conditionalFormatting>
        <x14:conditionalFormatting xmlns:xm="http://schemas.microsoft.com/office/excel/2006/main">
          <x14:cfRule type="containsText" priority="617" operator="containsText" id="{7C1B725A-637D-460A-A7D8-1334B7564DAA}">
            <xm:f>NOT(ISERROR(SEARCH("-",G12)))</xm:f>
            <xm:f>"-"</xm:f>
            <x14:dxf>
              <fill>
                <patternFill>
                  <bgColor theme="0" tint="-4.9989318521683403E-2"/>
                </patternFill>
              </fill>
            </x14:dxf>
          </x14:cfRule>
          <xm:sqref>G12</xm:sqref>
        </x14:conditionalFormatting>
        <x14:conditionalFormatting xmlns:xm="http://schemas.microsoft.com/office/excel/2006/main">
          <x14:cfRule type="containsText" priority="612" operator="containsText" id="{346E69AF-ED1B-40DC-950F-1A4A43BEE46F}">
            <xm:f>NOT(ISERROR(SEARCH("-",G13)))</xm:f>
            <xm:f>"-"</xm:f>
            <x14:dxf>
              <fill>
                <patternFill>
                  <bgColor theme="0" tint="-4.9989318521683403E-2"/>
                </patternFill>
              </fill>
            </x14:dxf>
          </x14:cfRule>
          <xm:sqref>G13</xm:sqref>
        </x14:conditionalFormatting>
        <x14:conditionalFormatting xmlns:xm="http://schemas.microsoft.com/office/excel/2006/main">
          <x14:cfRule type="expression" priority="609" id="{DE849E15-617B-4A03-9656-8C6524EF4EB7}">
            <xm:f>I12=Categories!$E$7</xm:f>
            <x14:dxf>
              <font>
                <b/>
                <i val="0"/>
              </font>
            </x14:dxf>
          </x14:cfRule>
          <xm:sqref>L12:L14</xm:sqref>
        </x14:conditionalFormatting>
        <x14:conditionalFormatting xmlns:xm="http://schemas.microsoft.com/office/excel/2006/main">
          <x14:cfRule type="expression" priority="608" id="{EAEAA302-692B-4423-8803-4A2434CDB0A7}">
            <xm:f>I15=Categories!$E$7</xm:f>
            <x14:dxf>
              <font>
                <b/>
                <i val="0"/>
              </font>
            </x14:dxf>
          </x14:cfRule>
          <xm:sqref>L15:L20</xm:sqref>
        </x14:conditionalFormatting>
        <x14:conditionalFormatting xmlns:xm="http://schemas.microsoft.com/office/excel/2006/main">
          <x14:cfRule type="containsText" priority="605" operator="containsText" id="{2448619F-8A6B-440B-B1C8-C8D54CA625B3}">
            <xm:f>NOT(ISERROR(SEARCH("-",G20)))</xm:f>
            <xm:f>"-"</xm:f>
            <x14:dxf>
              <fill>
                <patternFill>
                  <bgColor theme="0" tint="-4.9989318521683403E-2"/>
                </patternFill>
              </fill>
            </x14:dxf>
          </x14:cfRule>
          <xm:sqref>G20</xm:sqref>
        </x14:conditionalFormatting>
        <x14:conditionalFormatting xmlns:xm="http://schemas.microsoft.com/office/excel/2006/main">
          <x14:cfRule type="containsText" priority="600" operator="containsText" id="{5184B3CE-3831-4A2C-8775-0DFD09014E75}">
            <xm:f>NOT(ISERROR(SEARCH("-",G21)))</xm:f>
            <xm:f>"-"</xm:f>
            <x14:dxf>
              <fill>
                <patternFill>
                  <bgColor theme="0" tint="-4.9989318521683403E-2"/>
                </patternFill>
              </fill>
            </x14:dxf>
          </x14:cfRule>
          <xm:sqref>G21</xm:sqref>
        </x14:conditionalFormatting>
        <x14:conditionalFormatting xmlns:xm="http://schemas.microsoft.com/office/excel/2006/main">
          <x14:cfRule type="expression" priority="597" id="{00984448-00F7-4B27-BEF9-7E2998F979F6}">
            <xm:f>I22=Categories!$E$7</xm:f>
            <x14:dxf>
              <font>
                <b/>
                <i val="0"/>
              </font>
            </x14:dxf>
          </x14:cfRule>
          <xm:sqref>L22</xm:sqref>
        </x14:conditionalFormatting>
        <x14:conditionalFormatting xmlns:xm="http://schemas.microsoft.com/office/excel/2006/main">
          <x14:cfRule type="expression" priority="596" id="{BCF83D1F-4C39-4B04-BDAF-464FF32C566E}">
            <xm:f>I21=Categories!$E$7</xm:f>
            <x14:dxf>
              <font>
                <b/>
                <i val="0"/>
              </font>
            </x14:dxf>
          </x14:cfRule>
          <xm:sqref>L21</xm:sqref>
        </x14:conditionalFormatting>
        <x14:conditionalFormatting xmlns:xm="http://schemas.microsoft.com/office/excel/2006/main">
          <x14:cfRule type="expression" priority="595" id="{EDCB2D95-5162-4371-ABB7-FF80047ADEBD}">
            <xm:f>I23=Categories!$E$7</xm:f>
            <x14:dxf>
              <font>
                <b/>
                <i val="0"/>
              </font>
            </x14:dxf>
          </x14:cfRule>
          <xm:sqref>L23:L27</xm:sqref>
        </x14:conditionalFormatting>
        <x14:conditionalFormatting xmlns:xm="http://schemas.microsoft.com/office/excel/2006/main">
          <x14:cfRule type="expression" priority="593" id="{480CAAEA-5939-40B6-A429-F93BB515C276}">
            <xm:f>I28=Categories!$E$7</xm:f>
            <x14:dxf>
              <font>
                <b/>
                <i val="0"/>
              </font>
            </x14:dxf>
          </x14:cfRule>
          <xm:sqref>L28</xm:sqref>
        </x14:conditionalFormatting>
        <x14:conditionalFormatting xmlns:xm="http://schemas.microsoft.com/office/excel/2006/main">
          <x14:cfRule type="containsText" priority="590" operator="containsText" id="{10D7BF1D-432B-4514-8551-A168B7B79ECE}">
            <xm:f>NOT(ISERROR(SEARCH("-",G28)))</xm:f>
            <xm:f>"-"</xm:f>
            <x14:dxf>
              <fill>
                <patternFill>
                  <bgColor theme="0" tint="-4.9989318521683403E-2"/>
                </patternFill>
              </fill>
            </x14:dxf>
          </x14:cfRule>
          <xm:sqref>G28</xm:sqref>
        </x14:conditionalFormatting>
        <x14:conditionalFormatting xmlns:xm="http://schemas.microsoft.com/office/excel/2006/main">
          <x14:cfRule type="containsText" priority="585" operator="containsText" id="{D2231298-0F02-4B5B-BE4C-5C5E1B98F24D}">
            <xm:f>NOT(ISERROR(SEARCH("-",G29)))</xm:f>
            <xm:f>"-"</xm:f>
            <x14:dxf>
              <fill>
                <patternFill>
                  <bgColor theme="0" tint="-4.9989318521683403E-2"/>
                </patternFill>
              </fill>
            </x14:dxf>
          </x14:cfRule>
          <xm:sqref>G29:G35</xm:sqref>
        </x14:conditionalFormatting>
        <x14:conditionalFormatting xmlns:xm="http://schemas.microsoft.com/office/excel/2006/main">
          <x14:cfRule type="expression" priority="582" id="{B3AFD289-11DF-4A3B-ABB3-946D94B70DA4}">
            <xm:f>I30=Categories!$E$7</xm:f>
            <x14:dxf>
              <font>
                <b/>
                <i val="0"/>
              </font>
            </x14:dxf>
          </x14:cfRule>
          <xm:sqref>L30</xm:sqref>
        </x14:conditionalFormatting>
        <x14:conditionalFormatting xmlns:xm="http://schemas.microsoft.com/office/excel/2006/main">
          <x14:cfRule type="expression" priority="581" id="{30E87C2D-F512-423C-9B8F-E803917D127B}">
            <xm:f>I29=Categories!$E$7</xm:f>
            <x14:dxf>
              <font>
                <b/>
                <i val="0"/>
              </font>
            </x14:dxf>
          </x14:cfRule>
          <xm:sqref>L29</xm:sqref>
        </x14:conditionalFormatting>
        <x14:conditionalFormatting xmlns:xm="http://schemas.microsoft.com/office/excel/2006/main">
          <x14:cfRule type="expression" priority="580" id="{A6332FAA-A5E1-4EF7-BC12-D6EE9BBB01F8}">
            <xm:f>I31=Categories!$E$7</xm:f>
            <x14:dxf>
              <font>
                <b/>
                <i val="0"/>
              </font>
            </x14:dxf>
          </x14:cfRule>
          <xm:sqref>L31:L35</xm:sqref>
        </x14:conditionalFormatting>
        <x14:conditionalFormatting xmlns:xm="http://schemas.microsoft.com/office/excel/2006/main">
          <x14:cfRule type="expression" priority="578" id="{DAFD5593-F06D-4CDB-8591-F0488ECD71E3}">
            <xm:f>I36=Categories!$E$7</xm:f>
            <x14:dxf>
              <font>
                <b/>
                <i val="0"/>
              </font>
            </x14:dxf>
          </x14:cfRule>
          <xm:sqref>L36</xm:sqref>
        </x14:conditionalFormatting>
        <x14:conditionalFormatting xmlns:xm="http://schemas.microsoft.com/office/excel/2006/main">
          <x14:cfRule type="containsText" priority="575" operator="containsText" id="{F5E7CA08-BEC2-4EBF-8985-EC227A7369E8}">
            <xm:f>NOT(ISERROR(SEARCH("-",G36)))</xm:f>
            <xm:f>"-"</xm:f>
            <x14:dxf>
              <fill>
                <patternFill>
                  <bgColor theme="0" tint="-4.9989318521683403E-2"/>
                </patternFill>
              </fill>
            </x14:dxf>
          </x14:cfRule>
          <xm:sqref>G36</xm:sqref>
        </x14:conditionalFormatting>
        <x14:conditionalFormatting xmlns:xm="http://schemas.microsoft.com/office/excel/2006/main">
          <x14:cfRule type="containsText" priority="570" operator="containsText" id="{9C5EF125-FA7F-414B-9106-ECAF57FBA884}">
            <xm:f>NOT(ISERROR(SEARCH("-",G37)))</xm:f>
            <xm:f>"-"</xm:f>
            <x14:dxf>
              <fill>
                <patternFill>
                  <bgColor theme="0" tint="-4.9989318521683403E-2"/>
                </patternFill>
              </fill>
            </x14:dxf>
          </x14:cfRule>
          <xm:sqref>G37:G43</xm:sqref>
        </x14:conditionalFormatting>
        <x14:conditionalFormatting xmlns:xm="http://schemas.microsoft.com/office/excel/2006/main">
          <x14:cfRule type="expression" priority="567" id="{BFD5838A-815F-41C8-88A9-0C236EA6EE82}">
            <xm:f>I38=Categories!$E$7</xm:f>
            <x14:dxf>
              <font>
                <b/>
                <i val="0"/>
              </font>
            </x14:dxf>
          </x14:cfRule>
          <xm:sqref>L38</xm:sqref>
        </x14:conditionalFormatting>
        <x14:conditionalFormatting xmlns:xm="http://schemas.microsoft.com/office/excel/2006/main">
          <x14:cfRule type="expression" priority="566" id="{72F61557-D37D-42B4-8A22-D4371F009A9F}">
            <xm:f>I37=Categories!$E$7</xm:f>
            <x14:dxf>
              <font>
                <b/>
                <i val="0"/>
              </font>
            </x14:dxf>
          </x14:cfRule>
          <xm:sqref>L37</xm:sqref>
        </x14:conditionalFormatting>
        <x14:conditionalFormatting xmlns:xm="http://schemas.microsoft.com/office/excel/2006/main">
          <x14:cfRule type="expression" priority="558" id="{5ED4A99A-EC6E-4C21-842F-C998C4E7A4C8}">
            <xm:f>I12=Categories!$E$11</xm:f>
            <x14:dxf>
              <font>
                <b/>
                <i val="0"/>
              </font>
            </x14:dxf>
          </x14:cfRule>
          <xm:sqref>O12</xm:sqref>
        </x14:conditionalFormatting>
        <x14:conditionalFormatting xmlns:xm="http://schemas.microsoft.com/office/excel/2006/main">
          <x14:cfRule type="notContainsText" priority="554" operator="notContains" id="{5619E94A-FC8C-4E04-BA66-E1405906075C}">
            <xm:f>ISERROR(SEARCH("-",M12))</xm:f>
            <xm:f>"-"</xm:f>
            <x14:dxf>
              <fill>
                <patternFill>
                  <bgColor theme="0" tint="-4.9989318521683403E-2"/>
                </patternFill>
              </fill>
            </x14:dxf>
          </x14:cfRule>
          <xm:sqref>M12:M13</xm:sqref>
        </x14:conditionalFormatting>
        <x14:conditionalFormatting xmlns:xm="http://schemas.microsoft.com/office/excel/2006/main">
          <x14:cfRule type="notContainsText" priority="553" operator="notContains" id="{9B17DB82-1861-4698-854F-A3D1595F9B70}">
            <xm:f>ISERROR(SEARCH("-",M14))</xm:f>
            <xm:f>"-"</xm:f>
            <x14:dxf>
              <fill>
                <patternFill>
                  <bgColor theme="0" tint="-4.9989318521683403E-2"/>
                </patternFill>
              </fill>
            </x14:dxf>
          </x14:cfRule>
          <xm:sqref>M14:N15</xm:sqref>
        </x14:conditionalFormatting>
        <x14:conditionalFormatting xmlns:xm="http://schemas.microsoft.com/office/excel/2006/main">
          <x14:cfRule type="notContainsText" priority="551" operator="notContains" id="{8ACDC0D4-2E1B-48FC-B27D-D91378E97E45}">
            <xm:f>ISERROR(SEARCH("-",M16))</xm:f>
            <xm:f>"-"</xm:f>
            <x14:dxf>
              <fill>
                <patternFill>
                  <bgColor theme="0" tint="-4.9989318521683403E-2"/>
                </patternFill>
              </fill>
            </x14:dxf>
          </x14:cfRule>
          <xm:sqref>M16:N19</xm:sqref>
        </x14:conditionalFormatting>
        <x14:conditionalFormatting xmlns:xm="http://schemas.microsoft.com/office/excel/2006/main">
          <x14:cfRule type="containsText" priority="548" operator="containsText" id="{A70479C0-CF55-4709-A2DF-28D6AC0D8DE9}">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544" operator="containsText" id="{71BBD32D-E00E-4AC3-A012-1A571A09DBAE}">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540" operator="containsText" id="{CEBEE699-4EE3-44B7-BBD8-706800BC434D}">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536" operator="containsText" id="{42C1F97B-9A09-4632-A702-7AFECCEA247E}">
            <xm:f>NOT(ISERROR(SEARCH("-",G38)))</xm:f>
            <xm:f>"-"</xm:f>
            <x14:dxf>
              <fill>
                <patternFill>
                  <bgColor theme="0" tint="-4.9989318521683403E-2"/>
                </patternFill>
              </fill>
            </x14:dxf>
          </x14:cfRule>
          <xm:sqref>G38:G44</xm:sqref>
        </x14:conditionalFormatting>
        <x14:conditionalFormatting xmlns:xm="http://schemas.microsoft.com/office/excel/2006/main">
          <x14:cfRule type="containsText" priority="517" operator="containsText" id="{9E0E623D-1E85-41F6-AEB0-0CC7A078548C}">
            <xm:f>NOT(ISERROR(SEARCH("-",Q4)))</xm:f>
            <xm:f>"-"</xm:f>
            <x14:dxf>
              <fill>
                <patternFill>
                  <bgColor theme="0"/>
                </patternFill>
              </fill>
            </x14:dxf>
          </x14:cfRule>
          <x14:cfRule type="notContainsText" priority="518" operator="notContains" id="{DA9101E1-13DE-4FBA-B4DB-A52A225E9173}">
            <xm:f>ISERROR(SEARCH("-",Q4))</xm:f>
            <xm:f>"-"</xm:f>
            <x14:dxf>
              <fill>
                <patternFill>
                  <bgColor theme="0" tint="-4.9989318521683403E-2"/>
                </patternFill>
              </fill>
            </x14:dxf>
          </x14:cfRule>
          <xm:sqref>Q4:Q112 Q128:Q183 Q185:Q220 Q272:Q284</xm:sqref>
        </x14:conditionalFormatting>
        <x14:conditionalFormatting xmlns:xm="http://schemas.microsoft.com/office/excel/2006/main">
          <x14:cfRule type="expression" priority="436" id="{25EE2EDF-1204-44DB-891E-372FF778AD42}">
            <xm:f>I78=Categories!$E$11</xm:f>
            <x14:dxf>
              <font>
                <b/>
                <i val="0"/>
              </font>
            </x14:dxf>
          </x14:cfRule>
          <xm:sqref>O78</xm:sqref>
        </x14:conditionalFormatting>
        <x14:conditionalFormatting xmlns:xm="http://schemas.microsoft.com/office/excel/2006/main">
          <x14:cfRule type="notContainsText" priority="509" operator="notContains" id="{86F80D3B-F3FA-446F-A988-DF1BE4CC43D2}">
            <xm:f>ISERROR(SEARCH("-",N12))</xm:f>
            <xm:f>"-"</xm:f>
            <x14:dxf>
              <fill>
                <patternFill>
                  <bgColor theme="0" tint="-4.9989318521683403E-2"/>
                </patternFill>
              </fill>
            </x14:dxf>
          </x14:cfRule>
          <xm:sqref>N12</xm:sqref>
        </x14:conditionalFormatting>
        <x14:conditionalFormatting xmlns:xm="http://schemas.microsoft.com/office/excel/2006/main">
          <x14:cfRule type="notContainsText" priority="508" operator="notContains" id="{7D71C289-90C3-456A-BD06-16CB0D291A05}">
            <xm:f>ISERROR(SEARCH("-",N13))</xm:f>
            <xm:f>"-"</xm:f>
            <x14:dxf>
              <fill>
                <patternFill>
                  <bgColor theme="0" tint="-4.9989318521683403E-2"/>
                </patternFill>
              </fill>
            </x14:dxf>
          </x14:cfRule>
          <xm:sqref>N13</xm:sqref>
        </x14:conditionalFormatting>
        <x14:conditionalFormatting xmlns:xm="http://schemas.microsoft.com/office/excel/2006/main">
          <x14:cfRule type="notContainsText" priority="507" operator="notContains" id="{ABF5F2C1-7439-43C5-8A28-7D31B90CD4F6}">
            <xm:f>ISERROR(SEARCH("-",N22))</xm:f>
            <xm:f>"-"</xm:f>
            <x14:dxf>
              <fill>
                <patternFill>
                  <bgColor theme="0" tint="-4.9989318521683403E-2"/>
                </patternFill>
              </fill>
            </x14:dxf>
          </x14:cfRule>
          <xm:sqref>N22:N23</xm:sqref>
        </x14:conditionalFormatting>
        <x14:conditionalFormatting xmlns:xm="http://schemas.microsoft.com/office/excel/2006/main">
          <x14:cfRule type="notContainsText" priority="506" operator="notContains" id="{971E1760-6FD0-4A81-9B24-C934AE9BC5BA}">
            <xm:f>ISERROR(SEARCH("-",N24))</xm:f>
            <xm:f>"-"</xm:f>
            <x14:dxf>
              <fill>
                <patternFill>
                  <bgColor theme="0" tint="-4.9989318521683403E-2"/>
                </patternFill>
              </fill>
            </x14:dxf>
          </x14:cfRule>
          <xm:sqref>N24:N27</xm:sqref>
        </x14:conditionalFormatting>
        <x14:conditionalFormatting xmlns:xm="http://schemas.microsoft.com/office/excel/2006/main">
          <x14:cfRule type="notContainsText" priority="505" operator="notContains" id="{F921446E-D610-4426-B324-94050C83BBEC}">
            <xm:f>ISERROR(SEARCH("-",N20))</xm:f>
            <xm:f>"-"</xm:f>
            <x14:dxf>
              <fill>
                <patternFill>
                  <bgColor theme="0" tint="-4.9989318521683403E-2"/>
                </patternFill>
              </fill>
            </x14:dxf>
          </x14:cfRule>
          <xm:sqref>N20</xm:sqref>
        </x14:conditionalFormatting>
        <x14:conditionalFormatting xmlns:xm="http://schemas.microsoft.com/office/excel/2006/main">
          <x14:cfRule type="notContainsText" priority="504" operator="notContains" id="{F903C857-B02F-4E79-B67B-F51104F9DD65}">
            <xm:f>ISERROR(SEARCH("-",N21))</xm:f>
            <xm:f>"-"</xm:f>
            <x14:dxf>
              <fill>
                <patternFill>
                  <bgColor theme="0" tint="-4.9989318521683403E-2"/>
                </patternFill>
              </fill>
            </x14:dxf>
          </x14:cfRule>
          <xm:sqref>N21</xm:sqref>
        </x14:conditionalFormatting>
        <x14:conditionalFormatting xmlns:xm="http://schemas.microsoft.com/office/excel/2006/main">
          <x14:cfRule type="notContainsText" priority="503" operator="notContains" id="{94B7527C-CD0E-4A90-B821-028F67EFA325}">
            <xm:f>ISERROR(SEARCH("-",N30))</xm:f>
            <xm:f>"-"</xm:f>
            <x14:dxf>
              <fill>
                <patternFill>
                  <bgColor theme="0" tint="-4.9989318521683403E-2"/>
                </patternFill>
              </fill>
            </x14:dxf>
          </x14:cfRule>
          <xm:sqref>N30:N31</xm:sqref>
        </x14:conditionalFormatting>
        <x14:conditionalFormatting xmlns:xm="http://schemas.microsoft.com/office/excel/2006/main">
          <x14:cfRule type="notContainsText" priority="502" operator="notContains" id="{D835D4E3-FA35-4844-A529-6BCC91B70989}">
            <xm:f>ISERROR(SEARCH("-",N32))</xm:f>
            <xm:f>"-"</xm:f>
            <x14:dxf>
              <fill>
                <patternFill>
                  <bgColor theme="0" tint="-4.9989318521683403E-2"/>
                </patternFill>
              </fill>
            </x14:dxf>
          </x14:cfRule>
          <xm:sqref>N32:N35</xm:sqref>
        </x14:conditionalFormatting>
        <x14:conditionalFormatting xmlns:xm="http://schemas.microsoft.com/office/excel/2006/main">
          <x14:cfRule type="notContainsText" priority="501" operator="notContains" id="{39E13FDA-69EE-45D2-99BC-6B7878C2C51D}">
            <xm:f>ISERROR(SEARCH("-",N28))</xm:f>
            <xm:f>"-"</xm:f>
            <x14:dxf>
              <fill>
                <patternFill>
                  <bgColor theme="0" tint="-4.9989318521683403E-2"/>
                </patternFill>
              </fill>
            </x14:dxf>
          </x14:cfRule>
          <xm:sqref>N28</xm:sqref>
        </x14:conditionalFormatting>
        <x14:conditionalFormatting xmlns:xm="http://schemas.microsoft.com/office/excel/2006/main">
          <x14:cfRule type="notContainsText" priority="500" operator="notContains" id="{13985138-5BD0-4E00-A0A7-2296C51D7F7B}">
            <xm:f>ISERROR(SEARCH("-",N29))</xm:f>
            <xm:f>"-"</xm:f>
            <x14:dxf>
              <fill>
                <patternFill>
                  <bgColor theme="0" tint="-4.9989318521683403E-2"/>
                </patternFill>
              </fill>
            </x14:dxf>
          </x14:cfRule>
          <xm:sqref>N29</xm:sqref>
        </x14:conditionalFormatting>
        <x14:conditionalFormatting xmlns:xm="http://schemas.microsoft.com/office/excel/2006/main">
          <x14:cfRule type="notContainsText" priority="499" operator="notContains" id="{CAFFC3EF-0746-4AC7-942E-FD3BAC8F8708}">
            <xm:f>ISERROR(SEARCH("-",N38))</xm:f>
            <xm:f>"-"</xm:f>
            <x14:dxf>
              <fill>
                <patternFill>
                  <bgColor theme="0" tint="-4.9989318521683403E-2"/>
                </patternFill>
              </fill>
            </x14:dxf>
          </x14:cfRule>
          <xm:sqref>N38:N39</xm:sqref>
        </x14:conditionalFormatting>
        <x14:conditionalFormatting xmlns:xm="http://schemas.microsoft.com/office/excel/2006/main">
          <x14:cfRule type="notContainsText" priority="498" operator="notContains" id="{8BAD6266-47BD-472D-8381-8EE9AE8EE6F0}">
            <xm:f>ISERROR(SEARCH("-",N40))</xm:f>
            <xm:f>"-"</xm:f>
            <x14:dxf>
              <fill>
                <patternFill>
                  <bgColor theme="0" tint="-4.9989318521683403E-2"/>
                </patternFill>
              </fill>
            </x14:dxf>
          </x14:cfRule>
          <xm:sqref>N40:N44</xm:sqref>
        </x14:conditionalFormatting>
        <x14:conditionalFormatting xmlns:xm="http://schemas.microsoft.com/office/excel/2006/main">
          <x14:cfRule type="notContainsText" priority="497" operator="notContains" id="{D7AD69A5-04DA-4C1A-B09F-637805A68E05}">
            <xm:f>ISERROR(SEARCH("-",N36))</xm:f>
            <xm:f>"-"</xm:f>
            <x14:dxf>
              <fill>
                <patternFill>
                  <bgColor theme="0" tint="-4.9989318521683403E-2"/>
                </patternFill>
              </fill>
            </x14:dxf>
          </x14:cfRule>
          <xm:sqref>N36</xm:sqref>
        </x14:conditionalFormatting>
        <x14:conditionalFormatting xmlns:xm="http://schemas.microsoft.com/office/excel/2006/main">
          <x14:cfRule type="notContainsText" priority="496" operator="notContains" id="{5F1A3059-CA7A-4A7D-8271-DA71D3EE5703}">
            <xm:f>ISERROR(SEARCH("-",N37))</xm:f>
            <xm:f>"-"</xm:f>
            <x14:dxf>
              <fill>
                <patternFill>
                  <bgColor theme="0" tint="-4.9989318521683403E-2"/>
                </patternFill>
              </fill>
            </x14:dxf>
          </x14:cfRule>
          <xm:sqref>N37</xm:sqref>
        </x14:conditionalFormatting>
        <x14:conditionalFormatting xmlns:xm="http://schemas.microsoft.com/office/excel/2006/main">
          <x14:cfRule type="notContainsText" priority="495" operator="notContains" id="{ADA2CBF0-0C6E-410B-B441-8A1F4375B210}">
            <xm:f>ISERROR(SEARCH("-",M20))</xm:f>
            <xm:f>"-"</xm:f>
            <x14:dxf>
              <fill>
                <patternFill>
                  <bgColor theme="0" tint="-4.9989318521683403E-2"/>
                </patternFill>
              </fill>
            </x14:dxf>
          </x14:cfRule>
          <xm:sqref>M20:M21</xm:sqref>
        </x14:conditionalFormatting>
        <x14:conditionalFormatting xmlns:xm="http://schemas.microsoft.com/office/excel/2006/main">
          <x14:cfRule type="notContainsText" priority="494" operator="notContains" id="{AEDD3854-2EA7-4F72-9555-53F0B5EE5C55}">
            <xm:f>ISERROR(SEARCH("-",M22))</xm:f>
            <xm:f>"-"</xm:f>
            <x14:dxf>
              <fill>
                <patternFill>
                  <bgColor theme="0" tint="-4.9989318521683403E-2"/>
                </patternFill>
              </fill>
            </x14:dxf>
          </x14:cfRule>
          <xm:sqref>M22:M23</xm:sqref>
        </x14:conditionalFormatting>
        <x14:conditionalFormatting xmlns:xm="http://schemas.microsoft.com/office/excel/2006/main">
          <x14:cfRule type="notContainsText" priority="493" operator="notContains" id="{22FDF45D-74C7-45F5-A89F-3D42D87A79B5}">
            <xm:f>ISERROR(SEARCH("-",M24))</xm:f>
            <xm:f>"-"</xm:f>
            <x14:dxf>
              <fill>
                <patternFill>
                  <bgColor theme="0" tint="-4.9989318521683403E-2"/>
                </patternFill>
              </fill>
            </x14:dxf>
          </x14:cfRule>
          <xm:sqref>M24:M27</xm:sqref>
        </x14:conditionalFormatting>
        <x14:conditionalFormatting xmlns:xm="http://schemas.microsoft.com/office/excel/2006/main">
          <x14:cfRule type="notContainsText" priority="492" operator="notContains" id="{551B8906-7FC1-4A3D-B74A-B3EF06CAACC6}">
            <xm:f>ISERROR(SEARCH("-",M28))</xm:f>
            <xm:f>"-"</xm:f>
            <x14:dxf>
              <fill>
                <patternFill>
                  <bgColor theme="0" tint="-4.9989318521683403E-2"/>
                </patternFill>
              </fill>
            </x14:dxf>
          </x14:cfRule>
          <xm:sqref>M28:M29</xm:sqref>
        </x14:conditionalFormatting>
        <x14:conditionalFormatting xmlns:xm="http://schemas.microsoft.com/office/excel/2006/main">
          <x14:cfRule type="notContainsText" priority="491" operator="notContains" id="{8D1A4C8D-F8D4-4DEB-A7E3-8438D0A0A558}">
            <xm:f>ISERROR(SEARCH("-",M30))</xm:f>
            <xm:f>"-"</xm:f>
            <x14:dxf>
              <fill>
                <patternFill>
                  <bgColor theme="0" tint="-4.9989318521683403E-2"/>
                </patternFill>
              </fill>
            </x14:dxf>
          </x14:cfRule>
          <xm:sqref>M30:M31</xm:sqref>
        </x14:conditionalFormatting>
        <x14:conditionalFormatting xmlns:xm="http://schemas.microsoft.com/office/excel/2006/main">
          <x14:cfRule type="notContainsText" priority="490" operator="notContains" id="{927B86C5-8DCA-4A2C-A650-162C81D75EF4}">
            <xm:f>ISERROR(SEARCH("-",M32))</xm:f>
            <xm:f>"-"</xm:f>
            <x14:dxf>
              <fill>
                <patternFill>
                  <bgColor theme="0" tint="-4.9989318521683403E-2"/>
                </patternFill>
              </fill>
            </x14:dxf>
          </x14:cfRule>
          <xm:sqref>M32:M35</xm:sqref>
        </x14:conditionalFormatting>
        <x14:conditionalFormatting xmlns:xm="http://schemas.microsoft.com/office/excel/2006/main">
          <x14:cfRule type="notContainsText" priority="489" operator="notContains" id="{16AFE641-9ED6-4D88-B93A-7A8F730FB9C1}">
            <xm:f>ISERROR(SEARCH("-",M36))</xm:f>
            <xm:f>"-"</xm:f>
            <x14:dxf>
              <fill>
                <patternFill>
                  <bgColor theme="0" tint="-4.9989318521683403E-2"/>
                </patternFill>
              </fill>
            </x14:dxf>
          </x14:cfRule>
          <xm:sqref>M36:M37</xm:sqref>
        </x14:conditionalFormatting>
        <x14:conditionalFormatting xmlns:xm="http://schemas.microsoft.com/office/excel/2006/main">
          <x14:cfRule type="notContainsText" priority="488" operator="notContains" id="{BD695EE9-305F-4A68-A326-087245F17B6C}">
            <xm:f>ISERROR(SEARCH("-",M38))</xm:f>
            <xm:f>"-"</xm:f>
            <x14:dxf>
              <fill>
                <patternFill>
                  <bgColor theme="0" tint="-4.9989318521683403E-2"/>
                </patternFill>
              </fill>
            </x14:dxf>
          </x14:cfRule>
          <xm:sqref>M38:M39</xm:sqref>
        </x14:conditionalFormatting>
        <x14:conditionalFormatting xmlns:xm="http://schemas.microsoft.com/office/excel/2006/main">
          <x14:cfRule type="notContainsText" priority="487" operator="notContains" id="{E34A8F24-4BFB-4690-88E5-1A05E2F05998}">
            <xm:f>ISERROR(SEARCH("-",M40))</xm:f>
            <xm:f>"-"</xm:f>
            <x14:dxf>
              <fill>
                <patternFill>
                  <bgColor theme="0" tint="-4.9989318521683403E-2"/>
                </patternFill>
              </fill>
            </x14:dxf>
          </x14:cfRule>
          <xm:sqref>M40:M44</xm:sqref>
        </x14:conditionalFormatting>
        <x14:conditionalFormatting xmlns:xm="http://schemas.microsoft.com/office/excel/2006/main">
          <x14:cfRule type="notContainsText" priority="486" operator="notContains" id="{F110640C-4AF7-4E0F-BC7E-31AFBEDCBE28}">
            <xm:f>ISERROR(SEARCH("-",N52))</xm:f>
            <xm:f>"-"</xm:f>
            <x14:dxf>
              <fill>
                <patternFill>
                  <bgColor theme="0" tint="-4.9989318521683403E-2"/>
                </patternFill>
              </fill>
            </x14:dxf>
          </x14:cfRule>
          <xm:sqref>N52</xm:sqref>
        </x14:conditionalFormatting>
        <x14:conditionalFormatting xmlns:xm="http://schemas.microsoft.com/office/excel/2006/main">
          <x14:cfRule type="notContainsText" priority="485" operator="notContains" id="{84F6910F-D984-4F44-A883-08642DD264AC}">
            <xm:f>ISERROR(SEARCH("-",N53))</xm:f>
            <xm:f>"-"</xm:f>
            <x14:dxf>
              <fill>
                <patternFill>
                  <bgColor theme="0" tint="-4.9989318521683403E-2"/>
                </patternFill>
              </fill>
            </x14:dxf>
          </x14:cfRule>
          <xm:sqref>N53</xm:sqref>
        </x14:conditionalFormatting>
        <x14:conditionalFormatting xmlns:xm="http://schemas.microsoft.com/office/excel/2006/main">
          <x14:cfRule type="notContainsText" priority="458" operator="notContains" id="{6982B318-4E72-43A4-A76C-1EBF4CAE01BF}">
            <xm:f>ISERROR(SEARCH("-",M54))</xm:f>
            <xm:f>"-"</xm:f>
            <x14:dxf>
              <fill>
                <patternFill>
                  <bgColor theme="0" tint="-4.9989318521683403E-2"/>
                </patternFill>
              </fill>
            </x14:dxf>
          </x14:cfRule>
          <xm:sqref>M54:N55</xm:sqref>
        </x14:conditionalFormatting>
        <x14:conditionalFormatting xmlns:xm="http://schemas.microsoft.com/office/excel/2006/main">
          <x14:cfRule type="notContainsText" priority="457" operator="notContains" id="{BC21FB96-6D75-49D0-BBFD-C49B3E5B38CF}">
            <xm:f>ISERROR(SEARCH("-",M56))</xm:f>
            <xm:f>"-"</xm:f>
            <x14:dxf>
              <fill>
                <patternFill>
                  <bgColor theme="0" tint="-4.9989318521683403E-2"/>
                </patternFill>
              </fill>
            </x14:dxf>
          </x14:cfRule>
          <xm:sqref>M56:N57</xm:sqref>
        </x14:conditionalFormatting>
        <x14:conditionalFormatting xmlns:xm="http://schemas.microsoft.com/office/excel/2006/main">
          <x14:cfRule type="notContainsText" priority="456" operator="notContains" id="{895CBD2F-DB17-468F-85B8-895FF8E1B753}">
            <xm:f>ISERROR(SEARCH("-",M58))</xm:f>
            <xm:f>"-"</xm:f>
            <x14:dxf>
              <fill>
                <patternFill>
                  <bgColor theme="0" tint="-4.9989318521683403E-2"/>
                </patternFill>
              </fill>
            </x14:dxf>
          </x14:cfRule>
          <xm:sqref>M60:M61 M58:N59</xm:sqref>
        </x14:conditionalFormatting>
        <x14:conditionalFormatting xmlns:xm="http://schemas.microsoft.com/office/excel/2006/main">
          <x14:cfRule type="notContainsText" priority="444" operator="notContains" id="{83983263-98D7-4D1D-951C-D59EBAC5E498}">
            <xm:f>ISERROR(SEARCH("-",M70))</xm:f>
            <xm:f>"-"</xm:f>
            <x14:dxf>
              <fill>
                <patternFill>
                  <bgColor theme="0" tint="-4.9989318521683403E-2"/>
                </patternFill>
              </fill>
            </x14:dxf>
          </x14:cfRule>
          <xm:sqref>M70:N71</xm:sqref>
        </x14:conditionalFormatting>
        <x14:conditionalFormatting xmlns:xm="http://schemas.microsoft.com/office/excel/2006/main">
          <x14:cfRule type="notContainsText" priority="443" operator="notContains" id="{B4435750-9421-4210-83AF-14AA85857D7A}">
            <xm:f>ISERROR(SEARCH("-",M72))</xm:f>
            <xm:f>"-"</xm:f>
            <x14:dxf>
              <fill>
                <patternFill>
                  <bgColor theme="0" tint="-4.9989318521683403E-2"/>
                </patternFill>
              </fill>
            </x14:dxf>
          </x14:cfRule>
          <xm:sqref>M72:N73</xm:sqref>
        </x14:conditionalFormatting>
        <x14:conditionalFormatting xmlns:xm="http://schemas.microsoft.com/office/excel/2006/main">
          <x14:cfRule type="notContainsText" priority="449" operator="notContains" id="{E3EF19E9-C41D-4139-91C7-296A7E3EB19E}">
            <xm:f>ISERROR(SEARCH("-",M66))</xm:f>
            <xm:f>"-"</xm:f>
            <x14:dxf>
              <fill>
                <patternFill>
                  <bgColor theme="0" tint="-4.9989318521683403E-2"/>
                </patternFill>
              </fill>
            </x14:dxf>
          </x14:cfRule>
          <xm:sqref>M68:M69 M66:N67</xm:sqref>
        </x14:conditionalFormatting>
        <x14:conditionalFormatting xmlns:xm="http://schemas.microsoft.com/office/excel/2006/main">
          <x14:cfRule type="notContainsText" priority="448" operator="notContains" id="{12621CAC-85A2-40B1-B44F-A54235DE1D2F}">
            <xm:f>ISERROR(SEARCH("-",N68))</xm:f>
            <xm:f>"-"</xm:f>
            <x14:dxf>
              <fill>
                <patternFill>
                  <bgColor theme="0" tint="-4.9989318521683403E-2"/>
                </patternFill>
              </fill>
            </x14:dxf>
          </x14:cfRule>
          <xm:sqref>N68</xm:sqref>
        </x14:conditionalFormatting>
        <x14:conditionalFormatting xmlns:xm="http://schemas.microsoft.com/office/excel/2006/main">
          <x14:cfRule type="notContainsText" priority="447" operator="notContains" id="{BD586D50-7FEB-44B1-AC33-0C9EB331F560}">
            <xm:f>ISERROR(SEARCH("-",N69))</xm:f>
            <xm:f>"-"</xm:f>
            <x14:dxf>
              <fill>
                <patternFill>
                  <bgColor theme="0" tint="-4.9989318521683403E-2"/>
                </patternFill>
              </fill>
            </x14:dxf>
          </x14:cfRule>
          <xm:sqref>N69</xm:sqref>
        </x14:conditionalFormatting>
        <x14:conditionalFormatting xmlns:xm="http://schemas.microsoft.com/office/excel/2006/main">
          <x14:cfRule type="notContainsText" priority="451" operator="notContains" id="{4BD15E50-A829-4F41-A1D1-F2DEE44A2E1F}">
            <xm:f>ISERROR(SEARCH("-",M62))</xm:f>
            <xm:f>"-"</xm:f>
            <x14:dxf>
              <fill>
                <patternFill>
                  <bgColor theme="0" tint="-4.9989318521683403E-2"/>
                </patternFill>
              </fill>
            </x14:dxf>
          </x14:cfRule>
          <xm:sqref>M62:N63</xm:sqref>
        </x14:conditionalFormatting>
        <x14:conditionalFormatting xmlns:xm="http://schemas.microsoft.com/office/excel/2006/main">
          <x14:cfRule type="expression" priority="460" id="{430DDAB4-55EB-479C-B5C6-1E06427F5B61}">
            <xm:f>I47=Categories!$E$11</xm:f>
            <x14:dxf>
              <font>
                <b/>
                <i val="0"/>
              </font>
            </x14:dxf>
          </x14:cfRule>
          <xm:sqref>O47:O53</xm:sqref>
        </x14:conditionalFormatting>
        <x14:conditionalFormatting xmlns:xm="http://schemas.microsoft.com/office/excel/2006/main">
          <x14:cfRule type="expression" priority="459" id="{3CDCFFCF-C231-4CD5-87A4-1C6EB0460667}">
            <xm:f>I54=Categories!$E$11</xm:f>
            <x14:dxf>
              <font>
                <b/>
                <i val="0"/>
              </font>
            </x14:dxf>
          </x14:cfRule>
          <xm:sqref>O54</xm:sqref>
        </x14:conditionalFormatting>
        <x14:conditionalFormatting xmlns:xm="http://schemas.microsoft.com/office/excel/2006/main">
          <x14:cfRule type="notContainsText" priority="455" operator="notContains" id="{B307F3B9-94B5-4463-B7BE-DBA21EB72A2F}">
            <xm:f>ISERROR(SEARCH("-",N60))</xm:f>
            <xm:f>"-"</xm:f>
            <x14:dxf>
              <fill>
                <patternFill>
                  <bgColor theme="0" tint="-4.9989318521683403E-2"/>
                </patternFill>
              </fill>
            </x14:dxf>
          </x14:cfRule>
          <xm:sqref>N60</xm:sqref>
        </x14:conditionalFormatting>
        <x14:conditionalFormatting xmlns:xm="http://schemas.microsoft.com/office/excel/2006/main">
          <x14:cfRule type="notContainsText" priority="454" operator="notContains" id="{516DC27C-6479-4C1C-86D5-B5EBBCCC1D18}">
            <xm:f>ISERROR(SEARCH("-",N61))</xm:f>
            <xm:f>"-"</xm:f>
            <x14:dxf>
              <fill>
                <patternFill>
                  <bgColor theme="0" tint="-4.9989318521683403E-2"/>
                </patternFill>
              </fill>
            </x14:dxf>
          </x14:cfRule>
          <xm:sqref>N61</xm:sqref>
        </x14:conditionalFormatting>
        <x14:conditionalFormatting xmlns:xm="http://schemas.microsoft.com/office/excel/2006/main">
          <x14:cfRule type="expression" priority="453" id="{ED9CD4E1-679B-43CF-B523-C6670E38F421}">
            <xm:f>I55=Categories!$E$11</xm:f>
            <x14:dxf>
              <font>
                <b/>
                <i val="0"/>
              </font>
            </x14:dxf>
          </x14:cfRule>
          <xm:sqref>O55:O61</xm:sqref>
        </x14:conditionalFormatting>
        <x14:conditionalFormatting xmlns:xm="http://schemas.microsoft.com/office/excel/2006/main">
          <x14:cfRule type="expression" priority="452" id="{8B93DFFC-124A-4C3A-8315-7A659404D2AF}">
            <xm:f>I62=Categories!$E$11</xm:f>
            <x14:dxf>
              <font>
                <b/>
                <i val="0"/>
              </font>
            </x14:dxf>
          </x14:cfRule>
          <xm:sqref>O62</xm:sqref>
        </x14:conditionalFormatting>
        <x14:conditionalFormatting xmlns:xm="http://schemas.microsoft.com/office/excel/2006/main">
          <x14:cfRule type="notContainsText" priority="450" operator="notContains" id="{840F20B4-8BB6-451E-9DDF-DCF2E8DDFC50}">
            <xm:f>ISERROR(SEARCH("-",M64))</xm:f>
            <xm:f>"-"</xm:f>
            <x14:dxf>
              <fill>
                <patternFill>
                  <bgColor theme="0" tint="-4.9989318521683403E-2"/>
                </patternFill>
              </fill>
            </x14:dxf>
          </x14:cfRule>
          <xm:sqref>M64:N65</xm:sqref>
        </x14:conditionalFormatting>
        <x14:conditionalFormatting xmlns:xm="http://schemas.microsoft.com/office/excel/2006/main">
          <x14:cfRule type="expression" priority="446" id="{ACA57961-E2F8-402D-86F7-47A786614DCF}">
            <xm:f>I63=Categories!$E$11</xm:f>
            <x14:dxf>
              <font>
                <b/>
                <i val="0"/>
              </font>
            </x14:dxf>
          </x14:cfRule>
          <xm:sqref>O63:O69</xm:sqref>
        </x14:conditionalFormatting>
        <x14:conditionalFormatting xmlns:xm="http://schemas.microsoft.com/office/excel/2006/main">
          <x14:cfRule type="expression" priority="445" id="{F45072D0-5353-48BF-8347-7B8AC6DD7BE2}">
            <xm:f>I70=Categories!$E$11</xm:f>
            <x14:dxf>
              <font>
                <b/>
                <i val="0"/>
              </font>
            </x14:dxf>
          </x14:cfRule>
          <xm:sqref>O70</xm:sqref>
        </x14:conditionalFormatting>
        <x14:conditionalFormatting xmlns:xm="http://schemas.microsoft.com/office/excel/2006/main">
          <x14:cfRule type="notContainsText" priority="442" operator="notContains" id="{53CE1B27-8E5E-4973-9020-0C101E2572CA}">
            <xm:f>ISERROR(SEARCH("-",M74))</xm:f>
            <xm:f>"-"</xm:f>
            <x14:dxf>
              <fill>
                <patternFill>
                  <bgColor theme="0" tint="-4.9989318521683403E-2"/>
                </patternFill>
              </fill>
            </x14:dxf>
          </x14:cfRule>
          <xm:sqref>M76:M77 M74:N75</xm:sqref>
        </x14:conditionalFormatting>
        <x14:conditionalFormatting xmlns:xm="http://schemas.microsoft.com/office/excel/2006/main">
          <x14:cfRule type="notContainsText" priority="441" operator="notContains" id="{0D06F3C5-587E-451C-87F2-593172DE83AB}">
            <xm:f>ISERROR(SEARCH("-",N76))</xm:f>
            <xm:f>"-"</xm:f>
            <x14:dxf>
              <fill>
                <patternFill>
                  <bgColor theme="0" tint="-4.9989318521683403E-2"/>
                </patternFill>
              </fill>
            </x14:dxf>
          </x14:cfRule>
          <xm:sqref>N76</xm:sqref>
        </x14:conditionalFormatting>
        <x14:conditionalFormatting xmlns:xm="http://schemas.microsoft.com/office/excel/2006/main">
          <x14:cfRule type="notContainsText" priority="440" operator="notContains" id="{205BC5B3-B5D0-438C-BF15-5D16B4589B7D}">
            <xm:f>ISERROR(SEARCH("-",N77))</xm:f>
            <xm:f>"-"</xm:f>
            <x14:dxf>
              <fill>
                <patternFill>
                  <bgColor theme="0" tint="-4.9989318521683403E-2"/>
                </patternFill>
              </fill>
            </x14:dxf>
          </x14:cfRule>
          <xm:sqref>N77</xm:sqref>
        </x14:conditionalFormatting>
        <x14:conditionalFormatting xmlns:xm="http://schemas.microsoft.com/office/excel/2006/main">
          <x14:cfRule type="expression" priority="439" id="{ADC753B0-7439-4ED3-8729-F71F40400076}">
            <xm:f>I71=Categories!$E$11</xm:f>
            <x14:dxf>
              <font>
                <b/>
                <i val="0"/>
              </font>
            </x14:dxf>
          </x14:cfRule>
          <xm:sqref>O71:O77</xm:sqref>
        </x14:conditionalFormatting>
        <x14:conditionalFormatting xmlns:xm="http://schemas.microsoft.com/office/excel/2006/main">
          <x14:cfRule type="notContainsText" priority="438" operator="notContains" id="{17464D3D-58BD-4187-B70D-A789AD814C94}">
            <xm:f>ISERROR(SEARCH("-",M78))</xm:f>
            <xm:f>"-"</xm:f>
            <x14:dxf>
              <fill>
                <patternFill>
                  <bgColor theme="0" tint="-4.9989318521683403E-2"/>
                </patternFill>
              </fill>
            </x14:dxf>
          </x14:cfRule>
          <xm:sqref>M78</xm:sqref>
        </x14:conditionalFormatting>
        <x14:conditionalFormatting xmlns:xm="http://schemas.microsoft.com/office/excel/2006/main">
          <x14:cfRule type="notContainsText" priority="437" operator="notContains" id="{ADD3A6CB-1B03-4DB6-B842-9EF8072AC92A}">
            <xm:f>ISERROR(SEARCH("-",N78))</xm:f>
            <xm:f>"-"</xm:f>
            <x14:dxf>
              <fill>
                <patternFill>
                  <bgColor theme="0" tint="-4.9989318521683403E-2"/>
                </patternFill>
              </fill>
            </x14:dxf>
          </x14:cfRule>
          <xm:sqref>N78</xm:sqref>
        </x14:conditionalFormatting>
        <x14:conditionalFormatting xmlns:xm="http://schemas.microsoft.com/office/excel/2006/main">
          <x14:cfRule type="containsText" priority="317" operator="containsText" id="{5BE809F8-A70E-488D-BF07-E97DCF5FA8CA}">
            <xm:f>NOT(ISERROR(SEARCH("-",G6)))</xm:f>
            <xm:f>"-"</xm:f>
            <x14:dxf>
              <fill>
                <patternFill>
                  <bgColor theme="0" tint="-4.9989318521683403E-2"/>
                </patternFill>
              </fill>
            </x14:dxf>
          </x14:cfRule>
          <xm:sqref>G6:G11</xm:sqref>
        </x14:conditionalFormatting>
        <x14:conditionalFormatting xmlns:xm="http://schemas.microsoft.com/office/excel/2006/main">
          <x14:cfRule type="containsText" priority="313" operator="containsText" id="{422C5560-3E5D-4753-88B2-FB8B49A37284}">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309" operator="containsText" id="{CA20A04B-B211-43D6-9691-2BF7B1E7D425}">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305" operator="containsText" id="{B2E1C966-C19D-457B-A28E-9452B141B793}">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301" operator="containsText" id="{983EBA2F-484E-4264-B616-812FF56F3309}">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297" operator="containsText" id="{11B31C79-9277-4077-ACCA-686D190211A8}">
            <xm:f>NOT(ISERROR(SEARCH("-",G72)))</xm:f>
            <xm:f>"-"</xm:f>
            <x14:dxf>
              <fill>
                <patternFill>
                  <bgColor theme="0" tint="-4.9989318521683403E-2"/>
                </patternFill>
              </fill>
            </x14:dxf>
          </x14:cfRule>
          <xm:sqref>G72:G77</xm:sqref>
        </x14:conditionalFormatting>
        <x14:conditionalFormatting xmlns:xm="http://schemas.microsoft.com/office/excel/2006/main">
          <x14:cfRule type="containsText" priority="293" operator="containsText" id="{6F276BB6-5642-4116-A5C4-EC3477A4BAEF}">
            <xm:f>NOT(ISERROR(SEARCH("-",G82)))</xm:f>
            <xm:f>"-"</xm:f>
            <x14:dxf>
              <fill>
                <patternFill>
                  <bgColor theme="0" tint="-4.9989318521683403E-2"/>
                </patternFill>
              </fill>
            </x14:dxf>
          </x14:cfRule>
          <xm:sqref>G82:G87</xm:sqref>
        </x14:conditionalFormatting>
        <x14:conditionalFormatting xmlns:xm="http://schemas.microsoft.com/office/excel/2006/main">
          <x14:cfRule type="containsText" priority="289" operator="containsText" id="{EBEE4BDC-5439-4E10-B3C5-DFB94CC98974}">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285" operator="containsText" id="{41E10A9C-AC4B-41E1-9F90-5AEB5F7F1620}">
            <xm:f>NOT(ISERROR(SEARCH("-",G106)))</xm:f>
            <xm:f>"-"</xm:f>
            <x14:dxf>
              <fill>
                <patternFill>
                  <bgColor theme="0" tint="-4.9989318521683403E-2"/>
                </patternFill>
              </fill>
            </x14:dxf>
          </x14:cfRule>
          <xm:sqref>G106:G112</xm:sqref>
        </x14:conditionalFormatting>
        <x14:conditionalFormatting xmlns:xm="http://schemas.microsoft.com/office/excel/2006/main">
          <x14:cfRule type="containsText" priority="249" operator="containsText" id="{0527AD9E-16FE-41F2-BCE3-69A1097DE583}">
            <xm:f>NOT(ISERROR(SEARCH("-",G273)))</xm:f>
            <xm:f>"-"</xm:f>
            <x14:dxf>
              <fill>
                <patternFill>
                  <bgColor theme="0" tint="-4.9989318521683403E-2"/>
                </patternFill>
              </fill>
            </x14:dxf>
          </x14:cfRule>
          <xm:sqref>G273:G283</xm:sqref>
        </x14:conditionalFormatting>
        <x14:conditionalFormatting xmlns:xm="http://schemas.microsoft.com/office/excel/2006/main">
          <x14:cfRule type="containsText" priority="245" operator="containsText" id="{E70649EE-5309-4501-A7E3-7D7512F47588}">
            <xm:f>NOT(ISERROR(SEARCH("-",G273)))</xm:f>
            <xm:f>"-"</xm:f>
            <x14:dxf>
              <fill>
                <patternFill>
                  <bgColor theme="0" tint="-4.9989318521683403E-2"/>
                </patternFill>
              </fill>
            </x14:dxf>
          </x14:cfRule>
          <xm:sqref>G273:G283</xm:sqref>
        </x14:conditionalFormatting>
        <x14:conditionalFormatting xmlns:xm="http://schemas.microsoft.com/office/excel/2006/main">
          <x14:cfRule type="expression" priority="218" id="{B5E998C1-5201-4D9F-B2DA-89F0808D3762}">
            <xm:f>I113=Categories!$E$11</xm:f>
            <x14:dxf>
              <font>
                <b/>
                <i val="0"/>
              </font>
            </x14:dxf>
          </x14:cfRule>
          <xm:sqref>O113:O119</xm:sqref>
        </x14:conditionalFormatting>
        <x14:conditionalFormatting xmlns:xm="http://schemas.microsoft.com/office/excel/2006/main">
          <x14:cfRule type="notContainsText" priority="217" operator="notContains" id="{92DBF648-6AEE-4700-A8AC-A85510094CE7}">
            <xm:f>ISERROR(SEARCH("-",M113))</xm:f>
            <xm:f>"-"</xm:f>
            <x14:dxf>
              <fill>
                <patternFill>
                  <bgColor theme="0" tint="-4.9989318521683403E-2"/>
                </patternFill>
              </fill>
            </x14:dxf>
          </x14:cfRule>
          <xm:sqref>M113:N119</xm:sqref>
        </x14:conditionalFormatting>
        <x14:conditionalFormatting xmlns:xm="http://schemas.microsoft.com/office/excel/2006/main">
          <x14:cfRule type="expression" priority="229" id="{59D90510-50F3-44EF-9ADF-91198D6BC49D}">
            <xm:f>I119=Categories!$E$7</xm:f>
            <x14:dxf>
              <font>
                <b/>
                <i val="0"/>
              </font>
            </x14:dxf>
          </x14:cfRule>
          <xm:sqref>L119</xm:sqref>
        </x14:conditionalFormatting>
        <x14:conditionalFormatting xmlns:xm="http://schemas.microsoft.com/office/excel/2006/main">
          <x14:cfRule type="expression" priority="228" id="{72E5E32E-C82F-472D-A3B3-B483E315B8C0}">
            <xm:f>I117=Categories!$E$7</xm:f>
            <x14:dxf>
              <font>
                <b/>
                <i val="0"/>
              </font>
            </x14:dxf>
          </x14:cfRule>
          <xm:sqref>L117</xm:sqref>
        </x14:conditionalFormatting>
        <x14:conditionalFormatting xmlns:xm="http://schemas.microsoft.com/office/excel/2006/main">
          <x14:cfRule type="expression" priority="227" id="{647EE92B-A952-4EC2-B84B-D815DD2966AC}">
            <xm:f>I115=Categories!$E$7</xm:f>
            <x14:dxf>
              <font>
                <b/>
                <i val="0"/>
              </font>
            </x14:dxf>
          </x14:cfRule>
          <xm:sqref>L115</xm:sqref>
        </x14:conditionalFormatting>
        <x14:conditionalFormatting xmlns:xm="http://schemas.microsoft.com/office/excel/2006/main">
          <x14:cfRule type="containsText" priority="224" operator="containsText" id="{1278C1B2-1453-4323-9A35-A3DCE8862385}">
            <xm:f>NOT(ISERROR(SEARCH("-",G113)))</xm:f>
            <xm:f>"-"</xm:f>
            <x14:dxf>
              <fill>
                <patternFill>
                  <bgColor theme="0" tint="-4.9989318521683403E-2"/>
                </patternFill>
              </fill>
            </x14:dxf>
          </x14:cfRule>
          <xm:sqref>G113</xm:sqref>
        </x14:conditionalFormatting>
        <x14:conditionalFormatting xmlns:xm="http://schemas.microsoft.com/office/excel/2006/main">
          <x14:cfRule type="expression" priority="222" id="{3802544D-EAE9-4AEB-BC43-98BB7D62918F}">
            <xm:f>I113=Categories!$E$7</xm:f>
            <x14:dxf>
              <font>
                <b/>
                <i val="0"/>
              </font>
            </x14:dxf>
          </x14:cfRule>
          <xm:sqref>L113</xm:sqref>
        </x14:conditionalFormatting>
        <x14:conditionalFormatting xmlns:xm="http://schemas.microsoft.com/office/excel/2006/main">
          <x14:cfRule type="expression" priority="221" id="{2607E273-CEF6-428A-BE18-14BCAB426CFC}">
            <xm:f>I114=Categories!$E$7</xm:f>
            <x14:dxf>
              <font>
                <b/>
                <i val="0"/>
              </font>
            </x14:dxf>
          </x14:cfRule>
          <xm:sqref>L114</xm:sqref>
        </x14:conditionalFormatting>
        <x14:conditionalFormatting xmlns:xm="http://schemas.microsoft.com/office/excel/2006/main">
          <x14:cfRule type="expression" priority="220" id="{B2D6F400-F496-444E-A7CD-A7E03F094281}">
            <xm:f>I116=Categories!$E$7</xm:f>
            <x14:dxf>
              <font>
                <b/>
                <i val="0"/>
              </font>
            </x14:dxf>
          </x14:cfRule>
          <xm:sqref>L116</xm:sqref>
        </x14:conditionalFormatting>
        <x14:conditionalFormatting xmlns:xm="http://schemas.microsoft.com/office/excel/2006/main">
          <x14:cfRule type="expression" priority="219" id="{5546D5CC-422D-43F3-9315-25851A7FE106}">
            <xm:f>I118=Categories!$E$7</xm:f>
            <x14:dxf>
              <font>
                <b/>
                <i val="0"/>
              </font>
            </x14:dxf>
          </x14:cfRule>
          <xm:sqref>L118</xm:sqref>
        </x14:conditionalFormatting>
        <x14:conditionalFormatting xmlns:xm="http://schemas.microsoft.com/office/excel/2006/main">
          <x14:cfRule type="expression" priority="216" id="{C6016A8C-2B6B-498A-9D2B-3013765BCEB4}">
            <xm:f>I113=Categories!$E$16</xm:f>
            <x14:dxf>
              <font>
                <b/>
                <i val="0"/>
              </font>
            </x14:dxf>
          </x14:cfRule>
          <xm:sqref>K113:K119</xm:sqref>
        </x14:conditionalFormatting>
        <x14:conditionalFormatting xmlns:xm="http://schemas.microsoft.com/office/excel/2006/main">
          <x14:cfRule type="containsText" priority="214" operator="containsText" id="{8B5EE237-6852-4EE7-8281-5A590E430A65}">
            <xm:f>NOT(ISERROR(SEARCH("-",Q113)))</xm:f>
            <xm:f>"-"</xm:f>
            <x14:dxf>
              <fill>
                <patternFill>
                  <bgColor theme="0"/>
                </patternFill>
              </fill>
            </x14:dxf>
          </x14:cfRule>
          <x14:cfRule type="notContainsText" priority="215" operator="notContains" id="{E8BDEFDF-22DC-4A78-915B-98EBB249510C}">
            <xm:f>ISERROR(SEARCH("-",Q113))</xm:f>
            <xm:f>"-"</xm:f>
            <x14:dxf>
              <fill>
                <patternFill>
                  <bgColor theme="0" tint="-4.9989318521683403E-2"/>
                </patternFill>
              </fill>
            </x14:dxf>
          </x14:cfRule>
          <xm:sqref>Q113:Q119</xm:sqref>
        </x14:conditionalFormatting>
        <x14:conditionalFormatting xmlns:xm="http://schemas.microsoft.com/office/excel/2006/main">
          <x14:cfRule type="containsText" priority="207" operator="containsText" id="{A21931CD-9DBC-41F0-8FF3-AB295BA809BA}">
            <xm:f>NOT(ISERROR(SEARCH("-",G114)))</xm:f>
            <xm:f>"-"</xm:f>
            <x14:dxf>
              <fill>
                <patternFill>
                  <bgColor theme="0" tint="-4.9989318521683403E-2"/>
                </patternFill>
              </fill>
            </x14:dxf>
          </x14:cfRule>
          <xm:sqref>G114:G119</xm:sqref>
        </x14:conditionalFormatting>
        <x14:conditionalFormatting xmlns:xm="http://schemas.microsoft.com/office/excel/2006/main">
          <x14:cfRule type="expression" priority="205" id="{1F328AF7-6C96-4202-AF62-90C4BBD716F7}">
            <xm:f>I127=Categories!$E$7</xm:f>
            <x14:dxf>
              <font>
                <b/>
                <i val="0"/>
              </font>
            </x14:dxf>
          </x14:cfRule>
          <xm:sqref>L127</xm:sqref>
        </x14:conditionalFormatting>
        <x14:conditionalFormatting xmlns:xm="http://schemas.microsoft.com/office/excel/2006/main">
          <x14:cfRule type="expression" priority="204" id="{81324CF9-C216-4C44-9077-0773406D03E7}">
            <xm:f>I125=Categories!$E$7</xm:f>
            <x14:dxf>
              <font>
                <b/>
                <i val="0"/>
              </font>
            </x14:dxf>
          </x14:cfRule>
          <xm:sqref>L125</xm:sqref>
        </x14:conditionalFormatting>
        <x14:conditionalFormatting xmlns:xm="http://schemas.microsoft.com/office/excel/2006/main">
          <x14:cfRule type="expression" priority="203" id="{0C176FB4-B341-4ECF-842F-687C43613D43}">
            <xm:f>I123=Categories!$E$7</xm:f>
            <x14:dxf>
              <font>
                <b/>
                <i val="0"/>
              </font>
            </x14:dxf>
          </x14:cfRule>
          <xm:sqref>L123</xm:sqref>
        </x14:conditionalFormatting>
        <x14:conditionalFormatting xmlns:xm="http://schemas.microsoft.com/office/excel/2006/main">
          <x14:cfRule type="containsText" priority="200" operator="containsText" id="{7E88795A-AD9B-4C82-944A-AC55C4CD760D}">
            <xm:f>NOT(ISERROR(SEARCH("-",G121)))</xm:f>
            <xm:f>"-"</xm:f>
            <x14:dxf>
              <fill>
                <patternFill>
                  <bgColor theme="0" tint="-4.9989318521683403E-2"/>
                </patternFill>
              </fill>
            </x14:dxf>
          </x14:cfRule>
          <xm:sqref>G121</xm:sqref>
        </x14:conditionalFormatting>
        <x14:conditionalFormatting xmlns:xm="http://schemas.microsoft.com/office/excel/2006/main">
          <x14:cfRule type="expression" priority="198" id="{AB44D4FD-626B-4766-B014-F9A2EDDE35A7}">
            <xm:f>I121=Categories!$E$7</xm:f>
            <x14:dxf>
              <font>
                <b/>
                <i val="0"/>
              </font>
            </x14:dxf>
          </x14:cfRule>
          <xm:sqref>L121</xm:sqref>
        </x14:conditionalFormatting>
        <x14:conditionalFormatting xmlns:xm="http://schemas.microsoft.com/office/excel/2006/main">
          <x14:cfRule type="expression" priority="197" id="{775FC4EF-5850-4279-95AC-B25388B157FE}">
            <xm:f>I122=Categories!$E$7</xm:f>
            <x14:dxf>
              <font>
                <b/>
                <i val="0"/>
              </font>
            </x14:dxf>
          </x14:cfRule>
          <xm:sqref>L122</xm:sqref>
        </x14:conditionalFormatting>
        <x14:conditionalFormatting xmlns:xm="http://schemas.microsoft.com/office/excel/2006/main">
          <x14:cfRule type="expression" priority="196" id="{06B2CF4F-AFC3-497D-AED1-8E6B5BA9A32B}">
            <xm:f>I124=Categories!$E$7</xm:f>
            <x14:dxf>
              <font>
                <b/>
                <i val="0"/>
              </font>
            </x14:dxf>
          </x14:cfRule>
          <xm:sqref>L124</xm:sqref>
        </x14:conditionalFormatting>
        <x14:conditionalFormatting xmlns:xm="http://schemas.microsoft.com/office/excel/2006/main">
          <x14:cfRule type="expression" priority="195" id="{4D467CB1-15FE-47D4-82F2-76D6A166E9A1}">
            <xm:f>I126=Categories!$E$7</xm:f>
            <x14:dxf>
              <font>
                <b/>
                <i val="0"/>
              </font>
            </x14:dxf>
          </x14:cfRule>
          <xm:sqref>L126</xm:sqref>
        </x14:conditionalFormatting>
        <x14:conditionalFormatting xmlns:xm="http://schemas.microsoft.com/office/excel/2006/main">
          <x14:cfRule type="expression" priority="194" id="{3AA7D1F5-6D41-4899-A616-6AFBEF38D76B}">
            <xm:f>I121=Categories!$E$11</xm:f>
            <x14:dxf>
              <font>
                <b/>
                <i val="0"/>
              </font>
            </x14:dxf>
          </x14:cfRule>
          <xm:sqref>O121:O127</xm:sqref>
        </x14:conditionalFormatting>
        <x14:conditionalFormatting xmlns:xm="http://schemas.microsoft.com/office/excel/2006/main">
          <x14:cfRule type="notContainsText" priority="193" operator="notContains" id="{FF7CBD6D-E843-441A-82E2-4BB1E98E0C1E}">
            <xm:f>ISERROR(SEARCH("-",M121))</xm:f>
            <xm:f>"-"</xm:f>
            <x14:dxf>
              <fill>
                <patternFill>
                  <bgColor theme="0" tint="-4.9989318521683403E-2"/>
                </patternFill>
              </fill>
            </x14:dxf>
          </x14:cfRule>
          <xm:sqref>M121:N127</xm:sqref>
        </x14:conditionalFormatting>
        <x14:conditionalFormatting xmlns:xm="http://schemas.microsoft.com/office/excel/2006/main">
          <x14:cfRule type="expression" priority="192" id="{0FDB7ABD-8BBF-4CDC-8442-A8162A52C037}">
            <xm:f>I121=Categories!$E$16</xm:f>
            <x14:dxf>
              <font>
                <b/>
                <i val="0"/>
              </font>
            </x14:dxf>
          </x14:cfRule>
          <xm:sqref>K121:K127</xm:sqref>
        </x14:conditionalFormatting>
        <x14:conditionalFormatting xmlns:xm="http://schemas.microsoft.com/office/excel/2006/main">
          <x14:cfRule type="containsText" priority="190" operator="containsText" id="{CF5F4B9D-B3A0-44E4-992F-7185D798AC1C}">
            <xm:f>NOT(ISERROR(SEARCH("-",Q121)))</xm:f>
            <xm:f>"-"</xm:f>
            <x14:dxf>
              <fill>
                <patternFill>
                  <bgColor theme="0"/>
                </patternFill>
              </fill>
            </x14:dxf>
          </x14:cfRule>
          <x14:cfRule type="notContainsText" priority="191" operator="notContains" id="{276E4CF5-EF4D-43B4-A29A-3867301FC949}">
            <xm:f>ISERROR(SEARCH("-",Q121))</xm:f>
            <xm:f>"-"</xm:f>
            <x14:dxf>
              <fill>
                <patternFill>
                  <bgColor theme="0" tint="-4.9989318521683403E-2"/>
                </patternFill>
              </fill>
            </x14:dxf>
          </x14:cfRule>
          <xm:sqref>Q121:Q127</xm:sqref>
        </x14:conditionalFormatting>
        <x14:conditionalFormatting xmlns:xm="http://schemas.microsoft.com/office/excel/2006/main">
          <x14:cfRule type="containsText" priority="185" operator="containsText" id="{9B359169-DB8B-4DAE-9353-12DE1EC9DD71}">
            <xm:f>NOT(ISERROR(SEARCH("-",G120)))</xm:f>
            <xm:f>"-"</xm:f>
            <x14:dxf>
              <fill>
                <patternFill>
                  <bgColor theme="0" tint="-4.9989318521683403E-2"/>
                </patternFill>
              </fill>
            </x14:dxf>
          </x14:cfRule>
          <xm:sqref>G120</xm:sqref>
        </x14:conditionalFormatting>
        <x14:conditionalFormatting xmlns:xm="http://schemas.microsoft.com/office/excel/2006/main">
          <x14:cfRule type="expression" priority="181" id="{71236E7B-3182-4F2E-9BA1-74DF91087028}">
            <xm:f>I120=Categories!$E$7</xm:f>
            <x14:dxf>
              <font>
                <b/>
                <i val="0"/>
              </font>
            </x14:dxf>
          </x14:cfRule>
          <xm:sqref>L120</xm:sqref>
        </x14:conditionalFormatting>
        <x14:conditionalFormatting xmlns:xm="http://schemas.microsoft.com/office/excel/2006/main">
          <x14:cfRule type="expression" priority="180" id="{AC66F2A8-242D-4806-A8BB-898769C04AF1}">
            <xm:f>I120=Categories!$E$11</xm:f>
            <x14:dxf>
              <font>
                <b/>
                <i val="0"/>
              </font>
            </x14:dxf>
          </x14:cfRule>
          <xm:sqref>O120</xm:sqref>
        </x14:conditionalFormatting>
        <x14:conditionalFormatting xmlns:xm="http://schemas.microsoft.com/office/excel/2006/main">
          <x14:cfRule type="notContainsText" priority="179" operator="notContains" id="{BEFEA6EE-EDE8-4E4E-862B-B5405DAAE687}">
            <xm:f>ISERROR(SEARCH("-",M120))</xm:f>
            <xm:f>"-"</xm:f>
            <x14:dxf>
              <fill>
                <patternFill>
                  <bgColor theme="0" tint="-4.9989318521683403E-2"/>
                </patternFill>
              </fill>
            </x14:dxf>
          </x14:cfRule>
          <xm:sqref>M120:N120</xm:sqref>
        </x14:conditionalFormatting>
        <x14:conditionalFormatting xmlns:xm="http://schemas.microsoft.com/office/excel/2006/main">
          <x14:cfRule type="expression" priority="178" id="{13188648-D185-42F3-BBAF-3A655FD8C65A}">
            <xm:f>I120=Categories!$E$16</xm:f>
            <x14:dxf>
              <font>
                <b/>
                <i val="0"/>
              </font>
            </x14:dxf>
          </x14:cfRule>
          <xm:sqref>K120</xm:sqref>
        </x14:conditionalFormatting>
        <x14:conditionalFormatting xmlns:xm="http://schemas.microsoft.com/office/excel/2006/main">
          <x14:cfRule type="containsText" priority="176" operator="containsText" id="{CF2E2D56-E007-486C-B9ED-DA528071F816}">
            <xm:f>NOT(ISERROR(SEARCH("-",Q120)))</xm:f>
            <xm:f>"-"</xm:f>
            <x14:dxf>
              <fill>
                <patternFill>
                  <bgColor theme="0"/>
                </patternFill>
              </fill>
            </x14:dxf>
          </x14:cfRule>
          <x14:cfRule type="notContainsText" priority="177" operator="notContains" id="{05E6F97B-2C4B-4ECF-A96C-35B083D2057B}">
            <xm:f>ISERROR(SEARCH("-",Q120))</xm:f>
            <xm:f>"-"</xm:f>
            <x14:dxf>
              <fill>
                <patternFill>
                  <bgColor theme="0" tint="-4.9989318521683403E-2"/>
                </patternFill>
              </fill>
            </x14:dxf>
          </x14:cfRule>
          <xm:sqref>Q120</xm:sqref>
        </x14:conditionalFormatting>
        <x14:conditionalFormatting xmlns:xm="http://schemas.microsoft.com/office/excel/2006/main">
          <x14:cfRule type="containsText" priority="173" operator="containsText" id="{21B06F87-1ADC-4569-8BA0-14F1A635A212}">
            <xm:f>NOT(ISERROR(SEARCH("-",G122)))</xm:f>
            <xm:f>"-"</xm:f>
            <x14:dxf>
              <fill>
                <patternFill>
                  <bgColor theme="0" tint="-4.9989318521683403E-2"/>
                </patternFill>
              </fill>
            </x14:dxf>
          </x14:cfRule>
          <xm:sqref>G122:G127</xm:sqref>
        </x14:conditionalFormatting>
        <x14:conditionalFormatting xmlns:xm="http://schemas.microsoft.com/office/excel/2006/main">
          <x14:cfRule type="containsText" priority="169" operator="containsText" id="{EFFA6CEA-A50E-4B83-868B-63EDE5DD12C1}">
            <xm:f>NOT(ISERROR(SEARCH("-",G130)))</xm:f>
            <xm:f>"-"</xm:f>
            <x14:dxf>
              <fill>
                <patternFill>
                  <bgColor theme="0" tint="-4.9989318521683403E-2"/>
                </patternFill>
              </fill>
            </x14:dxf>
          </x14:cfRule>
          <xm:sqref>G130:G139</xm:sqref>
        </x14:conditionalFormatting>
        <x14:conditionalFormatting xmlns:xm="http://schemas.microsoft.com/office/excel/2006/main">
          <x14:cfRule type="containsText" priority="165" operator="containsText" id="{A1A137D5-CDE1-43D8-9635-E62ED8A54A76}">
            <xm:f>NOT(ISERROR(SEARCH("-",G142)))</xm:f>
            <xm:f>"-"</xm:f>
            <x14:dxf>
              <fill>
                <patternFill>
                  <bgColor theme="0" tint="-4.9989318521683403E-2"/>
                </patternFill>
              </fill>
            </x14:dxf>
          </x14:cfRule>
          <xm:sqref>G142:G151</xm:sqref>
        </x14:conditionalFormatting>
        <x14:conditionalFormatting xmlns:xm="http://schemas.microsoft.com/office/excel/2006/main">
          <x14:cfRule type="containsText" priority="161" operator="containsText" id="{07BB7C79-7D1B-4FB5-94B6-16230C742332}">
            <xm:f>NOT(ISERROR(SEARCH("-",G154)))</xm:f>
            <xm:f>"-"</xm:f>
            <x14:dxf>
              <fill>
                <patternFill>
                  <bgColor theme="0" tint="-4.9989318521683403E-2"/>
                </patternFill>
              </fill>
            </x14:dxf>
          </x14:cfRule>
          <xm:sqref>G154:G163</xm:sqref>
        </x14:conditionalFormatting>
        <x14:conditionalFormatting xmlns:xm="http://schemas.microsoft.com/office/excel/2006/main">
          <x14:cfRule type="containsText" priority="157" operator="containsText" id="{5A5D543A-78F7-465D-89C3-97CCBE364E5B}">
            <xm:f>NOT(ISERROR(SEARCH("-",G166)))</xm:f>
            <xm:f>"-"</xm:f>
            <x14:dxf>
              <fill>
                <patternFill>
                  <bgColor theme="0" tint="-4.9989318521683403E-2"/>
                </patternFill>
              </fill>
            </x14:dxf>
          </x14:cfRule>
          <xm:sqref>G166:G175</xm:sqref>
        </x14:conditionalFormatting>
        <x14:conditionalFormatting xmlns:xm="http://schemas.microsoft.com/office/excel/2006/main">
          <x14:cfRule type="containsText" priority="153" operator="containsText" id="{E40652E7-F91A-44BE-947F-0C87A4C23349}">
            <xm:f>NOT(ISERROR(SEARCH("-",G178)))</xm:f>
            <xm:f>"-"</xm:f>
            <x14:dxf>
              <fill>
                <patternFill>
                  <bgColor theme="0" tint="-4.9989318521683403E-2"/>
                </patternFill>
              </fill>
            </x14:dxf>
          </x14:cfRule>
          <xm:sqref>G178:G183</xm:sqref>
        </x14:conditionalFormatting>
        <x14:conditionalFormatting xmlns:xm="http://schemas.microsoft.com/office/excel/2006/main">
          <x14:cfRule type="notContainsText" priority="151" operator="notContains" id="{AA5CA970-D389-48A1-9050-8996FD8D051C}">
            <xm:f>ISERROR(SEARCH("-",M184))</xm:f>
            <xm:f>"-"</xm:f>
            <x14:dxf>
              <fill>
                <patternFill>
                  <bgColor theme="0" tint="-4.9989318521683403E-2"/>
                </patternFill>
              </fill>
            </x14:dxf>
          </x14:cfRule>
          <xm:sqref>M184:N184</xm:sqref>
        </x14:conditionalFormatting>
        <x14:conditionalFormatting xmlns:xm="http://schemas.microsoft.com/office/excel/2006/main">
          <x14:cfRule type="containsText" priority="148" operator="containsText" id="{22B2EAB9-043B-4B8D-B36D-8B909F17E1ED}">
            <xm:f>NOT(ISERROR(SEARCH("-",G184)))</xm:f>
            <xm:f>"-"</xm:f>
            <x14:dxf>
              <fill>
                <patternFill>
                  <bgColor theme="0" tint="-4.9989318521683403E-2"/>
                </patternFill>
              </fill>
            </x14:dxf>
          </x14:cfRule>
          <xm:sqref>G184</xm:sqref>
        </x14:conditionalFormatting>
        <x14:conditionalFormatting xmlns:xm="http://schemas.microsoft.com/office/excel/2006/main">
          <x14:cfRule type="containsText" priority="145" operator="containsText" id="{F8E24AF0-F250-4B4F-BAAC-988FB3254357}">
            <xm:f>NOT(ISERROR(SEARCH("-",Q184)))</xm:f>
            <xm:f>"-"</xm:f>
            <x14:dxf>
              <fill>
                <patternFill>
                  <bgColor theme="0"/>
                </patternFill>
              </fill>
            </x14:dxf>
          </x14:cfRule>
          <x14:cfRule type="notContainsText" priority="146" operator="notContains" id="{9C75F86E-C3B2-4CB0-B03C-CD5287BEFFC1}">
            <xm:f>ISERROR(SEARCH("-",Q184))</xm:f>
            <xm:f>"-"</xm:f>
            <x14:dxf>
              <fill>
                <patternFill>
                  <bgColor theme="0" tint="-4.9989318521683403E-2"/>
                </patternFill>
              </fill>
            </x14:dxf>
          </x14:cfRule>
          <xm:sqref>Q184</xm:sqref>
        </x14:conditionalFormatting>
        <x14:conditionalFormatting xmlns:xm="http://schemas.microsoft.com/office/excel/2006/main">
          <x14:cfRule type="containsText" priority="142" operator="containsText" id="{868FA0AD-CE43-4F47-BCBA-D8B576419BEA}">
            <xm:f>NOT(ISERROR(SEARCH("-",G184)))</xm:f>
            <xm:f>"-"</xm:f>
            <x14:dxf>
              <fill>
                <patternFill>
                  <bgColor theme="0" tint="-4.9989318521683403E-2"/>
                </patternFill>
              </fill>
            </x14:dxf>
          </x14:cfRule>
          <xm:sqref>G184</xm:sqref>
        </x14:conditionalFormatting>
        <x14:conditionalFormatting xmlns:xm="http://schemas.microsoft.com/office/excel/2006/main">
          <x14:cfRule type="expression" priority="140" id="{72B0B7CD-32CA-4F7F-9247-C2F9298B2DD6}">
            <xm:f>I184=Categories!$E$7</xm:f>
            <x14:dxf>
              <font>
                <b/>
                <i val="0"/>
              </font>
            </x14:dxf>
          </x14:cfRule>
          <xm:sqref>L184</xm:sqref>
        </x14:conditionalFormatting>
        <x14:conditionalFormatting xmlns:xm="http://schemas.microsoft.com/office/excel/2006/main">
          <x14:cfRule type="expression" priority="139" id="{D9B4F73A-D4B5-4B0B-951D-B4054DC45DE0}">
            <xm:f>I184=Categories!$E$11</xm:f>
            <x14:dxf>
              <font>
                <b/>
                <i val="0"/>
              </font>
            </x14:dxf>
          </x14:cfRule>
          <xm:sqref>O184</xm:sqref>
        </x14:conditionalFormatting>
        <x14:conditionalFormatting xmlns:xm="http://schemas.microsoft.com/office/excel/2006/main">
          <x14:cfRule type="notContainsText" priority="138" operator="notContains" id="{C37BDB4F-3D15-4080-B099-FCC59D3A8DD9}">
            <xm:f>ISERROR(SEARCH("-",M184))</xm:f>
            <xm:f>"-"</xm:f>
            <x14:dxf>
              <fill>
                <patternFill>
                  <bgColor theme="0" tint="-4.9989318521683403E-2"/>
                </patternFill>
              </fill>
            </x14:dxf>
          </x14:cfRule>
          <xm:sqref>M184:N184</xm:sqref>
        </x14:conditionalFormatting>
        <x14:conditionalFormatting xmlns:xm="http://schemas.microsoft.com/office/excel/2006/main">
          <x14:cfRule type="expression" priority="137" id="{2F2DC205-DD2B-4B54-B5C1-A06EAFAF8E4D}">
            <xm:f>I184=Categories!$E$16</xm:f>
            <x14:dxf>
              <font>
                <b/>
                <i val="0"/>
              </font>
            </x14:dxf>
          </x14:cfRule>
          <xm:sqref>K184</xm:sqref>
        </x14:conditionalFormatting>
        <x14:conditionalFormatting xmlns:xm="http://schemas.microsoft.com/office/excel/2006/main">
          <x14:cfRule type="containsText" priority="135" operator="containsText" id="{0D813C58-F12C-4349-920A-DE6B5DB7E1C4}">
            <xm:f>NOT(ISERROR(SEARCH("-",Q184)))</xm:f>
            <xm:f>"-"</xm:f>
            <x14:dxf>
              <fill>
                <patternFill>
                  <bgColor theme="0"/>
                </patternFill>
              </fill>
            </x14:dxf>
          </x14:cfRule>
          <x14:cfRule type="notContainsText" priority="136" operator="notContains" id="{E277A227-87F7-4E0D-9793-16DADD3BB101}">
            <xm:f>ISERROR(SEARCH("-",Q184))</xm:f>
            <xm:f>"-"</xm:f>
            <x14:dxf>
              <fill>
                <patternFill>
                  <bgColor theme="0" tint="-4.9989318521683403E-2"/>
                </patternFill>
              </fill>
            </x14:dxf>
          </x14:cfRule>
          <xm:sqref>Q184</xm:sqref>
        </x14:conditionalFormatting>
        <x14:conditionalFormatting xmlns:xm="http://schemas.microsoft.com/office/excel/2006/main">
          <x14:cfRule type="expression" priority="134" id="{2D43D49C-F736-4BB2-A27C-1532EAAE0579}">
            <xm:f>I221=Categories!$E$11</xm:f>
            <x14:dxf>
              <font>
                <b/>
                <i val="0"/>
              </font>
            </x14:dxf>
          </x14:cfRule>
          <xm:sqref>O221:O227</xm:sqref>
        </x14:conditionalFormatting>
        <x14:conditionalFormatting xmlns:xm="http://schemas.microsoft.com/office/excel/2006/main">
          <x14:cfRule type="notContainsText" priority="133" operator="notContains" id="{A0CD95FE-0294-4B90-9DAE-B5C6D37A311B}">
            <xm:f>ISERROR(SEARCH("-",M221))</xm:f>
            <xm:f>"-"</xm:f>
            <x14:dxf>
              <fill>
                <patternFill>
                  <bgColor theme="0" tint="-4.9989318521683403E-2"/>
                </patternFill>
              </fill>
            </x14:dxf>
          </x14:cfRule>
          <xm:sqref>M221:N227</xm:sqref>
        </x14:conditionalFormatting>
        <x14:conditionalFormatting xmlns:xm="http://schemas.microsoft.com/office/excel/2006/main">
          <x14:cfRule type="expression" priority="132" id="{8D042B17-1975-40BF-9B76-A46CC2212E82}">
            <xm:f>I227=Categories!$E$7</xm:f>
            <x14:dxf>
              <font>
                <b/>
                <i val="0"/>
              </font>
            </x14:dxf>
          </x14:cfRule>
          <xm:sqref>L227</xm:sqref>
        </x14:conditionalFormatting>
        <x14:conditionalFormatting xmlns:xm="http://schemas.microsoft.com/office/excel/2006/main">
          <x14:cfRule type="expression" priority="131" id="{BEA519AD-8FD2-4081-8F40-C3D5A02B73B2}">
            <xm:f>I225=Categories!$E$7</xm:f>
            <x14:dxf>
              <font>
                <b/>
                <i val="0"/>
              </font>
            </x14:dxf>
          </x14:cfRule>
          <xm:sqref>L225</xm:sqref>
        </x14:conditionalFormatting>
        <x14:conditionalFormatting xmlns:xm="http://schemas.microsoft.com/office/excel/2006/main">
          <x14:cfRule type="expression" priority="130" id="{8A2565CC-84E9-4C5F-A9EA-68C56A129808}">
            <xm:f>I223=Categories!$E$7</xm:f>
            <x14:dxf>
              <font>
                <b/>
                <i val="0"/>
              </font>
            </x14:dxf>
          </x14:cfRule>
          <xm:sqref>L223</xm:sqref>
        </x14:conditionalFormatting>
        <x14:conditionalFormatting xmlns:xm="http://schemas.microsoft.com/office/excel/2006/main">
          <x14:cfRule type="containsText" priority="127" operator="containsText" id="{5A34C851-8A29-4E40-A1F4-21FE0196FBAA}">
            <xm:f>NOT(ISERROR(SEARCH("-",G221)))</xm:f>
            <xm:f>"-"</xm:f>
            <x14:dxf>
              <fill>
                <patternFill>
                  <bgColor theme="0" tint="-4.9989318521683403E-2"/>
                </patternFill>
              </fill>
            </x14:dxf>
          </x14:cfRule>
          <xm:sqref>G221</xm:sqref>
        </x14:conditionalFormatting>
        <x14:conditionalFormatting xmlns:xm="http://schemas.microsoft.com/office/excel/2006/main">
          <x14:cfRule type="expression" priority="125" id="{44A0F066-D009-4EAF-9D9A-945020CE3A23}">
            <xm:f>I221=Categories!$E$7</xm:f>
            <x14:dxf>
              <font>
                <b/>
                <i val="0"/>
              </font>
            </x14:dxf>
          </x14:cfRule>
          <xm:sqref>L221</xm:sqref>
        </x14:conditionalFormatting>
        <x14:conditionalFormatting xmlns:xm="http://schemas.microsoft.com/office/excel/2006/main">
          <x14:cfRule type="expression" priority="124" id="{CA9DE02E-F1FE-4A49-B76C-0781303A4D4F}">
            <xm:f>I222=Categories!$E$7</xm:f>
            <x14:dxf>
              <font>
                <b/>
                <i val="0"/>
              </font>
            </x14:dxf>
          </x14:cfRule>
          <xm:sqref>L222</xm:sqref>
        </x14:conditionalFormatting>
        <x14:conditionalFormatting xmlns:xm="http://schemas.microsoft.com/office/excel/2006/main">
          <x14:cfRule type="expression" priority="123" id="{6D118DDB-25D7-4CAE-AB59-30303E55F7F0}">
            <xm:f>I224=Categories!$E$7</xm:f>
            <x14:dxf>
              <font>
                <b/>
                <i val="0"/>
              </font>
            </x14:dxf>
          </x14:cfRule>
          <xm:sqref>L224</xm:sqref>
        </x14:conditionalFormatting>
        <x14:conditionalFormatting xmlns:xm="http://schemas.microsoft.com/office/excel/2006/main">
          <x14:cfRule type="expression" priority="122" id="{AE98199A-2FAB-49C2-A7DA-EDAB54A1C1EF}">
            <xm:f>I226=Categories!$E$7</xm:f>
            <x14:dxf>
              <font>
                <b/>
                <i val="0"/>
              </font>
            </x14:dxf>
          </x14:cfRule>
          <xm:sqref>L226</xm:sqref>
        </x14:conditionalFormatting>
        <x14:conditionalFormatting xmlns:xm="http://schemas.microsoft.com/office/excel/2006/main">
          <x14:cfRule type="expression" priority="121" id="{D08F1698-B397-41BB-ADB7-7E0520B94C58}">
            <xm:f>I221=Categories!$E$16</xm:f>
            <x14:dxf>
              <font>
                <b/>
                <i val="0"/>
              </font>
            </x14:dxf>
          </x14:cfRule>
          <xm:sqref>K221:K227</xm:sqref>
        </x14:conditionalFormatting>
        <x14:conditionalFormatting xmlns:xm="http://schemas.microsoft.com/office/excel/2006/main">
          <x14:cfRule type="containsText" priority="119" operator="containsText" id="{077D79A6-9C2F-4ED0-8057-0BB6DDF31727}">
            <xm:f>NOT(ISERROR(SEARCH("-",Q221)))</xm:f>
            <xm:f>"-"</xm:f>
            <x14:dxf>
              <fill>
                <patternFill>
                  <bgColor theme="0"/>
                </patternFill>
              </fill>
            </x14:dxf>
          </x14:cfRule>
          <x14:cfRule type="notContainsText" priority="120" operator="notContains" id="{5926AA3A-2439-464C-9AA4-48B4F11A36BE}">
            <xm:f>ISERROR(SEARCH("-",Q221))</xm:f>
            <xm:f>"-"</xm:f>
            <x14:dxf>
              <fill>
                <patternFill>
                  <bgColor theme="0" tint="-4.9989318521683403E-2"/>
                </patternFill>
              </fill>
            </x14:dxf>
          </x14:cfRule>
          <xm:sqref>Q221:Q227</xm:sqref>
        </x14:conditionalFormatting>
        <x14:conditionalFormatting xmlns:xm="http://schemas.microsoft.com/office/excel/2006/main">
          <x14:cfRule type="containsText" priority="112" operator="containsText" id="{F4414B85-9936-4C20-8185-17239887965A}">
            <xm:f>NOT(ISERROR(SEARCH("-",G222)))</xm:f>
            <xm:f>"-"</xm:f>
            <x14:dxf>
              <fill>
                <patternFill>
                  <bgColor theme="0" tint="-4.9989318521683403E-2"/>
                </patternFill>
              </fill>
            </x14:dxf>
          </x14:cfRule>
          <xm:sqref>G222:G227</xm:sqref>
        </x14:conditionalFormatting>
        <x14:conditionalFormatting xmlns:xm="http://schemas.microsoft.com/office/excel/2006/main">
          <x14:cfRule type="containsText" priority="99" operator="containsText" id="{EB3C62B2-4349-46F4-BF78-AA50C6EA492B}">
            <xm:f>NOT(ISERROR(SEARCH("-",G237)))</xm:f>
            <xm:f>"-"</xm:f>
            <x14:dxf>
              <fill>
                <patternFill>
                  <bgColor theme="0" tint="-4.9989318521683403E-2"/>
                </patternFill>
              </fill>
            </x14:dxf>
          </x14:cfRule>
          <xm:sqref>G237:G264</xm:sqref>
        </x14:conditionalFormatting>
        <x14:conditionalFormatting xmlns:xm="http://schemas.microsoft.com/office/excel/2006/main">
          <x14:cfRule type="expression" priority="95" id="{86975A46-EBB5-4870-9E1D-ED9E9EFC8775}">
            <xm:f>I229=Categories!$E$7</xm:f>
            <x14:dxf>
              <font>
                <b/>
                <i val="0"/>
              </font>
            </x14:dxf>
          </x14:cfRule>
          <xm:sqref>L229:L264</xm:sqref>
        </x14:conditionalFormatting>
        <x14:conditionalFormatting xmlns:xm="http://schemas.microsoft.com/office/excel/2006/main">
          <x14:cfRule type="expression" priority="94" id="{AC35695C-E740-45E0-8B2B-44609E325D91}">
            <xm:f>I229=Categories!$E$11</xm:f>
            <x14:dxf>
              <font>
                <b/>
                <i val="0"/>
              </font>
            </x14:dxf>
          </x14:cfRule>
          <xm:sqref>O229:O264</xm:sqref>
        </x14:conditionalFormatting>
        <x14:conditionalFormatting xmlns:xm="http://schemas.microsoft.com/office/excel/2006/main">
          <x14:cfRule type="notContainsText" priority="93" operator="notContains" id="{2C0C8111-E247-448F-B251-C37C9F8D3A1D}">
            <xm:f>ISERROR(SEARCH("-",M229))</xm:f>
            <xm:f>"-"</xm:f>
            <x14:dxf>
              <fill>
                <patternFill>
                  <bgColor theme="0" tint="-4.9989318521683403E-2"/>
                </patternFill>
              </fill>
            </x14:dxf>
          </x14:cfRule>
          <xm:sqref>M229:N264</xm:sqref>
        </x14:conditionalFormatting>
        <x14:conditionalFormatting xmlns:xm="http://schemas.microsoft.com/office/excel/2006/main">
          <x14:cfRule type="expression" priority="81" id="{0092AB35-0481-4E86-BD72-9AB7D7706CEC}">
            <xm:f>I229=Categories!$E$16</xm:f>
            <x14:dxf>
              <font>
                <b/>
                <i val="0"/>
              </font>
            </x14:dxf>
          </x14:cfRule>
          <xm:sqref>K229:K264</xm:sqref>
        </x14:conditionalFormatting>
        <x14:conditionalFormatting xmlns:xm="http://schemas.microsoft.com/office/excel/2006/main">
          <x14:cfRule type="containsText" priority="79" operator="containsText" id="{2C8A3C2B-4FE5-4C30-83B0-8FFD87EC476D}">
            <xm:f>NOT(ISERROR(SEARCH("-",Q229)))</xm:f>
            <xm:f>"-"</xm:f>
            <x14:dxf>
              <fill>
                <patternFill>
                  <bgColor theme="0"/>
                </patternFill>
              </fill>
            </x14:dxf>
          </x14:cfRule>
          <x14:cfRule type="notContainsText" priority="80" operator="notContains" id="{E5F35D82-19C5-4D85-9EA2-2FB9FDB0A560}">
            <xm:f>ISERROR(SEARCH("-",Q229))</xm:f>
            <xm:f>"-"</xm:f>
            <x14:dxf>
              <fill>
                <patternFill>
                  <bgColor theme="0" tint="-4.9989318521683403E-2"/>
                </patternFill>
              </fill>
            </x14:dxf>
          </x14:cfRule>
          <xm:sqref>Q229:Q264</xm:sqref>
        </x14:conditionalFormatting>
        <x14:conditionalFormatting xmlns:xm="http://schemas.microsoft.com/office/excel/2006/main">
          <x14:cfRule type="containsText" priority="55" operator="containsText" id="{F0F9D338-09A6-4A23-B57E-68CE82FB7C97}">
            <xm:f>NOT(ISERROR(SEARCH("-",G229)))</xm:f>
            <xm:f>"-"</xm:f>
            <x14:dxf>
              <fill>
                <patternFill>
                  <bgColor theme="0" tint="-4.9989318521683403E-2"/>
                </patternFill>
              </fill>
            </x14:dxf>
          </x14:cfRule>
          <xm:sqref>G229:G236</xm:sqref>
        </x14:conditionalFormatting>
        <x14:conditionalFormatting xmlns:xm="http://schemas.microsoft.com/office/excel/2006/main">
          <x14:cfRule type="expression" priority="53" id="{8198A3BD-5291-43DD-AAD8-3D699C1D8E65}">
            <xm:f>I265=Categories!$E$11</xm:f>
            <x14:dxf>
              <font>
                <b/>
                <i val="0"/>
              </font>
            </x14:dxf>
          </x14:cfRule>
          <xm:sqref>O265:O271</xm:sqref>
        </x14:conditionalFormatting>
        <x14:conditionalFormatting xmlns:xm="http://schemas.microsoft.com/office/excel/2006/main">
          <x14:cfRule type="notContainsText" priority="52" operator="notContains" id="{31906845-5A8E-4757-8E69-3C1F24937A0D}">
            <xm:f>ISERROR(SEARCH("-",M265))</xm:f>
            <xm:f>"-"</xm:f>
            <x14:dxf>
              <fill>
                <patternFill>
                  <bgColor theme="0" tint="-4.9989318521683403E-2"/>
                </patternFill>
              </fill>
            </x14:dxf>
          </x14:cfRule>
          <xm:sqref>M265:N271</xm:sqref>
        </x14:conditionalFormatting>
        <x14:conditionalFormatting xmlns:xm="http://schemas.microsoft.com/office/excel/2006/main">
          <x14:cfRule type="expression" priority="51" id="{A8B0AF71-76A2-480B-8F96-F2270BFE05DF}">
            <xm:f>I271=Categories!$E$7</xm:f>
            <x14:dxf>
              <font>
                <b/>
                <i val="0"/>
              </font>
            </x14:dxf>
          </x14:cfRule>
          <xm:sqref>L271</xm:sqref>
        </x14:conditionalFormatting>
        <x14:conditionalFormatting xmlns:xm="http://schemas.microsoft.com/office/excel/2006/main">
          <x14:cfRule type="expression" priority="50" id="{90BE7D8C-3961-47C9-8FB7-418B4107FD97}">
            <xm:f>I269=Categories!$E$7</xm:f>
            <x14:dxf>
              <font>
                <b/>
                <i val="0"/>
              </font>
            </x14:dxf>
          </x14:cfRule>
          <xm:sqref>L269</xm:sqref>
        </x14:conditionalFormatting>
        <x14:conditionalFormatting xmlns:xm="http://schemas.microsoft.com/office/excel/2006/main">
          <x14:cfRule type="expression" priority="49" id="{0090BC6E-0655-4952-9E3C-939DEE87E906}">
            <xm:f>I267=Categories!$E$7</xm:f>
            <x14:dxf>
              <font>
                <b/>
                <i val="0"/>
              </font>
            </x14:dxf>
          </x14:cfRule>
          <xm:sqref>L267</xm:sqref>
        </x14:conditionalFormatting>
        <x14:conditionalFormatting xmlns:xm="http://schemas.microsoft.com/office/excel/2006/main">
          <x14:cfRule type="containsText" priority="46" operator="containsText" id="{C6B1225C-A983-4C82-AB20-B75C73FF857A}">
            <xm:f>NOT(ISERROR(SEARCH("-",G265)))</xm:f>
            <xm:f>"-"</xm:f>
            <x14:dxf>
              <fill>
                <patternFill>
                  <bgColor theme="0" tint="-4.9989318521683403E-2"/>
                </patternFill>
              </fill>
            </x14:dxf>
          </x14:cfRule>
          <xm:sqref>G265</xm:sqref>
        </x14:conditionalFormatting>
        <x14:conditionalFormatting xmlns:xm="http://schemas.microsoft.com/office/excel/2006/main">
          <x14:cfRule type="expression" priority="44" id="{E2A4AFED-B7EB-4EAA-982A-4C873F306F7D}">
            <xm:f>I265=Categories!$E$7</xm:f>
            <x14:dxf>
              <font>
                <b/>
                <i val="0"/>
              </font>
            </x14:dxf>
          </x14:cfRule>
          <xm:sqref>L265</xm:sqref>
        </x14:conditionalFormatting>
        <x14:conditionalFormatting xmlns:xm="http://schemas.microsoft.com/office/excel/2006/main">
          <x14:cfRule type="expression" priority="43" id="{EBFF7DD4-F0C4-4DE7-A190-8D404ED8ABB0}">
            <xm:f>I266=Categories!$E$7</xm:f>
            <x14:dxf>
              <font>
                <b/>
                <i val="0"/>
              </font>
            </x14:dxf>
          </x14:cfRule>
          <xm:sqref>L266</xm:sqref>
        </x14:conditionalFormatting>
        <x14:conditionalFormatting xmlns:xm="http://schemas.microsoft.com/office/excel/2006/main">
          <x14:cfRule type="expression" priority="42" id="{53E28471-6160-4209-AB70-C51991EDF380}">
            <xm:f>I268=Categories!$E$7</xm:f>
            <x14:dxf>
              <font>
                <b/>
                <i val="0"/>
              </font>
            </x14:dxf>
          </x14:cfRule>
          <xm:sqref>L268</xm:sqref>
        </x14:conditionalFormatting>
        <x14:conditionalFormatting xmlns:xm="http://schemas.microsoft.com/office/excel/2006/main">
          <x14:cfRule type="expression" priority="41" id="{34327084-8B4F-42B5-9BE0-0C15C20BDC61}">
            <xm:f>I270=Categories!$E$7</xm:f>
            <x14:dxf>
              <font>
                <b/>
                <i val="0"/>
              </font>
            </x14:dxf>
          </x14:cfRule>
          <xm:sqref>L270</xm:sqref>
        </x14:conditionalFormatting>
        <x14:conditionalFormatting xmlns:xm="http://schemas.microsoft.com/office/excel/2006/main">
          <x14:cfRule type="expression" priority="40" id="{8C645714-D877-48D5-B585-9D9A240033E5}">
            <xm:f>I265=Categories!$E$16</xm:f>
            <x14:dxf>
              <font>
                <b/>
                <i val="0"/>
              </font>
            </x14:dxf>
          </x14:cfRule>
          <xm:sqref>K265:K271</xm:sqref>
        </x14:conditionalFormatting>
        <x14:conditionalFormatting xmlns:xm="http://schemas.microsoft.com/office/excel/2006/main">
          <x14:cfRule type="containsText" priority="38" operator="containsText" id="{D9509148-6492-4016-A611-F56D3A32FB7E}">
            <xm:f>NOT(ISERROR(SEARCH("-",Q265)))</xm:f>
            <xm:f>"-"</xm:f>
            <x14:dxf>
              <fill>
                <patternFill>
                  <bgColor theme="0"/>
                </patternFill>
              </fill>
            </x14:dxf>
          </x14:cfRule>
          <x14:cfRule type="notContainsText" priority="39" operator="notContains" id="{091DA975-623B-4B37-8A8E-81B7ABA72489}">
            <xm:f>ISERROR(SEARCH("-",Q265))</xm:f>
            <xm:f>"-"</xm:f>
            <x14:dxf>
              <fill>
                <patternFill>
                  <bgColor theme="0" tint="-4.9989318521683403E-2"/>
                </patternFill>
              </fill>
            </x14:dxf>
          </x14:cfRule>
          <xm:sqref>Q265:Q271</xm:sqref>
        </x14:conditionalFormatting>
        <x14:conditionalFormatting xmlns:xm="http://schemas.microsoft.com/office/excel/2006/main">
          <x14:cfRule type="containsText" priority="27" operator="containsText" id="{1E5A2265-A3D1-4E52-AB17-BEE0E823F23B}">
            <xm:f>NOT(ISERROR(SEARCH("-",G273)))</xm:f>
            <xm:f>"-"</xm:f>
            <x14:dxf>
              <fill>
                <patternFill>
                  <bgColor theme="0" tint="-4.9989318521683403E-2"/>
                </patternFill>
              </fill>
            </x14:dxf>
          </x14:cfRule>
          <xm:sqref>G273:G283</xm:sqref>
        </x14:conditionalFormatting>
        <x14:conditionalFormatting xmlns:xm="http://schemas.microsoft.com/office/excel/2006/main">
          <x14:cfRule type="containsText" priority="31" operator="containsText" id="{2F9936B3-F0F3-4F90-8B2F-D1B8A25BCA67}">
            <xm:f>NOT(ISERROR(SEARCH("-",G266)))</xm:f>
            <xm:f>"-"</xm:f>
            <x14:dxf>
              <fill>
                <patternFill>
                  <bgColor theme="0" tint="-4.9989318521683403E-2"/>
                </patternFill>
              </fill>
            </x14:dxf>
          </x14:cfRule>
          <xm:sqref>G266:G271</xm:sqref>
        </x14:conditionalFormatting>
        <x14:conditionalFormatting xmlns:xm="http://schemas.microsoft.com/office/excel/2006/main">
          <x14:cfRule type="expression" priority="25" id="{28E02F35-D2EE-47B9-9721-F99E4D590B6B}">
            <xm:f>I228=Categories!$E$7</xm:f>
            <x14:dxf>
              <font>
                <b/>
                <i val="0"/>
              </font>
            </x14:dxf>
          </x14:cfRule>
          <xm:sqref>L228</xm:sqref>
        </x14:conditionalFormatting>
        <x14:conditionalFormatting xmlns:xm="http://schemas.microsoft.com/office/excel/2006/main">
          <x14:cfRule type="expression" priority="24" id="{E0629F42-E5CC-4A71-BC10-C8967E4F4427}">
            <xm:f>I228=Categories!$E$11</xm:f>
            <x14:dxf>
              <font>
                <b/>
                <i val="0"/>
              </font>
            </x14:dxf>
          </x14:cfRule>
          <xm:sqref>O228</xm:sqref>
        </x14:conditionalFormatting>
        <x14:conditionalFormatting xmlns:xm="http://schemas.microsoft.com/office/excel/2006/main">
          <x14:cfRule type="notContainsText" priority="23" operator="notContains" id="{FAF35A22-90A9-44AE-8B4E-FA3E9260E7A0}">
            <xm:f>ISERROR(SEARCH("-",M228))</xm:f>
            <xm:f>"-"</xm:f>
            <x14:dxf>
              <fill>
                <patternFill>
                  <bgColor theme="0" tint="-4.9989318521683403E-2"/>
                </patternFill>
              </fill>
            </x14:dxf>
          </x14:cfRule>
          <xm:sqref>M228:N228</xm:sqref>
        </x14:conditionalFormatting>
        <x14:conditionalFormatting xmlns:xm="http://schemas.microsoft.com/office/excel/2006/main">
          <x14:cfRule type="expression" priority="22" id="{8D91FE2E-1A3B-48E5-BF5D-7C49C9920CD3}">
            <xm:f>I228=Categories!$E$16</xm:f>
            <x14:dxf>
              <font>
                <b/>
                <i val="0"/>
              </font>
            </x14:dxf>
          </x14:cfRule>
          <xm:sqref>K228</xm:sqref>
        </x14:conditionalFormatting>
        <x14:conditionalFormatting xmlns:xm="http://schemas.microsoft.com/office/excel/2006/main">
          <x14:cfRule type="containsText" priority="17" operator="containsText" id="{AFACF14B-D48B-49C7-8D71-F5D201B12278}">
            <xm:f>NOT(ISERROR(SEARCH("-",G228)))</xm:f>
            <xm:f>"-"</xm:f>
            <x14:dxf>
              <fill>
                <patternFill>
                  <bgColor theme="0" tint="-4.9989318521683403E-2"/>
                </patternFill>
              </fill>
            </x14:dxf>
          </x14:cfRule>
          <xm:sqref>G228</xm:sqref>
        </x14:conditionalFormatting>
        <x14:conditionalFormatting xmlns:xm="http://schemas.microsoft.com/office/excel/2006/main">
          <x14:cfRule type="containsText" priority="14" operator="containsText" id="{35EE320B-3540-48DF-8057-88F2288BC57B}">
            <xm:f>NOT(ISERROR(SEARCH("-",Q228)))</xm:f>
            <xm:f>"-"</xm:f>
            <x14:dxf>
              <fill>
                <patternFill>
                  <bgColor theme="0"/>
                </patternFill>
              </fill>
            </x14:dxf>
          </x14:cfRule>
          <x14:cfRule type="notContainsText" priority="15" operator="notContains" id="{17D3132B-A172-45D9-83A9-9703545A552E}">
            <xm:f>ISERROR(SEARCH("-",Q228))</xm:f>
            <xm:f>"-"</xm:f>
            <x14:dxf>
              <fill>
                <patternFill>
                  <bgColor theme="0" tint="-4.9989318521683403E-2"/>
                </patternFill>
              </fill>
            </x14:dxf>
          </x14:cfRule>
          <xm:sqref>Q228</xm:sqref>
        </x14:conditionalFormatting>
      </x14:conditionalFormattings>
    </ex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2226F771-D9E6-4C31-8DE3-C2325725E8AA}">
          <x14:formula1>
            <xm:f>'C:\Users\Didrik\Dropbox\Arbeid\OUS\Proc\Excel\[GX_SeqX - Notes - Ver4.0 - Rev0.xlsm]Categories'!#REF!</xm:f>
          </x14:formula1>
          <xm:sqref>I285:I1048576</xm:sqref>
        </x14:dataValidation>
        <x14:dataValidation type="list" errorStyle="warning" allowBlank="1" showInputMessage="1" showErrorMessage="1" errorTitle="Category not listed" error="Go to the _x000a_Categories tab to update the category list" xr:uid="{33CFF9F4-DAE7-49BB-A212-B919C80596CD}">
          <x14:formula1>
            <xm:f>'C:\Users\Didrik\Dropbox\Arbeid\OUS\Proc\Excel\[GX_SeqX - Notes - Ver4.0 - Rev0.xlsm]Categories'!#REF!</xm:f>
          </x14:formula1>
          <xm:sqref>H285:H1048576</xm:sqref>
        </x14:dataValidation>
        <x14:dataValidation type="list" errorStyle="warning" allowBlank="1" showInputMessage="1" showErrorMessage="1" xr:uid="{C67286D2-EB70-4F2B-B4EC-AB90EEF74527}">
          <x14:formula1>
            <xm:f>'C:\Users\Didrik\Dropbox\Arbeid\OUS\Proc\Excel\[GX_SeqX - Notes - Ver4.0 - Rev0.xlsm]Categories'!#REF!</xm:f>
          </x14:formula1>
          <xm:sqref>L285:O1048576 T285:T1048576</xm:sqref>
        </x14:dataValidation>
        <x14:dataValidation type="list" errorStyle="warning" allowBlank="1" showInputMessage="1" showErrorMessage="1" errorTitle="Category not listed" error="Go to the _x000a_Categories tab to update the category list" xr:uid="{9759D45C-576D-4C10-9655-EFD471BC06DF}">
          <x14:formula1>
            <xm:f>Categories!$A$4:$A$13</xm:f>
          </x14:formula1>
          <xm:sqref>H4:I4 H5:H284</xm:sqref>
        </x14:dataValidation>
        <x14:dataValidation type="list" errorStyle="warning" allowBlank="1" showInputMessage="1" showErrorMessage="1" xr:uid="{09BD95C3-8F4B-4D21-829F-6023A368E547}">
          <x14:formula1>
            <xm:f>Categories!$K$4:$K$17</xm:f>
          </x14:formula1>
          <xm:sqref>O4:O284</xm:sqref>
        </x14:dataValidation>
        <x14:dataValidation type="list" errorStyle="warning" allowBlank="1" showInputMessage="1" showErrorMessage="1" errorTitle="Category not listed" error="Go to Categories tab to update the list of categories" xr:uid="{D53C40BF-D6A7-4374-8C40-9F5A76D404DC}">
          <x14:formula1>
            <xm:f>Categories!$E$4:$E$24</xm:f>
          </x14:formula1>
          <xm:sqref>I5:I284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F6B7-FADC-4A23-B5B4-DB0A920E38A4}">
  <sheetPr codeName="Sheet7"/>
  <dimension ref="A1:H61"/>
  <sheetViews>
    <sheetView showGridLines="0" zoomScale="90" zoomScaleNormal="90" workbookViewId="0">
      <pane ySplit="2" topLeftCell="A3" activePane="bottomLeft" state="frozen"/>
      <selection pane="bottomLeft" activeCell="F4" sqref="F4"/>
    </sheetView>
  </sheetViews>
  <sheetFormatPr defaultRowHeight="30" customHeight="1" x14ac:dyDescent="0.3"/>
  <cols>
    <col min="1" max="1" width="1.44140625" customWidth="1"/>
    <col min="2" max="2" width="13.77734375" customWidth="1"/>
    <col min="3" max="3" width="7.109375" bestFit="1" customWidth="1"/>
    <col min="4" max="4" width="21.88671875" style="26" customWidth="1"/>
    <col min="5" max="5" width="57.21875" style="191" customWidth="1"/>
    <col min="6" max="6" width="28.109375" customWidth="1"/>
    <col min="7" max="7" width="83.33203125" customWidth="1"/>
  </cols>
  <sheetData>
    <row r="1" spans="2:8" s="112" customFormat="1" ht="18" x14ac:dyDescent="0.35">
      <c r="B1" s="208" t="s">
        <v>122</v>
      </c>
      <c r="C1" s="208"/>
      <c r="D1" s="208" t="s">
        <v>122</v>
      </c>
      <c r="E1" s="212" t="s">
        <v>92</v>
      </c>
      <c r="F1" s="208"/>
      <c r="G1" s="208"/>
      <c r="H1" s="72"/>
    </row>
    <row r="2" spans="2:8" s="106" customFormat="1" ht="16.8" customHeight="1" x14ac:dyDescent="0.3">
      <c r="B2" s="120" t="s">
        <v>23</v>
      </c>
      <c r="C2" s="120" t="s">
        <v>91</v>
      </c>
      <c r="D2" s="120" t="s">
        <v>90</v>
      </c>
      <c r="E2" s="190" t="s">
        <v>89</v>
      </c>
      <c r="F2" s="120" t="s">
        <v>121</v>
      </c>
      <c r="G2" s="120" t="s">
        <v>88</v>
      </c>
    </row>
    <row r="3" spans="2:8" s="72" customFormat="1" ht="14.4" customHeight="1" x14ac:dyDescent="0.25">
      <c r="B3" s="209" t="s">
        <v>246</v>
      </c>
      <c r="C3" s="210"/>
      <c r="D3" s="210"/>
      <c r="E3" s="210"/>
      <c r="F3" s="210"/>
      <c r="G3" s="211"/>
    </row>
    <row r="4" spans="2:8" ht="24.6" customHeight="1" x14ac:dyDescent="0.3">
      <c r="B4" s="119"/>
      <c r="C4" s="70"/>
      <c r="D4" s="68"/>
      <c r="E4" s="67"/>
      <c r="F4" s="67" t="s">
        <v>328</v>
      </c>
      <c r="G4" s="116"/>
    </row>
    <row r="5" spans="2:8" ht="24.6" customHeight="1" x14ac:dyDescent="0.3">
      <c r="B5" s="119"/>
      <c r="C5" s="70"/>
      <c r="D5" s="68"/>
      <c r="E5" s="67" t="s">
        <v>324</v>
      </c>
      <c r="F5" s="67"/>
      <c r="G5" s="116"/>
    </row>
    <row r="6" spans="2:8" ht="24.6" customHeight="1" x14ac:dyDescent="0.3">
      <c r="B6" s="119"/>
      <c r="C6" s="70"/>
      <c r="D6" s="68"/>
      <c r="E6" s="67" t="s">
        <v>332</v>
      </c>
      <c r="F6" s="67"/>
      <c r="G6" s="116"/>
    </row>
    <row r="7" spans="2:8" ht="24.6" customHeight="1" x14ac:dyDescent="0.3">
      <c r="B7" s="119"/>
      <c r="C7" s="70"/>
      <c r="D7" s="68"/>
      <c r="E7" s="67" t="s">
        <v>331</v>
      </c>
      <c r="F7" s="67"/>
      <c r="G7" s="116"/>
    </row>
    <row r="8" spans="2:8" ht="24.6" customHeight="1" x14ac:dyDescent="0.3">
      <c r="B8" s="119"/>
      <c r="C8" s="70"/>
      <c r="D8" s="68"/>
      <c r="E8" s="67" t="s">
        <v>333</v>
      </c>
      <c r="F8" s="67"/>
      <c r="G8" s="116" t="s">
        <v>334</v>
      </c>
    </row>
    <row r="9" spans="2:8" ht="24.6" customHeight="1" x14ac:dyDescent="0.3">
      <c r="B9" s="119"/>
      <c r="C9" s="70"/>
      <c r="D9" s="68"/>
      <c r="E9" s="67" t="s">
        <v>329</v>
      </c>
      <c r="F9" s="67"/>
      <c r="G9" s="116"/>
    </row>
    <row r="10" spans="2:8" ht="24.6" customHeight="1" x14ac:dyDescent="0.3">
      <c r="B10" s="119"/>
      <c r="C10" s="70"/>
      <c r="D10" s="68"/>
      <c r="E10" s="67" t="s">
        <v>325</v>
      </c>
      <c r="F10" s="67"/>
      <c r="G10" s="116"/>
    </row>
    <row r="11" spans="2:8" ht="24.6" customHeight="1" x14ac:dyDescent="0.3">
      <c r="B11" s="119"/>
      <c r="C11" s="70"/>
      <c r="D11" s="68"/>
      <c r="E11" s="67" t="s">
        <v>327</v>
      </c>
      <c r="F11" s="67"/>
      <c r="G11" s="116"/>
    </row>
    <row r="12" spans="2:8" ht="24.6" customHeight="1" x14ac:dyDescent="0.3">
      <c r="B12" s="119"/>
      <c r="C12" s="70"/>
      <c r="D12" s="68"/>
      <c r="E12" s="67" t="s">
        <v>326</v>
      </c>
      <c r="F12" s="67"/>
      <c r="G12" s="116"/>
    </row>
    <row r="13" spans="2:8" ht="24.6" customHeight="1" x14ac:dyDescent="0.3">
      <c r="B13" s="119"/>
      <c r="C13" s="70"/>
      <c r="D13" s="68"/>
      <c r="E13" s="67"/>
      <c r="F13" s="67"/>
      <c r="G13" s="116"/>
    </row>
    <row r="14" spans="2:8" ht="24.6" customHeight="1" x14ac:dyDescent="0.3">
      <c r="B14" s="119"/>
      <c r="C14" s="70"/>
      <c r="D14" s="68"/>
      <c r="E14" s="67"/>
      <c r="F14" s="116" t="s">
        <v>341</v>
      </c>
      <c r="G14" s="116"/>
    </row>
    <row r="15" spans="2:8" ht="24.6" customHeight="1" x14ac:dyDescent="0.3">
      <c r="B15" s="119"/>
      <c r="C15" s="70"/>
      <c r="D15" s="68"/>
      <c r="E15" s="67" t="s">
        <v>330</v>
      </c>
      <c r="F15" s="67"/>
      <c r="G15" s="116"/>
    </row>
    <row r="16" spans="2:8" ht="50.4" x14ac:dyDescent="0.3">
      <c r="B16" s="119"/>
      <c r="C16" s="70"/>
      <c r="D16" s="68"/>
      <c r="E16" s="67" t="s">
        <v>262</v>
      </c>
      <c r="F16" s="67"/>
      <c r="G16" s="116"/>
    </row>
    <row r="17" spans="1:7" ht="24.6" customHeight="1" x14ac:dyDescent="0.3">
      <c r="B17" s="119"/>
      <c r="C17" s="70"/>
      <c r="D17" s="68"/>
      <c r="E17" s="67"/>
      <c r="F17" s="67"/>
      <c r="G17" s="116"/>
    </row>
    <row r="18" spans="1:7" ht="24.6" customHeight="1" x14ac:dyDescent="0.3">
      <c r="A18" s="114">
        <v>44013</v>
      </c>
      <c r="B18" s="119"/>
      <c r="C18" s="70"/>
      <c r="D18" s="68"/>
      <c r="E18" s="67" t="s">
        <v>337</v>
      </c>
      <c r="F18" s="67"/>
      <c r="G18" s="116"/>
    </row>
    <row r="19" spans="1:7" ht="24.6" customHeight="1" x14ac:dyDescent="0.3">
      <c r="A19" s="114">
        <v>44013</v>
      </c>
      <c r="B19" s="119"/>
      <c r="C19" s="70"/>
      <c r="D19" s="68"/>
      <c r="E19" s="67" t="s">
        <v>263</v>
      </c>
      <c r="F19" s="67"/>
      <c r="G19" s="116"/>
    </row>
    <row r="20" spans="1:7" ht="21" x14ac:dyDescent="0.3">
      <c r="A20" s="114">
        <v>44013</v>
      </c>
      <c r="B20" s="119"/>
      <c r="C20" s="70"/>
      <c r="D20" s="68"/>
      <c r="E20" s="67"/>
      <c r="F20" s="67"/>
      <c r="G20" s="116"/>
    </row>
    <row r="21" spans="1:7" ht="25.2" x14ac:dyDescent="0.3">
      <c r="A21" s="114">
        <v>44013</v>
      </c>
      <c r="B21" s="117"/>
      <c r="C21" s="70"/>
      <c r="D21" s="68"/>
      <c r="E21" s="67" t="s">
        <v>335</v>
      </c>
      <c r="F21" s="67"/>
      <c r="G21" s="116"/>
    </row>
    <row r="22" spans="1:7" ht="24.6" customHeight="1" x14ac:dyDescent="0.3">
      <c r="A22" s="114">
        <v>44013</v>
      </c>
      <c r="B22" s="117"/>
      <c r="C22" s="70"/>
      <c r="D22" s="68"/>
      <c r="E22" s="67" t="s">
        <v>248</v>
      </c>
      <c r="F22" s="67"/>
      <c r="G22" s="116"/>
    </row>
    <row r="23" spans="1:7" ht="24.6" customHeight="1" x14ac:dyDescent="0.3">
      <c r="B23" s="117"/>
      <c r="C23" s="71"/>
      <c r="D23" s="68"/>
      <c r="E23" s="67" t="s">
        <v>249</v>
      </c>
      <c r="F23" s="67"/>
      <c r="G23" s="118"/>
    </row>
    <row r="24" spans="1:7" ht="24.6" customHeight="1" x14ac:dyDescent="0.3">
      <c r="B24" s="119"/>
      <c r="C24" s="71"/>
      <c r="D24" s="68"/>
      <c r="E24" s="67" t="s">
        <v>339</v>
      </c>
      <c r="F24" s="67"/>
      <c r="G24" s="118"/>
    </row>
    <row r="25" spans="1:7" ht="24.6" customHeight="1" x14ac:dyDescent="0.3">
      <c r="B25" s="119"/>
      <c r="C25" s="71"/>
      <c r="D25" s="68"/>
      <c r="E25" s="67"/>
      <c r="F25" s="67"/>
      <c r="G25" s="118"/>
    </row>
    <row r="26" spans="1:7" ht="24.6" customHeight="1" x14ac:dyDescent="0.3">
      <c r="B26" s="119"/>
      <c r="C26" s="70"/>
      <c r="D26" s="68"/>
      <c r="E26" s="67" t="s">
        <v>250</v>
      </c>
      <c r="F26" s="67"/>
      <c r="G26" s="116"/>
    </row>
    <row r="27" spans="1:7" ht="24.6" customHeight="1" x14ac:dyDescent="0.3">
      <c r="B27" s="119"/>
      <c r="C27" s="70"/>
      <c r="D27" s="68"/>
      <c r="E27" s="67"/>
      <c r="F27" s="67"/>
      <c r="G27" s="116" t="s">
        <v>343</v>
      </c>
    </row>
    <row r="28" spans="1:7" ht="24.6" customHeight="1" x14ac:dyDescent="0.3">
      <c r="B28" s="119"/>
      <c r="C28" s="70"/>
      <c r="D28" s="68"/>
      <c r="E28" s="67"/>
      <c r="F28" s="67"/>
      <c r="G28" s="116"/>
    </row>
    <row r="29" spans="1:7" ht="24.6" customHeight="1" x14ac:dyDescent="0.3">
      <c r="B29" s="119"/>
      <c r="C29" s="70"/>
      <c r="D29" s="68"/>
      <c r="E29" s="67"/>
      <c r="F29" s="67"/>
      <c r="G29" s="116"/>
    </row>
    <row r="30" spans="1:7" ht="24.6" customHeight="1" x14ac:dyDescent="0.3">
      <c r="B30" s="119"/>
      <c r="C30" s="70"/>
      <c r="D30" s="68"/>
      <c r="E30" s="67"/>
      <c r="F30" s="67"/>
      <c r="G30" s="116" t="s">
        <v>342</v>
      </c>
    </row>
    <row r="31" spans="1:7" ht="24.6" customHeight="1" x14ac:dyDescent="0.3">
      <c r="B31" s="119"/>
      <c r="C31" s="70"/>
      <c r="D31" s="68"/>
      <c r="E31" s="67" t="s">
        <v>336</v>
      </c>
      <c r="F31" s="67"/>
      <c r="G31" s="116"/>
    </row>
    <row r="32" spans="1:7" ht="24.6" customHeight="1" x14ac:dyDescent="0.3">
      <c r="B32" s="119"/>
      <c r="C32" s="70"/>
      <c r="D32" s="68"/>
      <c r="E32" s="67" t="s">
        <v>338</v>
      </c>
      <c r="F32" s="67"/>
      <c r="G32" s="116"/>
    </row>
    <row r="33" spans="2:7" ht="24.6" customHeight="1" x14ac:dyDescent="0.3">
      <c r="B33" s="119"/>
      <c r="C33" s="70"/>
      <c r="D33" s="68"/>
      <c r="E33" s="67" t="s">
        <v>272</v>
      </c>
      <c r="F33" s="67"/>
      <c r="G33" s="116"/>
    </row>
    <row r="34" spans="2:7" ht="24.6" customHeight="1" x14ac:dyDescent="0.3">
      <c r="B34" s="119"/>
      <c r="C34" s="70"/>
      <c r="D34" s="68"/>
      <c r="E34" s="67"/>
      <c r="F34" s="67"/>
      <c r="G34" s="116"/>
    </row>
    <row r="35" spans="2:7" ht="24.6" customHeight="1" x14ac:dyDescent="0.3">
      <c r="B35" s="119"/>
      <c r="C35" s="70"/>
      <c r="D35" s="68"/>
      <c r="E35" s="67"/>
      <c r="F35" s="67"/>
      <c r="G35" s="116"/>
    </row>
    <row r="36" spans="2:7" ht="24.6" customHeight="1" x14ac:dyDescent="0.3">
      <c r="B36" s="119"/>
      <c r="C36" s="70"/>
      <c r="D36" s="68"/>
      <c r="E36" s="67"/>
      <c r="F36" s="67"/>
      <c r="G36" s="116"/>
    </row>
    <row r="37" spans="2:7" ht="24.6" customHeight="1" x14ac:dyDescent="0.3">
      <c r="B37" s="119"/>
      <c r="C37" s="70"/>
      <c r="D37" s="68"/>
      <c r="E37" s="67"/>
      <c r="F37" s="67"/>
      <c r="G37" s="67"/>
    </row>
    <row r="38" spans="2:7" ht="24.6" customHeight="1" x14ac:dyDescent="0.3">
      <c r="B38" s="119"/>
      <c r="C38" s="70"/>
      <c r="D38" s="68"/>
      <c r="E38" s="67"/>
      <c r="F38" s="67"/>
      <c r="G38" s="67"/>
    </row>
    <row r="39" spans="2:7" ht="24.6" customHeight="1" x14ac:dyDescent="0.3">
      <c r="B39" s="119"/>
      <c r="C39" s="70"/>
      <c r="D39" s="68"/>
      <c r="E39" s="67"/>
      <c r="F39" s="67"/>
      <c r="G39" s="116"/>
    </row>
    <row r="40" spans="2:7" ht="15.6" customHeight="1" x14ac:dyDescent="0.3">
      <c r="B40" s="209" t="s">
        <v>251</v>
      </c>
      <c r="C40" s="210"/>
      <c r="D40" s="210"/>
      <c r="E40" s="210"/>
      <c r="F40" s="210"/>
      <c r="G40" s="211"/>
    </row>
    <row r="41" spans="2:7" ht="30" customHeight="1" x14ac:dyDescent="0.3">
      <c r="B41" s="119"/>
      <c r="C41" s="70"/>
      <c r="D41" s="68"/>
      <c r="E41" s="67"/>
      <c r="F41" s="67"/>
      <c r="G41" s="67"/>
    </row>
    <row r="42" spans="2:7" ht="30" customHeight="1" x14ac:dyDescent="0.3">
      <c r="B42" s="119"/>
      <c r="C42" s="69"/>
      <c r="D42" s="68"/>
      <c r="E42" s="67"/>
      <c r="F42" s="67"/>
      <c r="G42" s="67"/>
    </row>
    <row r="43" spans="2:7" ht="30" customHeight="1" x14ac:dyDescent="0.3">
      <c r="B43" s="119"/>
      <c r="C43" s="70"/>
      <c r="D43" s="68"/>
      <c r="E43" s="67"/>
      <c r="F43" s="67"/>
      <c r="G43" s="67"/>
    </row>
    <row r="44" spans="2:7" ht="30" customHeight="1" x14ac:dyDescent="0.3">
      <c r="B44" s="119"/>
      <c r="C44" s="69"/>
      <c r="D44" s="68"/>
      <c r="E44" s="67"/>
      <c r="F44" s="67"/>
      <c r="G44" s="67"/>
    </row>
    <row r="45" spans="2:7" ht="30" customHeight="1" x14ac:dyDescent="0.3">
      <c r="B45" s="119"/>
      <c r="C45" s="69"/>
      <c r="D45" s="68"/>
      <c r="E45" s="67"/>
      <c r="F45" s="67"/>
      <c r="G45" s="67"/>
    </row>
    <row r="46" spans="2:7" ht="30" customHeight="1" x14ac:dyDescent="0.3">
      <c r="B46" s="119"/>
      <c r="C46" s="69"/>
      <c r="D46" s="68"/>
      <c r="E46" s="67"/>
      <c r="F46" s="67"/>
      <c r="G46" s="67"/>
    </row>
    <row r="47" spans="2:7" ht="15.6" customHeight="1" x14ac:dyDescent="0.3">
      <c r="B47" s="209" t="s">
        <v>247</v>
      </c>
      <c r="C47" s="210"/>
      <c r="D47" s="210"/>
      <c r="E47" s="210"/>
      <c r="F47" s="210"/>
      <c r="G47" s="211"/>
    </row>
    <row r="48" spans="2:7" ht="30" customHeight="1" x14ac:dyDescent="0.3">
      <c r="B48" s="119"/>
      <c r="C48" s="69"/>
      <c r="D48" s="68"/>
      <c r="E48" s="67" t="s">
        <v>87</v>
      </c>
      <c r="F48" s="67"/>
      <c r="G48" s="118"/>
    </row>
    <row r="49" spans="2:7" ht="30" customHeight="1" x14ac:dyDescent="0.3">
      <c r="B49" s="119"/>
      <c r="C49" s="69"/>
      <c r="D49" s="68"/>
      <c r="E49" s="67" t="s">
        <v>87</v>
      </c>
      <c r="F49" s="67"/>
      <c r="G49" s="118"/>
    </row>
    <row r="50" spans="2:7" ht="30" customHeight="1" x14ac:dyDescent="0.3">
      <c r="B50" s="119"/>
      <c r="C50" s="69"/>
      <c r="D50" s="68"/>
      <c r="E50" s="67" t="s">
        <v>86</v>
      </c>
      <c r="F50" s="67"/>
      <c r="G50" s="118"/>
    </row>
    <row r="51" spans="2:7" ht="30" customHeight="1" x14ac:dyDescent="0.3">
      <c r="B51" s="119"/>
      <c r="C51" s="69"/>
      <c r="D51" s="68"/>
      <c r="E51" s="67" t="s">
        <v>85</v>
      </c>
      <c r="F51" s="67"/>
      <c r="G51" s="118" t="s">
        <v>84</v>
      </c>
    </row>
    <row r="52" spans="2:7" ht="30" customHeight="1" x14ac:dyDescent="0.3">
      <c r="B52" s="119"/>
      <c r="C52" s="69"/>
      <c r="D52" s="68"/>
      <c r="E52" s="67"/>
      <c r="F52" s="67"/>
      <c r="G52" s="118"/>
    </row>
    <row r="53" spans="2:7" ht="30" customHeight="1" x14ac:dyDescent="0.3">
      <c r="B53" s="119"/>
      <c r="C53" s="69"/>
      <c r="D53" s="68"/>
      <c r="E53" s="67"/>
      <c r="F53" s="67"/>
      <c r="G53" s="118"/>
    </row>
    <row r="54" spans="2:7" ht="30" customHeight="1" x14ac:dyDescent="0.3">
      <c r="B54" s="119"/>
      <c r="C54" s="69"/>
      <c r="D54" s="68"/>
      <c r="E54" s="67"/>
      <c r="F54" s="67"/>
      <c r="G54" s="118"/>
    </row>
    <row r="55" spans="2:7" ht="30" customHeight="1" x14ac:dyDescent="0.3">
      <c r="B55" s="119"/>
      <c r="C55" s="69"/>
      <c r="D55" s="68"/>
      <c r="E55" s="67"/>
      <c r="F55" s="67"/>
      <c r="G55" s="118"/>
    </row>
    <row r="56" spans="2:7" ht="30" customHeight="1" x14ac:dyDescent="0.3">
      <c r="B56" s="119"/>
      <c r="C56" s="69"/>
      <c r="D56" s="68"/>
      <c r="E56" s="67" t="s">
        <v>83</v>
      </c>
      <c r="F56" s="67"/>
      <c r="G56" s="118"/>
    </row>
    <row r="57" spans="2:7" ht="30" customHeight="1" x14ac:dyDescent="0.3">
      <c r="B57" s="119"/>
      <c r="C57" s="69"/>
      <c r="D57" s="68"/>
      <c r="E57" s="67" t="s">
        <v>82</v>
      </c>
      <c r="F57" s="67"/>
      <c r="G57" s="118"/>
    </row>
    <row r="58" spans="2:7" ht="30" customHeight="1" x14ac:dyDescent="0.3">
      <c r="B58" s="26"/>
    </row>
    <row r="59" spans="2:7" ht="30" customHeight="1" x14ac:dyDescent="0.3">
      <c r="B59" s="26"/>
    </row>
    <row r="60" spans="2:7" ht="30" customHeight="1" x14ac:dyDescent="0.3">
      <c r="B60" s="26"/>
    </row>
    <row r="61" spans="2:7" ht="30" customHeight="1" x14ac:dyDescent="0.3">
      <c r="B61" s="26"/>
    </row>
  </sheetData>
  <mergeCells count="5">
    <mergeCell ref="B1:D1"/>
    <mergeCell ref="B40:G40"/>
    <mergeCell ref="B47:G47"/>
    <mergeCell ref="B3:G3"/>
    <mergeCell ref="E1:G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6A307-A203-4F24-AEA9-EF0B9735099A}">
  <sheetPr codeName="Sheet2">
    <pageSetUpPr fitToPage="1"/>
  </sheetPr>
  <dimension ref="B1:J23"/>
  <sheetViews>
    <sheetView showGridLines="0" zoomScale="90" zoomScaleNormal="90" workbookViewId="0">
      <selection activeCell="J14" sqref="J14"/>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7.8" customHeight="1" x14ac:dyDescent="0.3"/>
    <row r="2" spans="2:10" s="1" customFormat="1" ht="19.95" customHeight="1" x14ac:dyDescent="0.3">
      <c r="B2" s="213" t="s">
        <v>77</v>
      </c>
      <c r="C2" s="213"/>
      <c r="D2" s="106"/>
      <c r="E2" s="213" t="s">
        <v>132</v>
      </c>
      <c r="F2" s="213"/>
      <c r="G2" s="213"/>
      <c r="H2" s="213"/>
      <c r="I2" s="213"/>
      <c r="J2" s="213"/>
    </row>
    <row r="3" spans="2:10" s="2" customFormat="1" ht="19.95" customHeight="1" x14ac:dyDescent="0.3">
      <c r="B3" s="5" t="s">
        <v>108</v>
      </c>
      <c r="C3" s="3" t="s">
        <v>253</v>
      </c>
      <c r="D3" s="107"/>
      <c r="E3" s="22" t="s">
        <v>28</v>
      </c>
      <c r="F3" s="22" t="s">
        <v>8</v>
      </c>
      <c r="G3" s="22" t="s">
        <v>42</v>
      </c>
      <c r="H3" s="22" t="s">
        <v>131</v>
      </c>
      <c r="I3" s="23" t="s">
        <v>130</v>
      </c>
      <c r="J3" s="23" t="s">
        <v>353</v>
      </c>
    </row>
    <row r="4" spans="2:10" s="1" customFormat="1" ht="19.95" customHeight="1" x14ac:dyDescent="0.3">
      <c r="B4" s="5" t="s">
        <v>120</v>
      </c>
      <c r="C4" s="4" t="s">
        <v>114</v>
      </c>
      <c r="D4" s="106"/>
      <c r="E4" s="105" t="s">
        <v>29</v>
      </c>
      <c r="F4" s="123" t="s">
        <v>137</v>
      </c>
      <c r="G4" s="122">
        <v>1</v>
      </c>
      <c r="H4" s="122"/>
      <c r="I4" s="105" t="s">
        <v>264</v>
      </c>
      <c r="J4" s="105" t="s">
        <v>0</v>
      </c>
    </row>
    <row r="5" spans="2:10" s="1" customFormat="1" ht="19.95" customHeight="1" x14ac:dyDescent="0.3">
      <c r="B5" s="5" t="s">
        <v>109</v>
      </c>
      <c r="C5" s="4" t="s">
        <v>235</v>
      </c>
      <c r="D5" s="106"/>
      <c r="E5" s="105" t="s">
        <v>31</v>
      </c>
      <c r="F5" s="24" t="s">
        <v>138</v>
      </c>
      <c r="G5" s="122">
        <v>1</v>
      </c>
      <c r="H5" s="122"/>
      <c r="I5" s="105" t="s">
        <v>0</v>
      </c>
      <c r="J5" s="105" t="s">
        <v>349</v>
      </c>
    </row>
    <row r="6" spans="2:10" s="1" customFormat="1" ht="19.95" customHeight="1" x14ac:dyDescent="0.3">
      <c r="B6" s="5" t="s">
        <v>236</v>
      </c>
      <c r="C6" s="4">
        <v>7</v>
      </c>
      <c r="D6" s="106"/>
      <c r="E6" s="105" t="s">
        <v>32</v>
      </c>
      <c r="F6" s="24" t="s">
        <v>139</v>
      </c>
      <c r="G6" s="122">
        <v>1</v>
      </c>
      <c r="H6" s="122"/>
      <c r="I6" s="105" t="s">
        <v>0</v>
      </c>
      <c r="J6" s="105" t="s">
        <v>0</v>
      </c>
    </row>
    <row r="7" spans="2:10" s="1" customFormat="1" ht="19.95" customHeight="1" x14ac:dyDescent="0.3">
      <c r="B7" s="5" t="s">
        <v>238</v>
      </c>
      <c r="C7" s="4" t="s">
        <v>241</v>
      </c>
      <c r="D7" s="106"/>
      <c r="E7" s="105" t="s">
        <v>100</v>
      </c>
      <c r="F7" s="24" t="s">
        <v>147</v>
      </c>
      <c r="G7" s="124">
        <v>3</v>
      </c>
      <c r="H7" s="124"/>
      <c r="I7" s="105" t="s">
        <v>265</v>
      </c>
      <c r="J7" s="105" t="s">
        <v>350</v>
      </c>
    </row>
    <row r="8" spans="2:10" s="1" customFormat="1" ht="19.95" customHeight="1" x14ac:dyDescent="0.3">
      <c r="B8" s="5" t="s">
        <v>252</v>
      </c>
      <c r="C8" s="182" t="str">
        <f>"Seq"&amp;LEFT($C$6,10)&amp;" - LVAD"&amp;LEFT($G$4,10) &amp; IF($C$7=Categories!$X$7,""," - "&amp;$C$7)</f>
        <v>Seq7 - LVAD1</v>
      </c>
      <c r="D8" s="106"/>
      <c r="E8" s="105" t="s">
        <v>100</v>
      </c>
      <c r="F8" s="24" t="s">
        <v>147</v>
      </c>
      <c r="G8" s="124">
        <v>2</v>
      </c>
      <c r="H8" s="124"/>
      <c r="I8" s="105" t="s">
        <v>133</v>
      </c>
      <c r="J8" s="105" t="s">
        <v>351</v>
      </c>
    </row>
    <row r="9" spans="2:10" s="2" customFormat="1" ht="19.95" customHeight="1" x14ac:dyDescent="0.3">
      <c r="B9" s="5" t="s">
        <v>110</v>
      </c>
      <c r="C9" s="182" t="str">
        <f>C5&amp;"_Seq"&amp;LEFT(C6,10)</f>
        <v>IV2_Seq7</v>
      </c>
      <c r="D9" s="107"/>
      <c r="E9" s="105" t="s">
        <v>100</v>
      </c>
      <c r="F9" s="24" t="s">
        <v>147</v>
      </c>
      <c r="G9" s="124">
        <v>4</v>
      </c>
      <c r="H9" s="124"/>
      <c r="I9" s="105" t="s">
        <v>266</v>
      </c>
      <c r="J9" s="105" t="s">
        <v>352</v>
      </c>
    </row>
    <row r="10" spans="2:10" s="2" customFormat="1" ht="19.95" customHeight="1" x14ac:dyDescent="0.3">
      <c r="B10" s="5" t="s">
        <v>34</v>
      </c>
      <c r="C10" s="4"/>
      <c r="D10" s="107"/>
      <c r="E10" s="3" t="s">
        <v>135</v>
      </c>
      <c r="F10" s="24" t="s">
        <v>146</v>
      </c>
      <c r="G10" s="24">
        <v>1</v>
      </c>
      <c r="H10" s="24"/>
      <c r="I10" s="3" t="s">
        <v>0</v>
      </c>
      <c r="J10" s="105" t="s">
        <v>0</v>
      </c>
    </row>
    <row r="11" spans="2:10" s="2" customFormat="1" ht="19.95" customHeight="1" x14ac:dyDescent="0.3">
      <c r="B11" s="108"/>
      <c r="C11" s="25"/>
      <c r="D11" s="107"/>
      <c r="E11" s="105" t="s">
        <v>149</v>
      </c>
      <c r="F11" s="24" t="s">
        <v>150</v>
      </c>
      <c r="G11" s="124">
        <v>1</v>
      </c>
      <c r="H11" s="124"/>
      <c r="I11" s="3" t="s">
        <v>0</v>
      </c>
      <c r="J11" s="105" t="s">
        <v>0</v>
      </c>
    </row>
    <row r="12" spans="2:10" s="2" customFormat="1" ht="19.95" customHeight="1" x14ac:dyDescent="0.3">
      <c r="B12" s="107"/>
      <c r="C12" s="107"/>
      <c r="D12" s="107"/>
      <c r="E12" s="3" t="s">
        <v>144</v>
      </c>
      <c r="F12" s="24" t="s">
        <v>145</v>
      </c>
      <c r="G12" s="24">
        <v>1</v>
      </c>
      <c r="H12" s="24"/>
      <c r="I12" s="3" t="s">
        <v>0</v>
      </c>
      <c r="J12" s="3" t="s">
        <v>0</v>
      </c>
    </row>
    <row r="13" spans="2:10" s="2" customFormat="1" ht="19.95" customHeight="1" x14ac:dyDescent="0.3">
      <c r="B13" s="107"/>
      <c r="C13" s="107"/>
      <c r="D13" s="107"/>
      <c r="E13" s="3" t="s">
        <v>144</v>
      </c>
      <c r="F13" s="24" t="s">
        <v>145</v>
      </c>
      <c r="G13" s="24">
        <v>2</v>
      </c>
      <c r="H13" s="24"/>
      <c r="I13" s="3" t="s">
        <v>0</v>
      </c>
      <c r="J13" s="3" t="s">
        <v>0</v>
      </c>
    </row>
    <row r="14" spans="2:10" s="2" customFormat="1" ht="19.95" customHeight="1" x14ac:dyDescent="0.3">
      <c r="B14" s="107"/>
      <c r="C14" s="107"/>
      <c r="E14" s="3" t="s">
        <v>30</v>
      </c>
      <c r="F14" s="24" t="s">
        <v>153</v>
      </c>
      <c r="G14" s="24">
        <v>1</v>
      </c>
      <c r="H14" s="24"/>
      <c r="I14" s="3" t="s">
        <v>243</v>
      </c>
      <c r="J14" s="3" t="s">
        <v>348</v>
      </c>
    </row>
    <row r="15" spans="2:10" s="2" customFormat="1" ht="19.95" customHeight="1" x14ac:dyDescent="0.3">
      <c r="B15" s="107"/>
      <c r="C15" s="107"/>
      <c r="E15" s="3" t="s">
        <v>30</v>
      </c>
      <c r="F15" s="24" t="s">
        <v>153</v>
      </c>
      <c r="G15" s="24">
        <v>2</v>
      </c>
      <c r="H15" s="24"/>
      <c r="I15" s="3" t="s">
        <v>267</v>
      </c>
      <c r="J15" s="3" t="s">
        <v>347</v>
      </c>
    </row>
    <row r="16" spans="2:10" ht="19.95" customHeight="1" x14ac:dyDescent="0.3">
      <c r="B16" s="2"/>
      <c r="C16" s="2"/>
      <c r="E16" s="3" t="s">
        <v>128</v>
      </c>
      <c r="F16" s="24" t="s">
        <v>141</v>
      </c>
      <c r="G16" s="24">
        <v>1</v>
      </c>
      <c r="H16" s="24"/>
      <c r="I16" s="3" t="s">
        <v>0</v>
      </c>
      <c r="J16" s="3" t="s">
        <v>0</v>
      </c>
    </row>
    <row r="17" spans="2:10" ht="19.95" customHeight="1" x14ac:dyDescent="0.3">
      <c r="B17" s="2"/>
      <c r="C17" s="2"/>
      <c r="E17" s="3" t="s">
        <v>129</v>
      </c>
      <c r="F17" s="24" t="s">
        <v>143</v>
      </c>
      <c r="G17" s="24">
        <v>1</v>
      </c>
      <c r="H17" s="24"/>
      <c r="I17" s="3" t="s">
        <v>0</v>
      </c>
      <c r="J17" s="3" t="s">
        <v>0</v>
      </c>
    </row>
    <row r="18" spans="2:10" ht="19.95" customHeight="1" x14ac:dyDescent="0.3">
      <c r="E18" s="105" t="s">
        <v>136</v>
      </c>
      <c r="F18" s="24" t="s">
        <v>151</v>
      </c>
      <c r="G18" s="122">
        <v>2</v>
      </c>
      <c r="H18" s="122"/>
      <c r="I18" s="3" t="s">
        <v>0</v>
      </c>
      <c r="J18" s="3" t="s">
        <v>0</v>
      </c>
    </row>
    <row r="19" spans="2:10" ht="19.95" customHeight="1" x14ac:dyDescent="0.3">
      <c r="E19" s="105" t="s">
        <v>142</v>
      </c>
      <c r="F19" s="24" t="s">
        <v>152</v>
      </c>
      <c r="G19" s="122">
        <v>1</v>
      </c>
      <c r="H19" s="122"/>
      <c r="I19" s="3" t="s">
        <v>156</v>
      </c>
      <c r="J19" s="3" t="s">
        <v>345</v>
      </c>
    </row>
    <row r="20" spans="2:10" ht="19.95" customHeight="1" x14ac:dyDescent="0.3">
      <c r="E20" s="105" t="s">
        <v>142</v>
      </c>
      <c r="F20" s="24" t="s">
        <v>152</v>
      </c>
      <c r="G20" s="122">
        <v>2</v>
      </c>
      <c r="H20" s="122"/>
      <c r="I20" s="3" t="s">
        <v>268</v>
      </c>
      <c r="J20" s="3" t="s">
        <v>346</v>
      </c>
    </row>
    <row r="21" spans="2:10" ht="19.95" customHeight="1" x14ac:dyDescent="0.3">
      <c r="E21" s="105" t="s">
        <v>148</v>
      </c>
      <c r="F21" s="122" t="s">
        <v>140</v>
      </c>
      <c r="G21" s="122">
        <v>1</v>
      </c>
      <c r="H21" s="122"/>
      <c r="I21" s="3" t="s">
        <v>0</v>
      </c>
      <c r="J21" s="3" t="s">
        <v>0</v>
      </c>
    </row>
    <row r="22" spans="2:10" ht="19.95" customHeight="1" x14ac:dyDescent="0.3">
      <c r="E22" s="3" t="s">
        <v>154</v>
      </c>
      <c r="F22" s="24" t="s">
        <v>155</v>
      </c>
      <c r="G22" s="24">
        <v>1</v>
      </c>
      <c r="H22" s="24"/>
      <c r="I22" s="3" t="s">
        <v>0</v>
      </c>
      <c r="J22" s="3" t="s">
        <v>0</v>
      </c>
    </row>
    <row r="23" spans="2:10" ht="19.95" customHeight="1" x14ac:dyDescent="0.3">
      <c r="E23" s="3" t="s">
        <v>154</v>
      </c>
      <c r="F23" s="24" t="s">
        <v>155</v>
      </c>
      <c r="G23" s="24">
        <v>2</v>
      </c>
      <c r="H23" s="24"/>
      <c r="I23" s="3" t="s">
        <v>0</v>
      </c>
      <c r="J23" s="3" t="s">
        <v>0</v>
      </c>
    </row>
  </sheetData>
  <sortState xmlns:xlrd2="http://schemas.microsoft.com/office/spreadsheetml/2017/richdata2" ref="E4:J25">
    <sortCondition ref="F4:F25"/>
  </sortState>
  <mergeCells count="2">
    <mergeCell ref="B2:C2"/>
    <mergeCell ref="E2:J2"/>
  </mergeCells>
  <dataValidations count="1">
    <dataValidation type="whole" errorStyle="information" showInputMessage="1" showErrorMessage="1" error="LVAD no must be given" sqref="G4" xr:uid="{DBFC28A2-597D-4760-BC2F-96494DD737A0}">
      <formula1>0</formula1>
      <formula2>100</formula2>
    </dataValidation>
  </dataValidation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750A5CA6-9764-4FAD-8516-B8F23B2C5C21}">
          <x14:formula1>
            <xm:f>Categories!$I$4:$I$11</xm:f>
          </x14:formula1>
          <xm:sqref>C4</xm:sqref>
        </x14:dataValidation>
        <x14:dataValidation type="list" allowBlank="1" showInputMessage="1" showErrorMessage="1" xr:uid="{354D3204-E63D-4C2D-AC3D-427C81F853B2}">
          <x14:formula1>
            <xm:f>Categories!$X$4:$X$8</xm:f>
          </x14:formula1>
          <xm:sqref>C7:C8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CE504-F654-481F-B4D6-622C5A30EA81}">
  <sheetPr codeName="Sheet6"/>
  <dimension ref="B1:M51"/>
  <sheetViews>
    <sheetView showGridLines="0" zoomScale="70" zoomScaleNormal="70" workbookViewId="0">
      <selection activeCell="K8" sqref="K8"/>
    </sheetView>
  </sheetViews>
  <sheetFormatPr defaultColWidth="8.88671875" defaultRowHeight="42.6" customHeight="1" x14ac:dyDescent="0.3"/>
  <cols>
    <col min="1" max="1" width="1.6640625" style="14" customWidth="1"/>
    <col min="2" max="2" width="23.77734375" style="14" customWidth="1"/>
    <col min="3" max="3" width="7.6640625" style="16" bestFit="1" customWidth="1"/>
    <col min="4" max="4" width="9.44140625" style="16" bestFit="1" customWidth="1"/>
    <col min="5" max="5" width="13.109375" style="16" bestFit="1" customWidth="1"/>
    <col min="6" max="7" width="42.44140625" style="15" customWidth="1"/>
    <col min="8" max="9" width="25" style="15" customWidth="1"/>
    <col min="10" max="10" width="25" style="16" customWidth="1"/>
    <col min="11" max="11" width="25" style="15" customWidth="1"/>
    <col min="12" max="12" width="39.77734375" style="16" customWidth="1"/>
    <col min="13" max="13" width="17.6640625" style="14" customWidth="1"/>
    <col min="14" max="16384" width="8.88671875" style="14"/>
  </cols>
  <sheetData>
    <row r="1" spans="2:13" s="75" customFormat="1" ht="49.2" customHeight="1" x14ac:dyDescent="0.3">
      <c r="B1" s="73" t="s">
        <v>93</v>
      </c>
      <c r="C1" s="214" t="str">
        <f>LEFT(Description!C9,10)&amp;" - "&amp;LEFT(Description!C3,256)</f>
        <v>IV2_Seq7 - Simulated pre-pump thrombosis in glucose solution</v>
      </c>
      <c r="D1" s="214"/>
      <c r="E1" s="214"/>
      <c r="F1" s="214"/>
      <c r="G1" s="214"/>
      <c r="H1" s="214"/>
      <c r="I1" s="214"/>
      <c r="J1" s="214"/>
      <c r="K1" s="214"/>
      <c r="L1" s="232" t="s">
        <v>94</v>
      </c>
      <c r="M1" s="74"/>
    </row>
    <row r="2" spans="2:13" s="76" customFormat="1" ht="21.6" customHeight="1" x14ac:dyDescent="0.3">
      <c r="C2" s="215" t="s">
        <v>31</v>
      </c>
      <c r="D2" s="215"/>
      <c r="E2" s="115" t="s">
        <v>201</v>
      </c>
      <c r="F2" s="216" t="s">
        <v>65</v>
      </c>
      <c r="G2" s="216"/>
      <c r="H2" s="216"/>
      <c r="I2" s="216"/>
      <c r="J2" s="217" t="s">
        <v>66</v>
      </c>
      <c r="K2" s="218"/>
      <c r="L2" s="77"/>
    </row>
    <row r="3" spans="2:13" s="84" customFormat="1" ht="30" customHeight="1" x14ac:dyDescent="0.55000000000000004">
      <c r="B3" s="78" t="s">
        <v>95</v>
      </c>
      <c r="C3" s="199" t="s">
        <v>72</v>
      </c>
      <c r="D3" s="79" t="s">
        <v>17</v>
      </c>
      <c r="E3" s="80" t="s">
        <v>72</v>
      </c>
      <c r="F3" s="81" t="s">
        <v>96</v>
      </c>
      <c r="G3" s="81" t="s">
        <v>97</v>
      </c>
      <c r="H3" s="82" t="s">
        <v>73</v>
      </c>
      <c r="I3" s="82" t="s">
        <v>74</v>
      </c>
      <c r="J3" s="83" t="s">
        <v>359</v>
      </c>
      <c r="K3" s="83" t="s">
        <v>358</v>
      </c>
      <c r="L3" s="227" t="s">
        <v>34</v>
      </c>
    </row>
    <row r="4" spans="2:13" s="89" customFormat="1" ht="23.4" customHeight="1" x14ac:dyDescent="0.3">
      <c r="B4" s="85" t="s">
        <v>98</v>
      </c>
      <c r="C4" s="230" t="s">
        <v>80</v>
      </c>
      <c r="D4" s="231" t="s">
        <v>16</v>
      </c>
      <c r="E4" s="86" t="s">
        <v>80</v>
      </c>
      <c r="F4" s="228" t="s">
        <v>99</v>
      </c>
      <c r="G4" s="228" t="s">
        <v>99</v>
      </c>
      <c r="H4" s="229" t="s">
        <v>81</v>
      </c>
      <c r="I4" s="229" t="s">
        <v>360</v>
      </c>
      <c r="J4" s="86" t="s">
        <v>80</v>
      </c>
      <c r="K4" s="87" t="s">
        <v>157</v>
      </c>
      <c r="L4" s="88"/>
    </row>
    <row r="5" spans="2:13" ht="59.4" customHeight="1" x14ac:dyDescent="0.3">
      <c r="B5" s="90"/>
      <c r="C5" s="91"/>
      <c r="D5" s="92"/>
      <c r="E5" s="92"/>
      <c r="F5" s="93"/>
      <c r="G5" s="93"/>
      <c r="H5" s="93"/>
      <c r="I5" s="93"/>
      <c r="J5" s="92"/>
      <c r="K5" s="94"/>
      <c r="L5" s="95"/>
    </row>
    <row r="6" spans="2:13" ht="59.4" customHeight="1" x14ac:dyDescent="0.3">
      <c r="B6" s="96"/>
      <c r="C6" s="91"/>
      <c r="D6" s="91"/>
      <c r="E6" s="91"/>
      <c r="F6" s="97"/>
      <c r="G6" s="97"/>
      <c r="H6" s="97"/>
      <c r="I6" s="97"/>
      <c r="J6" s="91"/>
      <c r="K6" s="98"/>
      <c r="L6" s="95"/>
    </row>
    <row r="7" spans="2:13" ht="59.4" customHeight="1" x14ac:dyDescent="0.3">
      <c r="B7" s="96"/>
      <c r="C7" s="91"/>
      <c r="D7" s="91"/>
      <c r="E7" s="91"/>
      <c r="F7" s="97"/>
      <c r="G7" s="97"/>
      <c r="H7" s="97"/>
      <c r="I7" s="97"/>
      <c r="J7" s="91"/>
      <c r="K7" s="98"/>
      <c r="L7" s="99"/>
    </row>
    <row r="8" spans="2:13" ht="59.4" customHeight="1" x14ac:dyDescent="0.3">
      <c r="B8" s="96"/>
      <c r="C8" s="91"/>
      <c r="D8" s="91"/>
      <c r="E8" s="91"/>
      <c r="F8" s="97"/>
      <c r="G8" s="97"/>
      <c r="H8" s="97"/>
      <c r="I8" s="97"/>
      <c r="J8" s="91"/>
      <c r="K8" s="98"/>
      <c r="L8" s="95"/>
    </row>
    <row r="9" spans="2:13" ht="59.4" customHeight="1" x14ac:dyDescent="0.3">
      <c r="B9" s="96"/>
      <c r="C9" s="91"/>
      <c r="D9" s="91"/>
      <c r="E9" s="91"/>
      <c r="F9" s="97"/>
      <c r="G9" s="97"/>
      <c r="H9" s="97"/>
      <c r="I9" s="97"/>
      <c r="J9" s="91"/>
      <c r="K9" s="98"/>
      <c r="L9" s="95"/>
    </row>
    <row r="10" spans="2:13" ht="59.4" customHeight="1" x14ac:dyDescent="0.3">
      <c r="B10" s="100"/>
      <c r="C10" s="91"/>
      <c r="D10" s="92"/>
      <c r="E10" s="92"/>
      <c r="F10" s="97"/>
      <c r="G10" s="93"/>
      <c r="H10" s="93"/>
      <c r="I10" s="93"/>
      <c r="J10" s="92"/>
      <c r="K10" s="94"/>
      <c r="L10" s="95"/>
    </row>
    <row r="11" spans="2:13" ht="59.4" customHeight="1" x14ac:dyDescent="0.3">
      <c r="B11" s="96"/>
      <c r="C11" s="91"/>
      <c r="D11" s="91"/>
      <c r="E11" s="91"/>
      <c r="F11" s="97"/>
      <c r="G11" s="97"/>
      <c r="H11" s="97"/>
      <c r="I11" s="97"/>
      <c r="J11" s="91"/>
      <c r="K11" s="98"/>
      <c r="L11" s="95"/>
    </row>
    <row r="12" spans="2:13" ht="59.4" customHeight="1" x14ac:dyDescent="0.3">
      <c r="B12" s="96"/>
      <c r="C12" s="91"/>
      <c r="D12" s="91"/>
      <c r="E12" s="91"/>
      <c r="F12" s="97"/>
      <c r="G12" s="97"/>
      <c r="H12" s="97"/>
      <c r="I12" s="97"/>
      <c r="J12" s="91"/>
      <c r="K12" s="98"/>
      <c r="L12" s="95"/>
    </row>
    <row r="13" spans="2:13" ht="59.4" customHeight="1" x14ac:dyDescent="0.3">
      <c r="B13" s="96"/>
      <c r="C13" s="91"/>
      <c r="D13" s="91"/>
      <c r="E13" s="91"/>
      <c r="F13" s="97"/>
      <c r="G13" s="97"/>
      <c r="H13" s="97"/>
      <c r="I13" s="97"/>
      <c r="J13" s="91"/>
      <c r="K13" s="98"/>
      <c r="L13" s="95"/>
    </row>
    <row r="14" spans="2:13" ht="59.4" customHeight="1" x14ac:dyDescent="0.3">
      <c r="B14" s="96"/>
      <c r="C14" s="91"/>
      <c r="D14" s="91"/>
      <c r="E14" s="91"/>
      <c r="F14" s="97"/>
      <c r="G14" s="97"/>
      <c r="H14" s="97"/>
      <c r="I14" s="97"/>
      <c r="J14" s="91"/>
      <c r="K14" s="98"/>
      <c r="L14" s="95"/>
    </row>
    <row r="15" spans="2:13" ht="59.4" customHeight="1" x14ac:dyDescent="0.3">
      <c r="B15" s="96"/>
      <c r="C15" s="91"/>
      <c r="D15" s="91"/>
      <c r="E15" s="91"/>
      <c r="F15" s="97"/>
      <c r="G15" s="97"/>
      <c r="H15" s="97"/>
      <c r="I15" s="97"/>
      <c r="J15" s="91"/>
      <c r="K15" s="98"/>
      <c r="L15" s="95"/>
    </row>
    <row r="16" spans="2:13" ht="59.4" customHeight="1" x14ac:dyDescent="0.3">
      <c r="B16" s="96"/>
      <c r="C16" s="91"/>
      <c r="D16" s="91"/>
      <c r="E16" s="91"/>
      <c r="F16" s="97"/>
      <c r="G16" s="97"/>
      <c r="H16" s="97"/>
      <c r="I16" s="97"/>
      <c r="J16" s="91"/>
      <c r="K16" s="98"/>
      <c r="L16" s="95"/>
    </row>
    <row r="17" spans="2:12" ht="59.4" customHeight="1" x14ac:dyDescent="0.3">
      <c r="B17" s="96"/>
      <c r="C17" s="91"/>
      <c r="D17" s="91"/>
      <c r="E17" s="91"/>
      <c r="F17" s="97"/>
      <c r="G17" s="97"/>
      <c r="H17" s="97"/>
      <c r="I17" s="97"/>
      <c r="J17" s="91"/>
      <c r="K17" s="98"/>
      <c r="L17" s="95"/>
    </row>
    <row r="18" spans="2:12" ht="59.4" customHeight="1" x14ac:dyDescent="0.3">
      <c r="B18" s="96"/>
      <c r="C18" s="91"/>
      <c r="D18" s="91"/>
      <c r="E18" s="91"/>
      <c r="F18" s="97"/>
      <c r="G18" s="97"/>
      <c r="H18" s="97"/>
      <c r="I18" s="97"/>
      <c r="J18" s="91"/>
      <c r="K18" s="98"/>
      <c r="L18" s="95"/>
    </row>
    <row r="19" spans="2:12" ht="59.4" customHeight="1" x14ac:dyDescent="0.3">
      <c r="B19" s="100"/>
      <c r="C19" s="91"/>
      <c r="D19" s="92"/>
      <c r="E19" s="92"/>
      <c r="F19" s="97"/>
      <c r="G19" s="93"/>
      <c r="H19" s="93"/>
      <c r="I19" s="93"/>
      <c r="J19" s="92"/>
      <c r="K19" s="94"/>
      <c r="L19" s="95"/>
    </row>
    <row r="20" spans="2:12" ht="59.4" customHeight="1" x14ac:dyDescent="0.3">
      <c r="B20" s="96"/>
      <c r="C20" s="91"/>
      <c r="D20" s="91"/>
      <c r="E20" s="91"/>
      <c r="F20" s="97"/>
      <c r="G20" s="97"/>
      <c r="H20" s="97"/>
      <c r="I20" s="97"/>
      <c r="J20" s="91"/>
      <c r="K20" s="98"/>
      <c r="L20" s="95"/>
    </row>
    <row r="21" spans="2:12" ht="59.4" customHeight="1" x14ac:dyDescent="0.3">
      <c r="B21" s="96"/>
      <c r="C21" s="91"/>
      <c r="D21" s="91"/>
      <c r="E21" s="91"/>
      <c r="F21" s="97"/>
      <c r="G21" s="97"/>
      <c r="H21" s="97"/>
      <c r="I21" s="97"/>
      <c r="J21" s="91"/>
      <c r="K21" s="98"/>
      <c r="L21" s="95"/>
    </row>
    <row r="22" spans="2:12" ht="59.4" customHeight="1" x14ac:dyDescent="0.3">
      <c r="B22" s="96"/>
      <c r="C22" s="91"/>
      <c r="D22" s="91"/>
      <c r="E22" s="91"/>
      <c r="F22" s="97"/>
      <c r="G22" s="97"/>
      <c r="H22" s="97"/>
      <c r="I22" s="97"/>
      <c r="J22" s="91"/>
      <c r="K22" s="98"/>
      <c r="L22" s="95"/>
    </row>
    <row r="23" spans="2:12" ht="59.4" customHeight="1" x14ac:dyDescent="0.3">
      <c r="B23" s="96"/>
      <c r="C23" s="91"/>
      <c r="D23" s="91"/>
      <c r="E23" s="91"/>
      <c r="F23" s="97"/>
      <c r="G23" s="97"/>
      <c r="H23" s="97"/>
      <c r="I23" s="97"/>
      <c r="J23" s="91"/>
      <c r="K23" s="98"/>
      <c r="L23" s="95"/>
    </row>
    <row r="24" spans="2:12" ht="59.4" customHeight="1" x14ac:dyDescent="0.3">
      <c r="B24" s="96"/>
      <c r="C24" s="91"/>
      <c r="D24" s="91"/>
      <c r="E24" s="91"/>
      <c r="F24" s="97"/>
      <c r="G24" s="97"/>
      <c r="H24" s="97"/>
      <c r="I24" s="97"/>
      <c r="J24" s="91"/>
      <c r="K24" s="98"/>
      <c r="L24" s="95"/>
    </row>
    <row r="25" spans="2:12" ht="59.4" customHeight="1" x14ac:dyDescent="0.3">
      <c r="B25" s="96"/>
      <c r="C25" s="91"/>
      <c r="D25" s="91"/>
      <c r="E25" s="91"/>
      <c r="F25" s="97"/>
      <c r="G25" s="97"/>
      <c r="H25" s="97"/>
      <c r="I25" s="97"/>
      <c r="J25" s="91"/>
      <c r="K25" s="98"/>
      <c r="L25" s="95"/>
    </row>
    <row r="26" spans="2:12" ht="59.4" customHeight="1" x14ac:dyDescent="0.3">
      <c r="B26" s="96"/>
      <c r="C26" s="91"/>
      <c r="D26" s="91"/>
      <c r="E26" s="91"/>
      <c r="F26" s="97"/>
      <c r="G26" s="97"/>
      <c r="H26" s="97"/>
      <c r="I26" s="97"/>
      <c r="J26" s="91"/>
      <c r="K26" s="98"/>
      <c r="L26" s="95"/>
    </row>
    <row r="27" spans="2:12" ht="59.4" customHeight="1" x14ac:dyDescent="0.3">
      <c r="B27" s="96"/>
      <c r="C27" s="91"/>
      <c r="D27" s="91"/>
      <c r="E27" s="91"/>
      <c r="F27" s="97"/>
      <c r="G27" s="97"/>
      <c r="H27" s="97"/>
      <c r="I27" s="97"/>
      <c r="J27" s="91"/>
      <c r="K27" s="98"/>
      <c r="L27" s="95"/>
    </row>
    <row r="28" spans="2:12" ht="59.4" customHeight="1" x14ac:dyDescent="0.3">
      <c r="B28" s="96"/>
      <c r="C28" s="91"/>
      <c r="D28" s="91"/>
      <c r="E28" s="91"/>
      <c r="F28" s="97"/>
      <c r="G28" s="97"/>
      <c r="H28" s="97"/>
      <c r="I28" s="97"/>
      <c r="J28" s="91"/>
      <c r="K28" s="98"/>
      <c r="L28" s="95"/>
    </row>
    <row r="29" spans="2:12" ht="59.4" customHeight="1" x14ac:dyDescent="0.3">
      <c r="B29" s="96"/>
      <c r="C29" s="91"/>
      <c r="D29" s="91"/>
      <c r="E29" s="91"/>
      <c r="F29" s="97"/>
      <c r="G29" s="97"/>
      <c r="H29" s="97"/>
      <c r="I29" s="97"/>
      <c r="J29" s="91"/>
      <c r="K29" s="98"/>
      <c r="L29" s="95"/>
    </row>
    <row r="30" spans="2:12" ht="59.4" customHeight="1" x14ac:dyDescent="0.3">
      <c r="B30" s="96"/>
      <c r="C30" s="91"/>
      <c r="D30" s="91"/>
      <c r="E30" s="91"/>
      <c r="F30" s="97"/>
      <c r="G30" s="97"/>
      <c r="H30" s="97"/>
      <c r="I30" s="97"/>
      <c r="J30" s="91"/>
      <c r="K30" s="98"/>
      <c r="L30" s="95"/>
    </row>
    <row r="31" spans="2:12" ht="59.4" customHeight="1" x14ac:dyDescent="0.3">
      <c r="B31" s="96"/>
      <c r="C31" s="91"/>
      <c r="D31" s="91"/>
      <c r="E31" s="91"/>
      <c r="F31" s="97"/>
      <c r="G31" s="97"/>
      <c r="H31" s="97"/>
      <c r="I31" s="97"/>
      <c r="J31" s="91"/>
      <c r="K31" s="98"/>
      <c r="L31" s="95"/>
    </row>
    <row r="32" spans="2:12" ht="59.4" customHeight="1" x14ac:dyDescent="0.3">
      <c r="B32" s="96"/>
      <c r="C32" s="91"/>
      <c r="D32" s="91"/>
      <c r="E32" s="91"/>
      <c r="F32" s="97"/>
      <c r="G32" s="97"/>
      <c r="H32" s="97"/>
      <c r="I32" s="97"/>
      <c r="J32" s="91"/>
      <c r="K32" s="98"/>
      <c r="L32" s="95"/>
    </row>
    <row r="33" spans="2:12" ht="59.4" customHeight="1" x14ac:dyDescent="0.3">
      <c r="B33" s="96"/>
      <c r="C33" s="91"/>
      <c r="D33" s="91"/>
      <c r="E33" s="91"/>
      <c r="F33" s="97"/>
      <c r="G33" s="97"/>
      <c r="H33" s="97"/>
      <c r="I33" s="97"/>
      <c r="J33" s="91"/>
      <c r="K33" s="98"/>
      <c r="L33" s="95"/>
    </row>
    <row r="34" spans="2:12" ht="59.4" customHeight="1" x14ac:dyDescent="0.3">
      <c r="B34" s="96"/>
      <c r="C34" s="91"/>
      <c r="D34" s="91"/>
      <c r="E34" s="91"/>
      <c r="F34" s="97"/>
      <c r="G34" s="97"/>
      <c r="H34" s="97"/>
      <c r="I34" s="97"/>
      <c r="J34" s="91"/>
      <c r="K34" s="98"/>
      <c r="L34" s="95"/>
    </row>
    <row r="35" spans="2:12" ht="59.4" customHeight="1" x14ac:dyDescent="0.3">
      <c r="B35" s="96"/>
      <c r="C35" s="91"/>
      <c r="D35" s="91"/>
      <c r="E35" s="91"/>
      <c r="F35" s="97"/>
      <c r="G35" s="97"/>
      <c r="H35" s="97"/>
      <c r="I35" s="97"/>
      <c r="J35" s="91"/>
      <c r="K35" s="98"/>
      <c r="L35" s="95"/>
    </row>
    <row r="36" spans="2:12" ht="59.4" customHeight="1" x14ac:dyDescent="0.3">
      <c r="B36" s="96"/>
      <c r="C36" s="91"/>
      <c r="D36" s="91"/>
      <c r="E36" s="91"/>
      <c r="F36" s="97"/>
      <c r="G36" s="97"/>
      <c r="H36" s="97"/>
      <c r="I36" s="97"/>
      <c r="J36" s="91"/>
      <c r="K36" s="98"/>
      <c r="L36" s="95"/>
    </row>
    <row r="37" spans="2:12" s="104" customFormat="1" ht="59.4" customHeight="1" x14ac:dyDescent="0.3">
      <c r="B37" s="96"/>
      <c r="C37" s="91"/>
      <c r="D37" s="101"/>
      <c r="E37" s="101"/>
      <c r="F37" s="102"/>
      <c r="G37" s="102"/>
      <c r="H37" s="102"/>
      <c r="I37" s="102"/>
      <c r="J37" s="101"/>
      <c r="K37" s="103"/>
      <c r="L37" s="95"/>
    </row>
    <row r="38" spans="2:12" ht="59.4" customHeight="1" x14ac:dyDescent="0.3">
      <c r="B38" s="96"/>
      <c r="C38" s="91"/>
      <c r="D38" s="91"/>
      <c r="E38" s="91"/>
      <c r="F38" s="97"/>
      <c r="G38" s="97"/>
      <c r="H38" s="97"/>
      <c r="I38" s="97"/>
      <c r="J38" s="91"/>
      <c r="K38" s="98"/>
      <c r="L38" s="95"/>
    </row>
    <row r="39" spans="2:12" ht="59.4" customHeight="1" x14ac:dyDescent="0.3">
      <c r="B39" s="96"/>
      <c r="C39" s="91"/>
      <c r="D39" s="91"/>
      <c r="E39" s="91"/>
      <c r="F39" s="97"/>
      <c r="G39" s="97"/>
      <c r="H39" s="97"/>
      <c r="I39" s="97"/>
      <c r="J39" s="91"/>
      <c r="K39" s="98"/>
      <c r="L39" s="95"/>
    </row>
    <row r="40" spans="2:12" ht="59.4" customHeight="1" x14ac:dyDescent="0.3">
      <c r="B40" s="96"/>
      <c r="C40" s="91"/>
      <c r="D40" s="91"/>
      <c r="E40" s="91"/>
      <c r="F40" s="97"/>
      <c r="G40" s="97"/>
      <c r="H40" s="97"/>
      <c r="I40" s="97"/>
      <c r="J40" s="91"/>
      <c r="K40" s="98"/>
      <c r="L40" s="95"/>
    </row>
    <row r="41" spans="2:12" ht="59.4" customHeight="1" x14ac:dyDescent="0.3">
      <c r="B41" s="96"/>
      <c r="C41" s="91"/>
      <c r="D41" s="91"/>
      <c r="E41" s="91"/>
      <c r="F41" s="97"/>
      <c r="G41" s="97"/>
      <c r="H41" s="97"/>
      <c r="I41" s="97"/>
      <c r="J41" s="91"/>
      <c r="K41" s="98"/>
      <c r="L41" s="95"/>
    </row>
    <row r="42" spans="2:12" ht="59.4" customHeight="1" x14ac:dyDescent="0.3">
      <c r="B42" s="96"/>
      <c r="C42" s="91"/>
      <c r="D42" s="91"/>
      <c r="E42" s="91"/>
      <c r="F42" s="97"/>
      <c r="G42" s="97"/>
      <c r="H42" s="97"/>
      <c r="I42" s="97"/>
      <c r="J42" s="91"/>
      <c r="K42" s="98"/>
      <c r="L42" s="95"/>
    </row>
    <row r="43" spans="2:12" ht="59.4" customHeight="1" x14ac:dyDescent="0.3">
      <c r="B43" s="96"/>
      <c r="C43" s="91"/>
      <c r="D43" s="91"/>
      <c r="E43" s="91"/>
      <c r="F43" s="97"/>
      <c r="G43" s="97"/>
      <c r="H43" s="97"/>
      <c r="I43" s="97"/>
      <c r="J43" s="91"/>
      <c r="K43" s="98"/>
      <c r="L43" s="95"/>
    </row>
    <row r="44" spans="2:12" ht="59.4" customHeight="1" x14ac:dyDescent="0.3">
      <c r="B44" s="96"/>
      <c r="C44" s="91"/>
      <c r="D44" s="91"/>
      <c r="E44" s="91"/>
      <c r="F44" s="97"/>
      <c r="G44" s="97"/>
      <c r="H44" s="97"/>
      <c r="I44" s="97"/>
      <c r="J44" s="91"/>
      <c r="K44" s="98"/>
      <c r="L44" s="95"/>
    </row>
    <row r="45" spans="2:12" ht="59.4" customHeight="1" x14ac:dyDescent="0.3">
      <c r="B45" s="96"/>
      <c r="C45" s="91"/>
      <c r="D45" s="91"/>
      <c r="E45" s="91"/>
      <c r="F45" s="97"/>
      <c r="G45" s="97"/>
      <c r="H45" s="97"/>
      <c r="I45" s="97"/>
      <c r="J45" s="91"/>
      <c r="K45" s="98"/>
      <c r="L45" s="95"/>
    </row>
    <row r="46" spans="2:12" ht="59.4" customHeight="1" x14ac:dyDescent="0.3">
      <c r="B46" s="96"/>
      <c r="C46" s="91"/>
      <c r="D46" s="91"/>
      <c r="E46" s="91"/>
      <c r="F46" s="97"/>
      <c r="G46" s="97"/>
      <c r="H46" s="97"/>
      <c r="I46" s="97"/>
      <c r="J46" s="91"/>
      <c r="K46" s="98"/>
      <c r="L46" s="95"/>
    </row>
    <row r="47" spans="2:12" ht="59.4" customHeight="1" x14ac:dyDescent="0.3">
      <c r="B47" s="96"/>
      <c r="C47" s="91"/>
      <c r="D47" s="91"/>
      <c r="E47" s="91"/>
      <c r="F47" s="97"/>
      <c r="G47" s="97"/>
      <c r="H47" s="97"/>
      <c r="I47" s="97"/>
      <c r="J47" s="91"/>
      <c r="K47" s="98"/>
      <c r="L47" s="95"/>
    </row>
    <row r="48" spans="2:12" ht="59.4" customHeight="1" x14ac:dyDescent="0.3">
      <c r="B48" s="96"/>
      <c r="C48" s="91"/>
      <c r="D48" s="91"/>
      <c r="E48" s="91"/>
      <c r="F48" s="97"/>
      <c r="G48" s="97"/>
      <c r="H48" s="97"/>
      <c r="I48" s="97"/>
      <c r="J48" s="91"/>
      <c r="K48" s="98"/>
      <c r="L48" s="95"/>
    </row>
    <row r="49" spans="2:12" ht="59.4" customHeight="1" x14ac:dyDescent="0.3">
      <c r="B49" s="96"/>
      <c r="C49" s="91"/>
      <c r="D49" s="91"/>
      <c r="E49" s="91"/>
      <c r="F49" s="97"/>
      <c r="G49" s="97"/>
      <c r="H49" s="97"/>
      <c r="I49" s="97"/>
      <c r="J49" s="91"/>
      <c r="K49" s="98"/>
      <c r="L49" s="95"/>
    </row>
    <row r="50" spans="2:12" ht="59.4" customHeight="1" x14ac:dyDescent="0.3">
      <c r="B50" s="96"/>
      <c r="C50" s="91"/>
      <c r="D50" s="91"/>
      <c r="E50" s="91"/>
      <c r="F50" s="97"/>
      <c r="G50" s="97"/>
      <c r="H50" s="97"/>
      <c r="I50" s="97"/>
      <c r="J50" s="91"/>
      <c r="K50" s="98"/>
      <c r="L50" s="95"/>
    </row>
    <row r="51" spans="2:12" ht="59.4" customHeight="1" x14ac:dyDescent="0.3">
      <c r="B51" s="96"/>
      <c r="C51" s="91"/>
      <c r="D51" s="91"/>
      <c r="E51" s="91"/>
      <c r="F51" s="97"/>
      <c r="G51" s="97"/>
      <c r="H51" s="97"/>
      <c r="I51" s="97"/>
      <c r="J51" s="91"/>
      <c r="K51" s="98"/>
      <c r="L51" s="95"/>
    </row>
  </sheetData>
  <protectedRanges>
    <protectedRange algorithmName="SHA-512" hashValue="4NhdbTyulRXZkBEq7Mn6+VKgOZdKtlfacISEdowO5xIUCa7OlX5LdkGNxnngfJg/0C5iD9A0fDWAkH//tV2WEg==" saltValue="4IZ1hkVaCZH46leZVUmsLQ==" spinCount="100000" sqref="B3:B4" name="Range1"/>
  </protectedRanges>
  <mergeCells count="4">
    <mergeCell ref="C1:K1"/>
    <mergeCell ref="C2:D2"/>
    <mergeCell ref="F2:I2"/>
    <mergeCell ref="J2:K2"/>
  </mergeCells>
  <printOptions horizontalCentered="1" verticalCentered="1"/>
  <pageMargins left="0.23622047244094491" right="0.23622047244094491" top="0.59055118110236227" bottom="0.15748031496062992" header="0.11811023622047245" footer="0.11811023622047245"/>
  <pageSetup paperSize="9" scale="53"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7520-B8F4-41CB-92B1-29480DACA84E}">
  <sheetPr codeName="Sheet5"/>
  <dimension ref="A1:X48"/>
  <sheetViews>
    <sheetView showGridLines="0" zoomScale="90" zoomScaleNormal="90" workbookViewId="0">
      <selection activeCell="A16" sqref="A16"/>
    </sheetView>
  </sheetViews>
  <sheetFormatPr defaultColWidth="9.109375" defaultRowHeight="19.95" customHeight="1" x14ac:dyDescent="0.3"/>
  <cols>
    <col min="1" max="1" width="24.109375" style="166" bestFit="1" customWidth="1"/>
    <col min="2" max="2" width="34.21875" style="166" bestFit="1" customWidth="1"/>
    <col min="3" max="3" width="7.6640625" style="166" bestFit="1" customWidth="1"/>
    <col min="4" max="4" width="1.6640625" style="166" customWidth="1"/>
    <col min="5" max="5" width="26.6640625" style="166" bestFit="1" customWidth="1"/>
    <col min="6" max="6" width="29.109375" style="166" bestFit="1" customWidth="1"/>
    <col min="7" max="7" width="7.6640625" style="166" bestFit="1" customWidth="1"/>
    <col min="8" max="8" width="2.109375" style="166" customWidth="1"/>
    <col min="9" max="9" width="28.77734375" customWidth="1"/>
    <col min="10" max="10" width="2.109375" customWidth="1"/>
    <col min="11" max="11" width="29.6640625" style="8" bestFit="1" customWidth="1"/>
    <col min="12" max="12" width="9.88671875" style="8"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164"/>
      <c r="D1" s="164"/>
      <c r="E1" s="164"/>
      <c r="H1" s="164"/>
      <c r="K1"/>
      <c r="L1"/>
    </row>
    <row r="2" spans="1:24" s="72" customFormat="1" ht="19.95" customHeight="1" x14ac:dyDescent="0.3">
      <c r="A2" s="224" t="s">
        <v>219</v>
      </c>
      <c r="B2" s="225"/>
      <c r="C2" s="226"/>
      <c r="D2" s="164"/>
      <c r="E2" s="221" t="s">
        <v>51</v>
      </c>
      <c r="F2" s="222"/>
      <c r="G2" s="223"/>
      <c r="H2" s="164"/>
      <c r="I2" s="125" t="s">
        <v>111</v>
      </c>
      <c r="K2" s="224" t="s">
        <v>52</v>
      </c>
      <c r="L2" s="225"/>
      <c r="M2" s="219" t="s">
        <v>164</v>
      </c>
      <c r="N2" s="220"/>
      <c r="O2" s="220"/>
      <c r="P2" s="220"/>
      <c r="Q2" s="220"/>
      <c r="R2" s="219" t="s">
        <v>179</v>
      </c>
      <c r="S2" s="220"/>
      <c r="T2" s="220"/>
      <c r="U2" s="220"/>
      <c r="V2" s="220"/>
      <c r="X2" s="125" t="s">
        <v>239</v>
      </c>
    </row>
    <row r="3" spans="1:24" s="106" customFormat="1" ht="15.6" x14ac:dyDescent="0.3">
      <c r="A3" s="165" t="s">
        <v>5</v>
      </c>
      <c r="B3" s="165" t="s">
        <v>4</v>
      </c>
      <c r="C3" s="165" t="s">
        <v>68</v>
      </c>
      <c r="D3" s="166"/>
      <c r="E3" s="165" t="s">
        <v>5</v>
      </c>
      <c r="F3" s="165" t="s">
        <v>4</v>
      </c>
      <c r="G3" s="165" t="s">
        <v>68</v>
      </c>
      <c r="H3" s="166"/>
      <c r="I3" s="111" t="s">
        <v>5</v>
      </c>
      <c r="K3" s="111" t="s">
        <v>5</v>
      </c>
      <c r="L3" s="142" t="s">
        <v>8</v>
      </c>
      <c r="M3" s="144" t="s">
        <v>159</v>
      </c>
      <c r="N3" s="126" t="s">
        <v>160</v>
      </c>
      <c r="O3" s="126" t="s">
        <v>161</v>
      </c>
      <c r="P3" s="126" t="s">
        <v>162</v>
      </c>
      <c r="Q3" s="146" t="s">
        <v>163</v>
      </c>
      <c r="R3" s="144" t="s">
        <v>159</v>
      </c>
      <c r="S3" s="126" t="s">
        <v>160</v>
      </c>
      <c r="T3" s="126" t="s">
        <v>161</v>
      </c>
      <c r="U3" s="126" t="s">
        <v>162</v>
      </c>
      <c r="V3" s="126" t="s">
        <v>163</v>
      </c>
      <c r="X3" s="111" t="s">
        <v>5</v>
      </c>
    </row>
    <row r="4" spans="1:24" s="109" customFormat="1" ht="19.95" customHeight="1" x14ac:dyDescent="0.3">
      <c r="A4" s="4" t="s">
        <v>0</v>
      </c>
      <c r="B4" s="4" t="s">
        <v>229</v>
      </c>
      <c r="C4" s="4" t="s">
        <v>0</v>
      </c>
      <c r="D4" s="166"/>
      <c r="E4" s="4" t="s">
        <v>0</v>
      </c>
      <c r="F4" s="4" t="s">
        <v>227</v>
      </c>
      <c r="G4" s="4">
        <v>120</v>
      </c>
      <c r="H4" s="166"/>
      <c r="I4" s="105" t="s">
        <v>112</v>
      </c>
      <c r="K4" s="105" t="s">
        <v>0</v>
      </c>
      <c r="L4" s="143" t="s">
        <v>0</v>
      </c>
      <c r="M4" s="145" t="s">
        <v>0</v>
      </c>
      <c r="N4" s="105" t="s">
        <v>0</v>
      </c>
      <c r="O4" s="105" t="s">
        <v>0</v>
      </c>
      <c r="P4" s="105" t="s">
        <v>0</v>
      </c>
      <c r="Q4" s="143" t="s">
        <v>0</v>
      </c>
      <c r="R4" s="145" t="s">
        <v>0</v>
      </c>
      <c r="S4" s="105" t="s">
        <v>0</v>
      </c>
      <c r="T4" s="105"/>
      <c r="U4" s="105" t="s">
        <v>0</v>
      </c>
      <c r="V4" s="105" t="s">
        <v>0</v>
      </c>
      <c r="X4" s="105" t="s">
        <v>0</v>
      </c>
    </row>
    <row r="5" spans="1:24" s="109" customFormat="1" ht="19.95" customHeight="1" x14ac:dyDescent="0.3">
      <c r="A5" s="4" t="s">
        <v>1</v>
      </c>
      <c r="B5" s="4" t="s">
        <v>216</v>
      </c>
      <c r="C5" s="4">
        <v>120</v>
      </c>
      <c r="D5" s="166"/>
      <c r="E5" s="4" t="s">
        <v>60</v>
      </c>
      <c r="F5" s="4"/>
      <c r="G5" s="4">
        <v>60</v>
      </c>
      <c r="H5" s="166"/>
      <c r="I5" s="105" t="s">
        <v>118</v>
      </c>
      <c r="K5" s="105" t="s">
        <v>55</v>
      </c>
      <c r="L5" s="143" t="s">
        <v>186</v>
      </c>
      <c r="M5" s="147">
        <v>1.42</v>
      </c>
      <c r="N5" s="148">
        <v>1.87</v>
      </c>
      <c r="O5" s="148">
        <v>2.14</v>
      </c>
      <c r="P5" s="148" t="s">
        <v>0</v>
      </c>
      <c r="Q5" s="149" t="s">
        <v>0</v>
      </c>
      <c r="R5" s="145" t="s">
        <v>171</v>
      </c>
      <c r="S5" s="105" t="s">
        <v>169</v>
      </c>
      <c r="T5" s="105" t="s">
        <v>170</v>
      </c>
      <c r="U5" s="105" t="s">
        <v>0</v>
      </c>
      <c r="V5" s="105" t="s">
        <v>0</v>
      </c>
      <c r="X5" s="105" t="s">
        <v>242</v>
      </c>
    </row>
    <row r="6" spans="1:24" s="109" customFormat="1" ht="19.95" customHeight="1" x14ac:dyDescent="0.3">
      <c r="A6" s="4" t="s">
        <v>226</v>
      </c>
      <c r="B6" s="4" t="s">
        <v>203</v>
      </c>
      <c r="C6" s="4">
        <v>60</v>
      </c>
      <c r="D6" s="166"/>
      <c r="E6" s="4" t="s">
        <v>101</v>
      </c>
      <c r="F6" s="4" t="s">
        <v>222</v>
      </c>
      <c r="G6" s="4" t="s">
        <v>0</v>
      </c>
      <c r="H6" s="166"/>
      <c r="I6" s="105" t="s">
        <v>113</v>
      </c>
      <c r="K6" s="105" t="s">
        <v>184</v>
      </c>
      <c r="L6" s="143" t="s">
        <v>186</v>
      </c>
      <c r="M6" s="147">
        <v>1.42</v>
      </c>
      <c r="N6" s="148">
        <v>1.87</v>
      </c>
      <c r="O6" s="148">
        <v>2.19</v>
      </c>
      <c r="P6" s="148" t="s">
        <v>0</v>
      </c>
      <c r="Q6" s="149" t="s">
        <v>0</v>
      </c>
      <c r="R6" s="145" t="s">
        <v>171</v>
      </c>
      <c r="S6" s="105" t="s">
        <v>169</v>
      </c>
      <c r="T6" s="105" t="s">
        <v>185</v>
      </c>
      <c r="U6" s="105" t="s">
        <v>0</v>
      </c>
      <c r="V6" s="105" t="s">
        <v>0</v>
      </c>
      <c r="X6" s="105" t="s">
        <v>237</v>
      </c>
    </row>
    <row r="7" spans="1:24" s="109" customFormat="1" ht="19.95" customHeight="1" x14ac:dyDescent="0.3">
      <c r="A7" s="4" t="s">
        <v>43</v>
      </c>
      <c r="B7" s="4" t="s">
        <v>210</v>
      </c>
      <c r="C7" s="4" t="s">
        <v>0</v>
      </c>
      <c r="D7" s="166"/>
      <c r="E7" s="4" t="s">
        <v>230</v>
      </c>
      <c r="F7" s="4"/>
      <c r="G7" s="4">
        <v>30</v>
      </c>
      <c r="H7" s="166"/>
      <c r="I7" s="105" t="s">
        <v>114</v>
      </c>
      <c r="K7" s="105" t="s">
        <v>56</v>
      </c>
      <c r="L7" s="143" t="s">
        <v>187</v>
      </c>
      <c r="M7" s="147">
        <v>1.42</v>
      </c>
      <c r="N7" s="148">
        <v>2.14</v>
      </c>
      <c r="O7" s="148">
        <v>2.44</v>
      </c>
      <c r="P7" s="148" t="s">
        <v>0</v>
      </c>
      <c r="Q7" s="149" t="s">
        <v>0</v>
      </c>
      <c r="R7" s="145" t="s">
        <v>171</v>
      </c>
      <c r="S7" s="105" t="s">
        <v>169</v>
      </c>
      <c r="T7" s="105" t="s">
        <v>170</v>
      </c>
      <c r="U7" s="105" t="s">
        <v>0</v>
      </c>
      <c r="V7" s="105" t="s">
        <v>0</v>
      </c>
      <c r="X7" s="105" t="s">
        <v>241</v>
      </c>
    </row>
    <row r="8" spans="1:24" s="109" customFormat="1" ht="19.95" customHeight="1" x14ac:dyDescent="0.3">
      <c r="A8" s="4" t="s">
        <v>205</v>
      </c>
      <c r="B8" s="4" t="s">
        <v>217</v>
      </c>
      <c r="C8" s="4" t="s">
        <v>0</v>
      </c>
      <c r="D8" s="166"/>
      <c r="E8" s="4" t="s">
        <v>231</v>
      </c>
      <c r="F8" s="4"/>
      <c r="G8" s="4">
        <v>45</v>
      </c>
      <c r="H8" s="166"/>
      <c r="I8" s="105" t="s">
        <v>115</v>
      </c>
      <c r="K8" s="105" t="s">
        <v>197</v>
      </c>
      <c r="L8" s="143" t="s">
        <v>191</v>
      </c>
      <c r="M8" s="147">
        <v>0.99</v>
      </c>
      <c r="N8" s="148">
        <v>4</v>
      </c>
      <c r="O8" s="148">
        <v>4.6399999999999997</v>
      </c>
      <c r="P8" s="148" t="s">
        <v>0</v>
      </c>
      <c r="Q8" s="149" t="s">
        <v>0</v>
      </c>
      <c r="R8" s="145" t="s">
        <v>171</v>
      </c>
      <c r="S8" s="105" t="s">
        <v>198</v>
      </c>
      <c r="T8" s="105" t="s">
        <v>199</v>
      </c>
      <c r="U8" s="105" t="s">
        <v>0</v>
      </c>
      <c r="V8" s="105" t="s">
        <v>0</v>
      </c>
      <c r="X8" s="105" t="s">
        <v>240</v>
      </c>
    </row>
    <row r="9" spans="1:24" s="109" customFormat="1" ht="19.95" customHeight="1" x14ac:dyDescent="0.3">
      <c r="A9" s="4" t="s">
        <v>3</v>
      </c>
      <c r="B9" s="4" t="s">
        <v>212</v>
      </c>
      <c r="C9" s="4" t="s">
        <v>0</v>
      </c>
      <c r="D9" s="166"/>
      <c r="E9" s="4" t="s">
        <v>215</v>
      </c>
      <c r="F9" s="4" t="s">
        <v>217</v>
      </c>
      <c r="G9" s="4" t="s">
        <v>0</v>
      </c>
      <c r="H9" s="166"/>
      <c r="I9" s="105" t="s">
        <v>116</v>
      </c>
      <c r="K9" s="105" t="s">
        <v>53</v>
      </c>
      <c r="L9" s="143" t="s">
        <v>192</v>
      </c>
      <c r="M9" s="147">
        <v>0.81</v>
      </c>
      <c r="N9" s="148">
        <v>3.69</v>
      </c>
      <c r="O9" s="148">
        <v>4.8</v>
      </c>
      <c r="P9" s="148" t="s">
        <v>0</v>
      </c>
      <c r="Q9" s="149" t="s">
        <v>0</v>
      </c>
      <c r="R9" s="145" t="s">
        <v>171</v>
      </c>
      <c r="S9" s="105" t="s">
        <v>173</v>
      </c>
      <c r="T9" s="105" t="s">
        <v>174</v>
      </c>
      <c r="U9" s="105" t="s">
        <v>0</v>
      </c>
      <c r="V9" s="105" t="s">
        <v>0</v>
      </c>
    </row>
    <row r="10" spans="1:24" s="109" customFormat="1" ht="19.95" customHeight="1" x14ac:dyDescent="0.3">
      <c r="A10" s="4" t="s">
        <v>44</v>
      </c>
      <c r="B10" s="4" t="s">
        <v>204</v>
      </c>
      <c r="C10" s="4">
        <v>120</v>
      </c>
      <c r="D10" s="166"/>
      <c r="E10" s="4" t="s">
        <v>61</v>
      </c>
      <c r="F10" s="4"/>
      <c r="G10" s="4" t="s">
        <v>0</v>
      </c>
      <c r="H10" s="166"/>
      <c r="I10" s="105" t="s">
        <v>117</v>
      </c>
      <c r="K10" s="105" t="s">
        <v>63</v>
      </c>
      <c r="L10" s="143" t="s">
        <v>188</v>
      </c>
      <c r="M10" s="147">
        <v>0.9</v>
      </c>
      <c r="N10" s="148">
        <v>4.3099999999999996</v>
      </c>
      <c r="O10" s="148">
        <v>4.67</v>
      </c>
      <c r="P10" s="148" t="s">
        <v>0</v>
      </c>
      <c r="Q10" s="149" t="s">
        <v>0</v>
      </c>
      <c r="R10" s="145" t="s">
        <v>171</v>
      </c>
      <c r="S10" s="105" t="s">
        <v>169</v>
      </c>
      <c r="T10" s="105" t="s">
        <v>177</v>
      </c>
      <c r="U10" s="105" t="s">
        <v>0</v>
      </c>
      <c r="V10" s="105" t="s">
        <v>0</v>
      </c>
    </row>
    <row r="11" spans="1:24" s="109" customFormat="1" ht="19.95" customHeight="1" x14ac:dyDescent="0.3">
      <c r="A11" s="4" t="s">
        <v>228</v>
      </c>
      <c r="B11" s="4" t="s">
        <v>204</v>
      </c>
      <c r="C11" s="4">
        <v>120</v>
      </c>
      <c r="D11" s="166"/>
      <c r="E11" s="4" t="s">
        <v>62</v>
      </c>
      <c r="F11" s="4"/>
      <c r="G11" s="4" t="s">
        <v>0</v>
      </c>
      <c r="H11" s="166"/>
      <c r="I11" s="105" t="s">
        <v>119</v>
      </c>
      <c r="K11" s="105" t="s">
        <v>106</v>
      </c>
      <c r="L11" s="143" t="s">
        <v>193</v>
      </c>
      <c r="M11" s="147">
        <v>0.9</v>
      </c>
      <c r="N11" s="148">
        <v>4.3099999999999996</v>
      </c>
      <c r="O11" s="148">
        <v>4.67</v>
      </c>
      <c r="P11" s="148" t="s">
        <v>0</v>
      </c>
      <c r="Q11" s="149" t="s">
        <v>0</v>
      </c>
      <c r="R11" s="145" t="s">
        <v>171</v>
      </c>
      <c r="S11" s="105" t="s">
        <v>169</v>
      </c>
      <c r="T11" s="105" t="s">
        <v>177</v>
      </c>
      <c r="U11" s="105" t="s">
        <v>0</v>
      </c>
      <c r="V11" s="105" t="s">
        <v>0</v>
      </c>
    </row>
    <row r="12" spans="1:24" s="109" customFormat="1" ht="19.95" customHeight="1" x14ac:dyDescent="0.3">
      <c r="A12" s="4" t="s">
        <v>224</v>
      </c>
      <c r="B12" s="4" t="s">
        <v>211</v>
      </c>
      <c r="C12" s="4" t="s">
        <v>0</v>
      </c>
      <c r="D12" s="166"/>
      <c r="E12" s="4" t="s">
        <v>54</v>
      </c>
      <c r="F12" s="4"/>
      <c r="G12" s="4" t="s">
        <v>0</v>
      </c>
      <c r="H12" s="166"/>
      <c r="K12" s="105" t="s">
        <v>104</v>
      </c>
      <c r="L12" s="143" t="s">
        <v>189</v>
      </c>
      <c r="M12" s="147">
        <v>0.94</v>
      </c>
      <c r="N12" s="148">
        <v>5.4</v>
      </c>
      <c r="O12" s="148">
        <v>6.25</v>
      </c>
      <c r="P12" s="148" t="s">
        <v>0</v>
      </c>
      <c r="Q12" s="149" t="s">
        <v>0</v>
      </c>
      <c r="R12" s="145" t="s">
        <v>171</v>
      </c>
      <c r="S12" s="105" t="s">
        <v>178</v>
      </c>
      <c r="T12" s="105" t="s">
        <v>170</v>
      </c>
      <c r="U12" s="105" t="s">
        <v>0</v>
      </c>
      <c r="V12" s="105" t="s">
        <v>0</v>
      </c>
    </row>
    <row r="13" spans="1:24" s="109" customFormat="1" ht="19.95" customHeight="1" x14ac:dyDescent="0.3">
      <c r="A13" s="4" t="s">
        <v>223</v>
      </c>
      <c r="B13" s="4" t="s">
        <v>221</v>
      </c>
      <c r="C13" s="4" t="s">
        <v>0</v>
      </c>
      <c r="D13" s="166"/>
      <c r="E13" s="4" t="s">
        <v>208</v>
      </c>
      <c r="F13" s="4" t="s">
        <v>217</v>
      </c>
      <c r="G13" s="4" t="s">
        <v>0</v>
      </c>
      <c r="H13" s="166"/>
      <c r="K13" s="105" t="s">
        <v>172</v>
      </c>
      <c r="L13" s="143" t="s">
        <v>194</v>
      </c>
      <c r="M13" s="147">
        <v>1.73</v>
      </c>
      <c r="N13" s="148">
        <v>6</v>
      </c>
      <c r="O13" s="148">
        <v>6.7</v>
      </c>
      <c r="P13" s="148" t="s">
        <v>0</v>
      </c>
      <c r="Q13" s="149" t="s">
        <v>0</v>
      </c>
      <c r="R13" s="145" t="s">
        <v>171</v>
      </c>
      <c r="S13" s="105" t="s">
        <v>176</v>
      </c>
      <c r="T13" s="105" t="s">
        <v>289</v>
      </c>
      <c r="U13" s="105" t="s">
        <v>0</v>
      </c>
      <c r="V13" s="105" t="s">
        <v>0</v>
      </c>
    </row>
    <row r="14" spans="1:24" s="109" customFormat="1" ht="19.95" customHeight="1" x14ac:dyDescent="0.3">
      <c r="A14" s="166"/>
      <c r="B14" s="166"/>
      <c r="C14" s="166"/>
      <c r="D14" s="166"/>
      <c r="E14" s="4" t="s">
        <v>59</v>
      </c>
      <c r="F14" s="4"/>
      <c r="G14" s="4">
        <v>60</v>
      </c>
      <c r="H14" s="166"/>
      <c r="K14" s="105" t="s">
        <v>57</v>
      </c>
      <c r="L14" s="143" t="s">
        <v>190</v>
      </c>
      <c r="M14" s="189">
        <v>1.3</v>
      </c>
      <c r="N14" s="148">
        <v>5.68</v>
      </c>
      <c r="O14" s="148">
        <v>6.2</v>
      </c>
      <c r="P14" s="148" t="s">
        <v>0</v>
      </c>
      <c r="Q14" s="149" t="s">
        <v>0</v>
      </c>
      <c r="R14" s="145" t="s">
        <v>171</v>
      </c>
      <c r="S14" s="105" t="s">
        <v>173</v>
      </c>
      <c r="T14" s="105" t="s">
        <v>175</v>
      </c>
      <c r="U14" s="105" t="s">
        <v>0</v>
      </c>
      <c r="V14" s="105" t="s">
        <v>0</v>
      </c>
    </row>
    <row r="15" spans="1:24" s="109" customFormat="1" ht="19.95" customHeight="1" x14ac:dyDescent="0.3">
      <c r="A15" s="166"/>
      <c r="B15" s="166"/>
      <c r="C15" s="166"/>
      <c r="D15" s="166"/>
      <c r="E15" s="4" t="s">
        <v>102</v>
      </c>
      <c r="F15" s="4" t="s">
        <v>222</v>
      </c>
      <c r="G15" s="4" t="s">
        <v>0</v>
      </c>
      <c r="H15" s="166"/>
      <c r="K15" s="105" t="s">
        <v>105</v>
      </c>
      <c r="L15" s="143" t="s">
        <v>195</v>
      </c>
      <c r="M15" s="147">
        <v>1.9</v>
      </c>
      <c r="N15" s="148">
        <v>8</v>
      </c>
      <c r="O15" s="148">
        <v>8.5</v>
      </c>
      <c r="P15" s="148" t="s">
        <v>0</v>
      </c>
      <c r="Q15" s="149" t="s">
        <v>0</v>
      </c>
      <c r="R15" s="145" t="s">
        <v>171</v>
      </c>
      <c r="S15" s="105" t="s">
        <v>176</v>
      </c>
      <c r="T15" s="105" t="s">
        <v>182</v>
      </c>
      <c r="U15" s="105" t="s">
        <v>0</v>
      </c>
      <c r="V15" s="105" t="s">
        <v>0</v>
      </c>
    </row>
    <row r="16" spans="1:24" s="109" customFormat="1" ht="19.95" customHeight="1" x14ac:dyDescent="0.3">
      <c r="A16" s="166"/>
      <c r="B16" s="166"/>
      <c r="C16" s="166"/>
      <c r="D16" s="166"/>
      <c r="E16" s="4" t="s">
        <v>2</v>
      </c>
      <c r="F16" s="4"/>
      <c r="G16" s="4">
        <v>45</v>
      </c>
      <c r="H16" s="166"/>
      <c r="K16" s="105" t="s">
        <v>58</v>
      </c>
      <c r="L16" s="143" t="s">
        <v>196</v>
      </c>
      <c r="M16" s="147">
        <v>1.67</v>
      </c>
      <c r="N16" s="148">
        <v>7.3</v>
      </c>
      <c r="O16" s="148">
        <v>8.52</v>
      </c>
      <c r="P16" s="148" t="s">
        <v>0</v>
      </c>
      <c r="Q16" s="149" t="s">
        <v>0</v>
      </c>
      <c r="R16" s="145" t="s">
        <v>171</v>
      </c>
      <c r="S16" s="105" t="s">
        <v>181</v>
      </c>
      <c r="T16" s="105" t="s">
        <v>174</v>
      </c>
      <c r="U16" s="105" t="s">
        <v>0</v>
      </c>
      <c r="V16" s="105" t="s">
        <v>0</v>
      </c>
      <c r="W16" s="110"/>
    </row>
    <row r="17" spans="1:22" s="109" customFormat="1" ht="19.95" customHeight="1" x14ac:dyDescent="0.3">
      <c r="A17" s="166"/>
      <c r="B17" s="166"/>
      <c r="C17" s="166"/>
      <c r="D17" s="166"/>
      <c r="E17" s="4" t="s">
        <v>214</v>
      </c>
      <c r="F17" s="4" t="s">
        <v>207</v>
      </c>
      <c r="G17" s="4" t="s">
        <v>0</v>
      </c>
      <c r="H17" s="166"/>
      <c r="K17" s="3" t="s">
        <v>103</v>
      </c>
      <c r="L17" s="143" t="s">
        <v>200</v>
      </c>
      <c r="M17" s="147">
        <v>2.33</v>
      </c>
      <c r="N17" s="192">
        <v>9</v>
      </c>
      <c r="O17" s="192">
        <v>10</v>
      </c>
      <c r="P17" s="192">
        <v>11</v>
      </c>
      <c r="Q17" s="193">
        <v>12</v>
      </c>
      <c r="R17" s="145" t="s">
        <v>168</v>
      </c>
      <c r="S17" s="105" t="s">
        <v>165</v>
      </c>
      <c r="T17" s="105" t="s">
        <v>302</v>
      </c>
      <c r="U17" s="105" t="s">
        <v>166</v>
      </c>
      <c r="V17" s="105" t="s">
        <v>167</v>
      </c>
    </row>
    <row r="18" spans="1:22" s="109" customFormat="1" ht="19.95" customHeight="1" x14ac:dyDescent="0.3">
      <c r="A18" s="166"/>
      <c r="B18" s="166"/>
      <c r="C18" s="166"/>
      <c r="D18" s="166"/>
      <c r="E18" s="4" t="s">
        <v>213</v>
      </c>
      <c r="F18" s="4" t="s">
        <v>206</v>
      </c>
      <c r="G18" s="4" t="s">
        <v>0</v>
      </c>
      <c r="H18" s="166"/>
      <c r="K18" s="110"/>
      <c r="L18" s="110"/>
    </row>
    <row r="19" spans="1:22" s="109" customFormat="1" ht="19.95" customHeight="1" x14ac:dyDescent="0.3">
      <c r="A19" s="166"/>
      <c r="B19" s="166"/>
      <c r="C19" s="166"/>
      <c r="D19" s="166"/>
      <c r="E19" s="4" t="s">
        <v>6</v>
      </c>
      <c r="F19" s="4"/>
      <c r="G19" s="4">
        <v>120</v>
      </c>
      <c r="H19" s="166"/>
      <c r="K19" s="110" t="s">
        <v>180</v>
      </c>
      <c r="L19" s="110"/>
    </row>
    <row r="20" spans="1:22" s="109" customFormat="1" ht="19.95" customHeight="1" x14ac:dyDescent="0.3">
      <c r="A20" s="166"/>
      <c r="B20" s="166"/>
      <c r="C20" s="166"/>
      <c r="D20" s="166"/>
      <c r="E20" s="4" t="s">
        <v>126</v>
      </c>
      <c r="F20" s="4" t="s">
        <v>225</v>
      </c>
      <c r="G20" s="4" t="s">
        <v>0</v>
      </c>
      <c r="H20" s="166"/>
      <c r="K20" s="110" t="s">
        <v>183</v>
      </c>
      <c r="L20" s="110"/>
    </row>
    <row r="21" spans="1:22" s="109" customFormat="1" ht="19.95" customHeight="1" x14ac:dyDescent="0.3">
      <c r="A21" s="166"/>
      <c r="B21" s="166"/>
      <c r="C21" s="166"/>
      <c r="D21" s="166"/>
      <c r="E21" s="4" t="s">
        <v>220</v>
      </c>
      <c r="F21" s="4" t="s">
        <v>254</v>
      </c>
      <c r="G21" s="4">
        <f>5*60</f>
        <v>300</v>
      </c>
      <c r="H21" s="166"/>
      <c r="K21" s="110"/>
      <c r="L21" s="110"/>
    </row>
    <row r="22" spans="1:22" s="109" customFormat="1" ht="19.95" customHeight="1" x14ac:dyDescent="0.3">
      <c r="A22" s="166"/>
      <c r="B22" s="166"/>
      <c r="C22" s="166"/>
      <c r="D22" s="166"/>
      <c r="E22" s="4" t="s">
        <v>107</v>
      </c>
      <c r="F22" s="4" t="s">
        <v>255</v>
      </c>
      <c r="G22" s="4">
        <v>300</v>
      </c>
      <c r="H22" s="166"/>
      <c r="K22" s="110"/>
      <c r="L22" s="110"/>
    </row>
    <row r="23" spans="1:22" s="109" customFormat="1" ht="19.95" customHeight="1" x14ac:dyDescent="0.3">
      <c r="A23" s="166"/>
      <c r="B23" s="166"/>
      <c r="C23" s="166"/>
      <c r="D23" s="166"/>
      <c r="E23" s="4" t="s">
        <v>7</v>
      </c>
      <c r="F23" s="4"/>
      <c r="G23" s="4" t="s">
        <v>0</v>
      </c>
      <c r="H23" s="166"/>
      <c r="K23" s="110"/>
      <c r="L23" s="110"/>
    </row>
    <row r="24" spans="1:22" s="109" customFormat="1" ht="19.95" customHeight="1" x14ac:dyDescent="0.3">
      <c r="A24" s="166"/>
      <c r="B24" s="166"/>
      <c r="C24" s="166"/>
      <c r="D24" s="166"/>
      <c r="E24" s="4" t="s">
        <v>46</v>
      </c>
      <c r="F24" s="4"/>
      <c r="G24" s="4" t="s">
        <v>0</v>
      </c>
      <c r="H24" s="166"/>
      <c r="K24" s="110"/>
      <c r="L24" s="110"/>
    </row>
    <row r="25" spans="1:22" s="109" customFormat="1" ht="19.95" customHeight="1" x14ac:dyDescent="0.3">
      <c r="A25" s="166"/>
      <c r="B25" s="166"/>
      <c r="C25" s="166"/>
      <c r="D25" s="166"/>
      <c r="E25" s="166" t="s">
        <v>256</v>
      </c>
      <c r="F25" s="166"/>
      <c r="G25" s="166"/>
      <c r="H25" s="166"/>
      <c r="K25" s="110"/>
      <c r="L25" s="110"/>
    </row>
    <row r="26" spans="1:22" s="109" customFormat="1" ht="19.95" customHeight="1" x14ac:dyDescent="0.3">
      <c r="A26" s="166"/>
      <c r="B26" s="166"/>
      <c r="C26" s="166"/>
      <c r="D26" s="166"/>
      <c r="E26" s="166"/>
      <c r="F26" s="166"/>
      <c r="G26" s="166"/>
      <c r="H26" s="166"/>
      <c r="K26" s="110"/>
      <c r="L26" s="110"/>
    </row>
    <row r="27" spans="1:22" s="109" customFormat="1" ht="19.95" customHeight="1" x14ac:dyDescent="0.3">
      <c r="A27" s="166"/>
      <c r="B27" s="166"/>
      <c r="C27" s="166"/>
      <c r="D27" s="166"/>
      <c r="E27" s="166"/>
      <c r="F27" s="166"/>
      <c r="G27" s="166"/>
      <c r="H27" s="166"/>
      <c r="K27" s="110"/>
      <c r="L27" s="110"/>
    </row>
    <row r="28" spans="1:22" s="109" customFormat="1" ht="19.95" customHeight="1" x14ac:dyDescent="0.3">
      <c r="A28" s="166"/>
      <c r="B28" s="166"/>
      <c r="C28" s="166"/>
      <c r="D28" s="166"/>
      <c r="E28" s="166"/>
      <c r="F28" s="166"/>
      <c r="G28" s="166"/>
      <c r="H28" s="166"/>
      <c r="K28" s="110"/>
      <c r="L28" s="110"/>
    </row>
    <row r="29" spans="1:22" s="109" customFormat="1" ht="19.95" customHeight="1" x14ac:dyDescent="0.3">
      <c r="A29" s="166"/>
      <c r="B29" s="166"/>
      <c r="C29" s="166"/>
      <c r="D29" s="166"/>
      <c r="E29" s="166"/>
      <c r="F29" s="166"/>
      <c r="G29" s="166"/>
      <c r="H29" s="166"/>
      <c r="K29" s="110"/>
      <c r="L29" s="110"/>
    </row>
    <row r="30" spans="1:22" s="109" customFormat="1" ht="19.95" customHeight="1" x14ac:dyDescent="0.3">
      <c r="A30" s="166"/>
      <c r="B30" s="166"/>
      <c r="C30" s="166"/>
      <c r="D30" s="166"/>
      <c r="E30" s="166"/>
      <c r="F30" s="166"/>
      <c r="G30" s="166"/>
      <c r="H30" s="166"/>
      <c r="K30" s="110"/>
      <c r="L30" s="110"/>
    </row>
    <row r="31" spans="1:22" s="109" customFormat="1" ht="19.95" customHeight="1" x14ac:dyDescent="0.3">
      <c r="A31" s="166"/>
      <c r="B31" s="166"/>
      <c r="C31" s="166"/>
      <c r="D31" s="166"/>
      <c r="E31" s="166"/>
      <c r="F31" s="166"/>
      <c r="G31" s="166"/>
      <c r="H31" s="166"/>
      <c r="K31" s="110"/>
      <c r="L31" s="110"/>
    </row>
    <row r="32" spans="1:22" s="109" customFormat="1" ht="19.95" customHeight="1" x14ac:dyDescent="0.3">
      <c r="A32" s="166"/>
      <c r="B32" s="166"/>
      <c r="C32" s="166"/>
      <c r="D32" s="166"/>
      <c r="E32" s="166"/>
      <c r="F32" s="166"/>
      <c r="G32" s="166"/>
      <c r="H32" s="166"/>
      <c r="K32" s="110"/>
      <c r="L32" s="110"/>
    </row>
    <row r="33" spans="1:24" s="109" customFormat="1" ht="19.95" customHeight="1" x14ac:dyDescent="0.3">
      <c r="A33" s="166"/>
      <c r="B33" s="166"/>
      <c r="C33" s="166"/>
      <c r="D33" s="166"/>
      <c r="E33" s="166"/>
      <c r="F33" s="166"/>
      <c r="G33" s="166"/>
      <c r="H33" s="166"/>
      <c r="K33" s="110"/>
      <c r="L33" s="110"/>
    </row>
    <row r="34" spans="1:24" s="109" customFormat="1" ht="19.95" customHeight="1" x14ac:dyDescent="0.3">
      <c r="A34" s="166"/>
      <c r="B34" s="166"/>
      <c r="C34" s="166"/>
      <c r="D34" s="166"/>
      <c r="E34" s="166"/>
      <c r="F34" s="166"/>
      <c r="G34" s="166"/>
      <c r="H34" s="166"/>
      <c r="K34" s="110"/>
      <c r="L34" s="110"/>
    </row>
    <row r="35" spans="1:24" s="109" customFormat="1" ht="19.95" customHeight="1" x14ac:dyDescent="0.3">
      <c r="A35" s="166"/>
      <c r="B35" s="166"/>
      <c r="C35" s="166"/>
      <c r="D35" s="166"/>
      <c r="E35" s="166"/>
      <c r="F35" s="166"/>
      <c r="G35" s="166"/>
      <c r="H35" s="166"/>
      <c r="K35" s="110"/>
      <c r="L35" s="110"/>
      <c r="X35"/>
    </row>
    <row r="36" spans="1:24" s="109" customFormat="1" ht="19.95" customHeight="1" x14ac:dyDescent="0.3">
      <c r="A36" s="166"/>
      <c r="B36" s="166"/>
      <c r="C36" s="166"/>
      <c r="D36" s="166"/>
      <c r="E36" s="166"/>
      <c r="F36" s="166"/>
      <c r="G36" s="166"/>
      <c r="H36" s="166"/>
      <c r="K36" s="110"/>
      <c r="L36" s="110"/>
      <c r="X36"/>
    </row>
    <row r="37" spans="1:24" s="109" customFormat="1" ht="19.95" customHeight="1" x14ac:dyDescent="0.3">
      <c r="A37" s="166"/>
      <c r="B37" s="166"/>
      <c r="C37" s="166"/>
      <c r="D37" s="166"/>
      <c r="E37" s="166"/>
      <c r="F37" s="166"/>
      <c r="G37" s="166"/>
      <c r="H37" s="166"/>
      <c r="K37" s="110"/>
      <c r="L37" s="110"/>
      <c r="X37"/>
    </row>
    <row r="38" spans="1:24" s="109" customFormat="1" ht="19.95" customHeight="1" x14ac:dyDescent="0.3">
      <c r="A38" s="166"/>
      <c r="B38" s="166"/>
      <c r="C38" s="166"/>
      <c r="D38" s="166"/>
      <c r="E38" s="166"/>
      <c r="F38" s="166"/>
      <c r="G38" s="166"/>
      <c r="H38" s="166"/>
      <c r="I38"/>
      <c r="K38" s="110"/>
      <c r="L38" s="110"/>
      <c r="X38"/>
    </row>
    <row r="39" spans="1:24" ht="19.95" customHeight="1" x14ac:dyDescent="0.3">
      <c r="K39" s="110"/>
      <c r="L39" s="110"/>
      <c r="M39" s="109"/>
      <c r="N39" s="109"/>
      <c r="O39" s="109"/>
      <c r="P39" s="109"/>
      <c r="Q39" s="109"/>
      <c r="R39" s="109"/>
      <c r="S39" s="109"/>
      <c r="T39" s="109"/>
      <c r="U39" s="109"/>
      <c r="V39" s="109"/>
    </row>
    <row r="40" spans="1:24" ht="19.95" customHeight="1" x14ac:dyDescent="0.3">
      <c r="K40" s="110"/>
      <c r="L40" s="110"/>
      <c r="M40" s="109"/>
      <c r="N40" s="109"/>
      <c r="O40" s="109"/>
      <c r="P40" s="109"/>
      <c r="Q40" s="109"/>
      <c r="R40" s="109"/>
      <c r="S40" s="109"/>
      <c r="T40" s="109"/>
      <c r="U40" s="109"/>
      <c r="V40" s="109"/>
    </row>
    <row r="41" spans="1:24" ht="19.95" customHeight="1" x14ac:dyDescent="0.3">
      <c r="K41" s="110"/>
      <c r="L41" s="110"/>
      <c r="M41" s="109"/>
      <c r="N41" s="109"/>
      <c r="O41" s="109"/>
      <c r="P41" s="109"/>
      <c r="Q41" s="109"/>
      <c r="R41" s="109"/>
      <c r="S41" s="109"/>
      <c r="T41" s="109"/>
      <c r="U41" s="109"/>
      <c r="V41" s="109"/>
    </row>
    <row r="42" spans="1:24" ht="19.95" customHeight="1" x14ac:dyDescent="0.3">
      <c r="K42" s="110"/>
      <c r="L42" s="110"/>
      <c r="S42" s="109"/>
    </row>
    <row r="43" spans="1:24" ht="19.95" customHeight="1" x14ac:dyDescent="0.3">
      <c r="K43" s="110"/>
      <c r="L43" s="110"/>
    </row>
    <row r="44" spans="1:24" ht="19.95" customHeight="1" x14ac:dyDescent="0.3">
      <c r="K44" s="110"/>
      <c r="L44" s="110"/>
    </row>
    <row r="45" spans="1:24" ht="19.95" customHeight="1" x14ac:dyDescent="0.3">
      <c r="K45" s="110"/>
      <c r="L45" s="110"/>
    </row>
    <row r="46" spans="1:24" ht="19.95" customHeight="1" x14ac:dyDescent="0.3">
      <c r="K46" s="110"/>
      <c r="L46" s="110"/>
    </row>
    <row r="47" spans="1:24" ht="19.95" customHeight="1" x14ac:dyDescent="0.3">
      <c r="K47" s="110"/>
      <c r="L47" s="110"/>
    </row>
    <row r="48" spans="1:24" ht="19.95" customHeight="1" x14ac:dyDescent="0.3">
      <c r="K48" s="110"/>
      <c r="L48" s="110"/>
    </row>
  </sheetData>
  <sortState xmlns:xlrd2="http://schemas.microsoft.com/office/spreadsheetml/2017/richdata2" ref="X4:X8">
    <sortCondition ref="X4:X8"/>
  </sortState>
  <mergeCells count="5">
    <mergeCell ref="R2:V2"/>
    <mergeCell ref="E2:G2"/>
    <mergeCell ref="A2:C2"/>
    <mergeCell ref="K2:L2"/>
    <mergeCell ref="M2:Q2"/>
  </mergeCells>
  <phoneticPr fontId="31"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7506-D0EE-4A1A-8B59-649516A9EE05}">
  <sheetPr codeName="Sheet1"/>
  <dimension ref="A2:B21"/>
  <sheetViews>
    <sheetView showGridLines="0" workbookViewId="0">
      <selection activeCell="B16" sqref="B16"/>
    </sheetView>
  </sheetViews>
  <sheetFormatPr defaultColWidth="8.88671875" defaultRowHeight="15.6" x14ac:dyDescent="0.3"/>
  <cols>
    <col min="1" max="1" width="8.88671875" style="6" customWidth="1"/>
    <col min="2" max="2" width="111" style="9" customWidth="1"/>
    <col min="3" max="16384" width="8.88671875" style="8"/>
  </cols>
  <sheetData>
    <row r="2" spans="1:2" x14ac:dyDescent="0.3">
      <c r="B2" s="7" t="s">
        <v>11</v>
      </c>
    </row>
    <row r="3" spans="1:2" x14ac:dyDescent="0.3">
      <c r="A3" s="6">
        <v>3.1</v>
      </c>
      <c r="B3" s="9" t="s">
        <v>12</v>
      </c>
    </row>
    <row r="5" spans="1:2" x14ac:dyDescent="0.3">
      <c r="B5" s="7" t="s">
        <v>10</v>
      </c>
    </row>
    <row r="6" spans="1:2" ht="15" customHeight="1" x14ac:dyDescent="0.3">
      <c r="A6" s="6">
        <v>4.0999999999999996</v>
      </c>
      <c r="B6" s="9" t="s">
        <v>123</v>
      </c>
    </row>
    <row r="7" spans="1:2" x14ac:dyDescent="0.3">
      <c r="A7" s="6">
        <v>4.2</v>
      </c>
      <c r="B7" s="9" t="s">
        <v>37</v>
      </c>
    </row>
    <row r="8" spans="1:2" x14ac:dyDescent="0.3">
      <c r="A8" s="6">
        <v>4.3</v>
      </c>
      <c r="B8" s="9" t="s">
        <v>33</v>
      </c>
    </row>
    <row r="9" spans="1:2" ht="4.2" customHeight="1" x14ac:dyDescent="0.3"/>
    <row r="10" spans="1:2" ht="31.2" x14ac:dyDescent="0.3">
      <c r="B10" s="9" t="s">
        <v>38</v>
      </c>
    </row>
    <row r="11" spans="1:2" ht="4.2" customHeight="1" x14ac:dyDescent="0.3"/>
    <row r="12" spans="1:2" x14ac:dyDescent="0.3">
      <c r="B12" s="9" t="s">
        <v>40</v>
      </c>
    </row>
    <row r="13" spans="1:2" ht="4.2" customHeight="1" x14ac:dyDescent="0.3"/>
    <row r="14" spans="1:2" ht="29.4" customHeight="1" x14ac:dyDescent="0.3">
      <c r="B14" s="9" t="s">
        <v>39</v>
      </c>
    </row>
    <row r="16" spans="1:2" x14ac:dyDescent="0.3">
      <c r="B16" s="7" t="s">
        <v>9</v>
      </c>
    </row>
    <row r="17" spans="1:2" x14ac:dyDescent="0.3">
      <c r="A17" s="6">
        <v>5.0999999999999996</v>
      </c>
      <c r="B17" s="9" t="s">
        <v>124</v>
      </c>
    </row>
    <row r="19" spans="1:2" x14ac:dyDescent="0.3">
      <c r="B19" s="10" t="s">
        <v>35</v>
      </c>
    </row>
    <row r="20" spans="1:2" ht="31.2" x14ac:dyDescent="0.3">
      <c r="B20" s="11" t="s">
        <v>125</v>
      </c>
    </row>
    <row r="21" spans="1:2" x14ac:dyDescent="0.3">
      <c r="B21" s="11" t="s">
        <v>36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Recording notes</vt:lpstr>
      <vt:lpstr>Procedures</vt:lpstr>
      <vt:lpstr>Description</vt:lpstr>
      <vt:lpstr>Hand notes scheme</vt:lpstr>
      <vt:lpstr>Categories</vt:lpstr>
      <vt:lpstr>Usage</vt:lpstr>
      <vt:lpstr>Controlled_VarNames</vt:lpstr>
      <vt:lpstr>Description!Experiment_Info</vt:lpstr>
      <vt:lpstr>Header_VarNames</vt:lpstr>
      <vt:lpstr>Header_VarUnits</vt:lpstr>
      <vt:lpstr>Measured_VarNames</vt:lpstr>
      <vt:lpstr>Notes</vt:lpstr>
      <vt:lpstr>'Hand notes scheme'!Print_Titles</vt:lpstr>
      <vt:lpstr>'Recording notes'!Print_Titles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2020-08-23T17:33:00Z</dcterms:modified>
</cp:coreProperties>
</file>