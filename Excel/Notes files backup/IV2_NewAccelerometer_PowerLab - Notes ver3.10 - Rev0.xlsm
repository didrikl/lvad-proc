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Testing\NewAccelerometer\Noted\"/>
    </mc:Choice>
  </mc:AlternateContent>
  <xr:revisionPtr revIDLastSave="0" documentId="13_ncr:1_{5D80CA1E-821D-4ABA-86B2-5BC203915386}" xr6:coauthVersionLast="44" xr6:coauthVersionMax="44" xr10:uidLastSave="{00000000-0000-0000-0000-000000000000}"/>
  <bookViews>
    <workbookView xWindow="0" yWindow="648" windowWidth="23040" windowHeight="12312"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Notes!$H$2:$P$2</definedName>
    <definedName name="Equipment">Equipment!$B$3:$I$29</definedName>
    <definedName name="Header_VarNames" comment="Define which row that contains header info. The whole row is used, due to flexibility purposes">Notes!$A$2:$V$2</definedName>
    <definedName name="Header_VarUnits">Notes!$A$3:$V$3</definedName>
    <definedName name="Measured_VarNames">Notes!$Q$2:$U$2</definedName>
    <definedName name="Notes" comment="Rectangular area for the notes made, to make it easy and robust for importing notes to e.g. Matlab">Notes!$A$4:$V$12</definedName>
    <definedName name="_xlnm.Print_Titles" localSheetId="1">Notes!$2:$3</definedName>
    <definedName name="Sequence_General_Info">'Sequence description'!$B$3:$C$7</definedName>
    <definedName name="Sequence_Part_Descriptions">'Sequence description'!$B$10:$C$25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U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<sst xmlns="http://schemas.openxmlformats.org/spreadsheetml/2006/main" count="357" uniqueCount="216">
  <si>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</si>
  <si>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</si>
  <si>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</si>
  <si>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</si>
  <si>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</si>
  <si>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</si>
  <si>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</si>
  <si>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</si>
  <si>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</si>
  <si>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</si>
  <si>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</si>
  <si>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</si>
  <si>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</si>
  <si>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</si>
  <si>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</si>
  <si>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</si>
  <si>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</si>
  <si>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</si>
  <si>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</si>
  <si>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</si>
  <si>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</si>
  <si>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</si>
  <si>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</si>
  <si>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</si>
  <si>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</si>
  <si>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</si>
  <si>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</si>
  <si>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</si>
  <si>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</si>
  <si>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</si>
  <si>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</si>
  <si>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</si>
  <si>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</si>
  <si>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</si>
  <si>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</si>
  <si>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</si>
  <si>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</si>
  <si>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</si>
  <si>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</si>
  <si>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</si>
  <si>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</si>
  <si>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</si>
  <si>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</si>
  <si>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</si>
  <si>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</si>
  <si>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</si>
  <si>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</si>
  <si>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</si>
  <si>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</si>
  <si>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</si>
  <si>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</si>
  <si>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</si>
  <si>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</si>
  <si>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</si>
  <si>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</si>
  <si>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</si>
  <si>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</si>
  <si>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</si>
  <si>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</si>
  <si>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</si>
  <si>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</si>
  <si>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</si>
  <si>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</si>
  <si>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</si>
  <si>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</si>
  <si>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</si>
  <si>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</si>
  <si>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</si>
  <si>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</si>
  <si>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</si>
  <si>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</si>
  <si>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</si>
  <si>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</si>
  <si>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</si>
  <si>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</si>
  <si>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</si>
  <si>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</si>
  <si>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</si>
  <si>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</si>
  <si>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</si>
  <si>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</si>
  <si>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</si>
  <si>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</si>
  <si>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</si>
  <si>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</si>
  <si>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</si>
  <si>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</si>
  <si>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</si>
  <si>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</si>
  <si>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</si>
  <si>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</si>
  <si>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</si>
  <si>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</si>
  <si>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</si>
  <si>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</si>
  <si>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Dur</t>
  </si>
  <si>
    <t>Hands on</t>
  </si>
  <si>
    <t>Hands off</t>
  </si>
  <si>
    <t>Steady-state</t>
  </si>
  <si>
    <t>Sequence start</t>
  </si>
  <si>
    <t>Sequence end</t>
  </si>
  <si>
    <t>Unintentional</t>
  </si>
  <si>
    <t>Occlusion end</t>
  </si>
  <si>
    <t>Occlusion start</t>
  </si>
  <si>
    <t>Balloon volume change</t>
  </si>
  <si>
    <t>Control baseline</t>
  </si>
  <si>
    <t>(mm)</t>
  </si>
  <si>
    <t>Clamp flow reduction</t>
  </si>
  <si>
    <t>Controlled</t>
  </si>
  <si>
    <t>Balloon level</t>
  </si>
  <si>
    <t>Interventions are not randomized since we only use water. Control intervention will confirm that the sequence order is irrelevant.</t>
  </si>
  <si>
    <t>HVAD</t>
  </si>
  <si>
    <t>Arrow</t>
  </si>
  <si>
    <t>Medisinteknisk avd.,Rikshospitalet</t>
  </si>
  <si>
    <t>Measured</t>
  </si>
  <si>
    <t>Catheter type</t>
  </si>
  <si>
    <t>Balloon offset</t>
  </si>
  <si>
    <t>No</t>
  </si>
  <si>
    <t>Interval types</t>
  </si>
  <si>
    <t>Events</t>
  </si>
  <si>
    <t>Catheters</t>
  </si>
  <si>
    <t>Experiment types</t>
  </si>
  <si>
    <t>Manual shaking start</t>
  </si>
  <si>
    <t>Manual shaking end</t>
  </si>
  <si>
    <t>Høgskolen i Vestfold / Cardiaccs</t>
  </si>
  <si>
    <t>Sampling</t>
  </si>
  <si>
    <t>Spectrum Medical</t>
  </si>
  <si>
    <t>Sampling frequency</t>
  </si>
  <si>
    <t>Digital-to-analouge converted (DAC)</t>
  </si>
  <si>
    <t>Same as input</t>
  </si>
  <si>
    <t>Equipment Specifications</t>
  </si>
  <si>
    <t>M3 monitor</t>
  </si>
  <si>
    <t>PowerLab + LabChart</t>
  </si>
  <si>
    <t>1000 Hz</t>
  </si>
  <si>
    <t>Digital sensor signal to DAC, and DAC to PowerLab</t>
  </si>
  <si>
    <t>At level of efferent pressure measurement</t>
  </si>
  <si>
    <t>At level of afferent pressure measurement</t>
  </si>
  <si>
    <t>At level of efferent and afferent pressure measurement (recommended to be at equal height)</t>
  </si>
  <si>
    <t>Fred-Johan Pettersen, Med. Tek., OUS</t>
  </si>
  <si>
    <t>1 Hz</t>
  </si>
  <si>
    <t>1 datapoint per 15 min.</t>
  </si>
  <si>
    <t>NC Emerge</t>
  </si>
  <si>
    <t>LVAD inlet</t>
  </si>
  <si>
    <t>PCI, 4.5mm x 12mm</t>
  </si>
  <si>
    <t>RHC, 11.0mm</t>
  </si>
  <si>
    <t>700 Hz in sensor; 520-540 on laptop</t>
  </si>
  <si>
    <t>Digital sensor signal to laptop with propritary software</t>
  </si>
  <si>
    <t>700 Hz in sensor; 2000 Hz in PowerLab</t>
  </si>
  <si>
    <t>Mikro-Cath™ Diagnostic Pressure Catheter?</t>
  </si>
  <si>
    <t>Millar</t>
  </si>
  <si>
    <t>At catheter balloon (only for suitable catheters)</t>
  </si>
  <si>
    <t>Reduced baseline flow</t>
  </si>
  <si>
    <t>Catheter position change</t>
  </si>
  <si>
    <t>In-vitro, 5% glucose solution</t>
  </si>
  <si>
    <t>2000 Hz</t>
  </si>
  <si>
    <t>Product name</t>
  </si>
  <si>
    <t>PCI, 2mm x 28mm</t>
  </si>
  <si>
    <t>Monorail
PTCA Dialation Catheter</t>
  </si>
  <si>
    <t>Xience Pro
Everolimus Eluting Coronary Stent System</t>
  </si>
  <si>
    <t>Abbott</t>
  </si>
  <si>
    <t>Balloon Wedge Pressure Catheter</t>
  </si>
  <si>
    <t>PCI, 2.5mm x 8mm</t>
  </si>
  <si>
    <t>PCI catheter, 6mm x 8mm</t>
  </si>
  <si>
    <t>M3</t>
  </si>
  <si>
    <t>Ultrasound</t>
  </si>
  <si>
    <t>PCI catheter, 2mm x 28mm</t>
  </si>
  <si>
    <t>PCI catheter, 2.5mm x 8mm</t>
  </si>
  <si>
    <t>PCI catheter, 4.5mm x 12mm</t>
  </si>
  <si>
    <t>TREK
Coronary Dilatation Catheter</t>
  </si>
  <si>
    <t>PCI catheter, 10mm x 30mm</t>
  </si>
  <si>
    <t>NuMed</t>
  </si>
  <si>
    <t>BIB Balloon in balloon
Dialation Catheter</t>
  </si>
  <si>
    <t>RHC catheter, 11mm sperical</t>
  </si>
  <si>
    <t>PCI catheter, 6mm x 39mm</t>
  </si>
  <si>
    <t>PCI catheter, 8mm x 30mm</t>
  </si>
  <si>
    <t>TYSHAK II</t>
  </si>
  <si>
    <t>PCI catheter, 11mm x 30mm</t>
  </si>
  <si>
    <t xml:space="preserve">PCI, 6mm x 8mm </t>
  </si>
  <si>
    <t>PCI, 6mm x 39mm</t>
  </si>
  <si>
    <t>PCI, 8mm x 30mm</t>
  </si>
  <si>
    <t>PCI catheter, 8mm x 20mm</t>
  </si>
  <si>
    <t>Aachen Resonance</t>
  </si>
  <si>
    <t>ELUTAX
Paclitaxel-eluting PTCA Catheter</t>
  </si>
  <si>
    <t>Codan</t>
  </si>
  <si>
    <t>Xtrans</t>
  </si>
  <si>
    <t>Armada 35
PTA Catheter</t>
  </si>
  <si>
    <t>Fox
PTA Catheter</t>
  </si>
  <si>
    <t>Balloon diameter</t>
  </si>
  <si>
    <t>Preload C-clamp end</t>
  </si>
  <si>
    <t>Preload C-clamp start</t>
  </si>
  <si>
    <t>Afterload C-clamp end</t>
  </si>
  <si>
    <t>Afterload C-clamp start</t>
  </si>
  <si>
    <t>Preload change</t>
  </si>
  <si>
    <t>Afterload change</t>
  </si>
  <si>
    <t>Catheter extraction</t>
  </si>
  <si>
    <t>Catheter insertion</t>
  </si>
  <si>
    <t>Water simulated pre-pump thrombosis</t>
  </si>
  <si>
    <t>Correction</t>
  </si>
  <si>
    <t>PCI, 4.5mm x 15mm</t>
  </si>
  <si>
    <t>PCI, 6mm x 20mm</t>
  </si>
  <si>
    <t>New PowerLab file: F1</t>
  </si>
  <si>
    <t>PTCA, 8mm x 20mm</t>
  </si>
  <si>
    <t>IV2_Seq5</t>
  </si>
  <si>
    <t>Hematocrit is 20</t>
  </si>
  <si>
    <t>3-component accelerometer</t>
  </si>
  <si>
    <t>Driveline, 20 cm from LVAD</t>
  </si>
  <si>
    <t>M3 monitor 2 sec ahead</t>
  </si>
  <si>
    <t>IVS No.</t>
  </si>
  <si>
    <t>Serial no.</t>
  </si>
  <si>
    <t>CB1R-PR-002</t>
  </si>
  <si>
    <t>CB1R-PR-001</t>
  </si>
  <si>
    <t>1500Hz in sensor; 4000 Hz in LabChart</t>
  </si>
  <si>
    <t>Digital sensor signal to PowerLab and LabChart</t>
  </si>
  <si>
    <t>CB1</t>
  </si>
  <si>
    <t>CB1 Research DAC</t>
  </si>
  <si>
    <t>Steady-State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</si>
</sst>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23"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2"/>
      <color theme="0" tint="-0.34998626667073579"/>
      <name val="Calibri"/>
      <family val="2"/>
      <scheme val="minor"/>
    </font>
    <font>
      <sz val="11"/>
      <color theme="0" tint="-0.34998626667073579"/>
      <name val="Calibri"/>
      <family val="2"/>
      <scheme val="minor"/>
    </font>
    <font>
      <sz val="12"/>
      <color theme="0" tint="-0.499984740745262"/>
      <name val="Calibri"/>
      <family val="2"/>
      <scheme val="minor"/>
    </font>
    <font>
      <sz val="11"/>
      <color theme="0" tint="-0.499984740745262"/>
      <name val="Calibri"/>
      <family val="2"/>
      <scheme val="minor"/>
    </font>
    <font>
      <sz val="12"/>
      <name val="Calibri"/>
      <family val="2"/>
      <scheme val="minor"/>
    </font>
    <font>
      <sz val="11"/>
      <name val="Calibri"/>
      <family val="2"/>
      <scheme val="minor"/>
    </font>
  </fonts>
  <fills count="11">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s>
  <borders count="16">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s>
  <cellStyleXfs count="1">
    <xf numFmtId="0" fontId="0" fillId="0" borderId="0"/>
  </cellStyleXfs>
  <cellXfs count="98">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4" borderId="0" xfId="0" applyFont="1" applyFill="1" applyAlignment="1">
      <alignment wrapText="1"/>
    </xf>
    <xf numFmtId="0" fontId="2" fillId="4" borderId="0" xfId="0" applyFont="1" applyFill="1" applyAlignment="1">
      <alignment wrapText="1"/>
    </xf>
    <xf numFmtId="165" fontId="7" fillId="0" borderId="9"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5"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5" borderId="1" xfId="0" applyNumberFormat="1" applyFont="1" applyFill="1" applyBorder="1" applyAlignment="1">
      <alignment horizontal="center" vertical="center"/>
    </xf>
    <xf numFmtId="1" fontId="7" fillId="5" borderId="1" xfId="0" applyNumberFormat="1" applyFont="1" applyFill="1" applyBorder="1" applyAlignment="1">
      <alignment horizontal="center" vertical="center"/>
    </xf>
    <xf numFmtId="9" fontId="7" fillId="5"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0" borderId="0" xfId="0" applyFont="1" applyBorder="1" applyAlignment="1">
      <alignment horizontal="center" vertical="center" wrapText="1"/>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5" borderId="1" xfId="0" applyFont="1" applyFill="1" applyBorder="1" applyAlignment="1">
      <alignment horizontal="left" vertical="center" wrapText="1" indent="1"/>
    </xf>
    <xf numFmtId="0" fontId="11" fillId="9" borderId="5" xfId="0" applyFont="1" applyFill="1" applyBorder="1" applyAlignment="1">
      <alignment horizontal="center" wrapText="1"/>
    </xf>
    <xf numFmtId="1" fontId="11" fillId="9" borderId="11" xfId="0" applyNumberFormat="1" applyFont="1" applyFill="1" applyBorder="1" applyAlignment="1">
      <alignment horizontal="center" wrapText="1"/>
    </xf>
    <xf numFmtId="9" fontId="11" fillId="9" borderId="5" xfId="0" applyNumberFormat="1" applyFont="1" applyFill="1" applyBorder="1" applyAlignment="1">
      <alignment horizontal="center" wrapText="1"/>
    </xf>
    <xf numFmtId="0" fontId="11" fillId="9" borderId="3" xfId="0" applyFont="1" applyFill="1" applyBorder="1" applyAlignment="1">
      <alignment horizontal="center" vertical="center" wrapText="1"/>
    </xf>
    <xf numFmtId="1" fontId="11" fillId="9" borderId="12" xfId="0" applyNumberFormat="1" applyFont="1" applyFill="1" applyBorder="1" applyAlignment="1">
      <alignment horizontal="center" vertical="center" wrapText="1"/>
    </xf>
    <xf numFmtId="9" fontId="11" fillId="9" borderId="3" xfId="0" applyNumberFormat="1" applyFont="1" applyFill="1" applyBorder="1" applyAlignment="1">
      <alignment horizontal="center" vertical="center" wrapText="1"/>
    </xf>
    <xf numFmtId="164" fontId="11" fillId="10" borderId="3" xfId="0" applyNumberFormat="1" applyFont="1" applyFill="1" applyBorder="1" applyAlignment="1">
      <alignment horizontal="center" vertical="center" wrapText="1"/>
    </xf>
    <xf numFmtId="2" fontId="11" fillId="10" borderId="12" xfId="0" applyNumberFormat="1" applyFont="1" applyFill="1" applyBorder="1" applyAlignment="1">
      <alignment horizontal="center" vertical="center" wrapText="1"/>
    </xf>
    <xf numFmtId="3" fontId="7" fillId="5" borderId="1" xfId="0" applyNumberFormat="1" applyFont="1" applyFill="1" applyBorder="1" applyAlignment="1">
      <alignment horizontal="center" vertical="center"/>
    </xf>
    <xf numFmtId="164" fontId="11" fillId="4" borderId="5" xfId="0" applyNumberFormat="1" applyFont="1" applyFill="1" applyBorder="1" applyAlignment="1">
      <alignment horizontal="center" wrapText="1"/>
    </xf>
    <xf numFmtId="2" fontId="11" fillId="4" borderId="11" xfId="0" applyNumberFormat="1" applyFont="1" applyFill="1" applyBorder="1" applyAlignment="1">
      <alignment horizontal="center" wrapText="1"/>
    </xf>
    <xf numFmtId="0" fontId="1" fillId="0" borderId="1" xfId="0" applyFont="1" applyBorder="1" applyAlignment="1">
      <alignment horizontal="center" vertical="center" wrapText="1"/>
    </xf>
    <xf numFmtId="2" fontId="16" fillId="4" borderId="11" xfId="0" applyNumberFormat="1" applyFont="1" applyFill="1" applyBorder="1" applyAlignment="1">
      <alignment horizontal="center" wrapText="1"/>
    </xf>
    <xf numFmtId="2" fontId="16" fillId="4"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0" fontId="2" fillId="0" borderId="0" xfId="0" applyFont="1" applyAlignment="1">
      <alignment horizontal="left" vertical="center" wrapText="1" indent="1"/>
    </xf>
    <xf numFmtId="0" fontId="2" fillId="0" borderId="10" xfId="0" applyFont="1" applyBorder="1" applyAlignment="1">
      <alignment horizontal="left" vertical="center" wrapText="1" indent="1"/>
    </xf>
    <xf numFmtId="0" fontId="13" fillId="2" borderId="6" xfId="0" applyFont="1" applyFill="1" applyBorder="1" applyAlignment="1">
      <alignment horizontal="center" wrapText="1"/>
    </xf>
    <xf numFmtId="0" fontId="13" fillId="2" borderId="8" xfId="0" applyFont="1" applyFill="1" applyBorder="1" applyAlignment="1">
      <alignment horizontal="center" vertical="center" wrapText="1"/>
    </xf>
    <xf numFmtId="0" fontId="5" fillId="0" borderId="10" xfId="0" applyFont="1" applyBorder="1" applyAlignment="1">
      <alignment horizontal="left" vertical="center" wrapText="1" indent="1"/>
    </xf>
    <xf numFmtId="0" fontId="17" fillId="0" borderId="1" xfId="0" applyFont="1" applyBorder="1" applyAlignment="1">
      <alignment horizontal="left" vertical="center" wrapText="1" indent="1"/>
    </xf>
    <xf numFmtId="0" fontId="17" fillId="0" borderId="1" xfId="0" applyFont="1" applyBorder="1" applyAlignment="1">
      <alignment horizontal="center" vertical="center" wrapText="1"/>
    </xf>
    <xf numFmtId="0" fontId="18" fillId="0" borderId="0" xfId="0" applyFont="1"/>
    <xf numFmtId="0" fontId="0" fillId="0" borderId="0" xfId="0" applyAlignment="1">
      <alignment horizontal="left" indent="1"/>
    </xf>
    <xf numFmtId="0" fontId="19" fillId="0" borderId="1" xfId="0" applyFont="1" applyBorder="1" applyAlignment="1">
      <alignment horizontal="left" vertical="center" wrapText="1" indent="1"/>
    </xf>
    <xf numFmtId="0" fontId="19" fillId="0" borderId="1" xfId="0" applyFont="1" applyBorder="1" applyAlignment="1">
      <alignment horizontal="center" vertical="center" wrapText="1"/>
    </xf>
    <xf numFmtId="0" fontId="20" fillId="0" borderId="0" xfId="0" applyFont="1"/>
    <xf numFmtId="2" fontId="11" fillId="9" borderId="11" xfId="0" applyNumberFormat="1" applyFont="1" applyFill="1" applyBorder="1" applyAlignment="1">
      <alignment horizontal="center" wrapText="1"/>
    </xf>
    <xf numFmtId="2" fontId="11" fillId="9" borderId="12" xfId="0" applyNumberFormat="1" applyFont="1" applyFill="1" applyBorder="1" applyAlignment="1">
      <alignment horizontal="center" vertical="center" wrapText="1"/>
    </xf>
    <xf numFmtId="2" fontId="7" fillId="0" borderId="0" xfId="0" applyNumberFormat="1" applyFont="1" applyAlignment="1">
      <alignment horizontal="left" vertical="center" wrapText="1" indent="1"/>
    </xf>
    <xf numFmtId="2" fontId="11" fillId="4" borderId="5" xfId="0" applyNumberFormat="1" applyFont="1" applyFill="1" applyBorder="1" applyAlignment="1">
      <alignment horizontal="center" wrapText="1"/>
    </xf>
    <xf numFmtId="2" fontId="11" fillId="10" borderId="3" xfId="0" applyNumberFormat="1" applyFont="1" applyFill="1" applyBorder="1" applyAlignment="1">
      <alignment horizontal="center" vertical="center" wrapText="1"/>
    </xf>
    <xf numFmtId="0" fontId="21" fillId="0" borderId="1" xfId="0" applyFont="1" applyBorder="1" applyAlignment="1">
      <alignment horizontal="left" vertical="center" wrapText="1" indent="1"/>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5" borderId="1" xfId="0" applyNumberFormat="1" applyFont="1" applyFill="1" applyBorder="1" applyAlignment="1">
      <alignment horizontal="center" vertical="center"/>
    </xf>
    <xf numFmtId="0" fontId="22" fillId="0" borderId="0" xfId="0" applyFont="1"/>
    <xf numFmtId="0" fontId="21" fillId="0" borderId="1" xfId="0" applyFont="1" applyBorder="1" applyAlignment="1">
      <alignment horizontal="center" vertical="center" wrapText="1"/>
    </xf>
    <xf numFmtId="0" fontId="21" fillId="5" borderId="1" xfId="0" applyFont="1" applyFill="1" applyBorder="1" applyAlignment="1">
      <alignment horizontal="left" vertical="center" wrapText="1" indent="1"/>
    </xf>
    <xf numFmtId="0" fontId="21" fillId="5" borderId="1" xfId="0" applyFont="1" applyFill="1" applyBorder="1" applyAlignment="1">
      <alignment horizontal="center" vertical="center" wrapText="1"/>
    </xf>
    <xf numFmtId="164" fontId="15" fillId="8" borderId="14" xfId="0" applyNumberFormat="1" applyFont="1" applyFill="1" applyBorder="1" applyAlignment="1">
      <alignment horizontal="center" vertical="center"/>
    </xf>
    <xf numFmtId="1" fontId="14" fillId="7" borderId="14" xfId="0" applyNumberFormat="1" applyFont="1" applyFill="1" applyBorder="1" applyAlignment="1">
      <alignment horizontal="center" vertical="center"/>
    </xf>
    <xf numFmtId="164" fontId="14" fillId="8" borderId="14"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U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9"/>
  <sheetViews>
    <sheetView showGridLines="0" workbookViewId="0">
      <selection activeCell="C5" sqref="C5"/>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95" t="s">
        <v>17</v>
      </c>
      <c r="C2" s="95"/>
      <c r="D2" s="7"/>
      <c r="E2" s="7"/>
      <c r="F2" s="7"/>
    </row>
    <row r="3" spans="2:9" s="1" customFormat="1" ht="15.6" x14ac:dyDescent="0.3">
      <c r="B3" s="8" t="s">
        <v>8</v>
      </c>
      <c r="C3" s="4" t="s">
        <v>196</v>
      </c>
      <c r="D3" s="7"/>
      <c r="E3" s="7"/>
      <c r="F3" s="7"/>
    </row>
    <row r="4" spans="2:9" s="1" customFormat="1" ht="15.6" x14ac:dyDescent="0.3">
      <c r="B4" s="8" t="s">
        <v>18</v>
      </c>
      <c r="C4" s="6" t="s">
        <v>202</v>
      </c>
      <c r="D4" s="7"/>
      <c r="E4" s="7"/>
      <c r="F4" s="7"/>
    </row>
    <row r="5" spans="2:9" s="2" customFormat="1" ht="15.6" x14ac:dyDescent="0.3">
      <c r="B5" s="8" t="s">
        <v>9</v>
      </c>
      <c r="C5" s="4"/>
      <c r="D5" s="3"/>
      <c r="E5" s="3"/>
      <c r="F5" s="3"/>
    </row>
    <row r="6" spans="2:9" s="2" customFormat="1" ht="15.6" x14ac:dyDescent="0.3">
      <c r="B6" s="8" t="s">
        <v>12</v>
      </c>
      <c r="C6" s="4" t="s">
        <v>58</v>
      </c>
      <c r="D6" s="3"/>
      <c r="E6" s="3"/>
      <c r="F6" s="3"/>
    </row>
    <row r="7" spans="2:9" s="2" customFormat="1" ht="31.2" x14ac:dyDescent="0.3">
      <c r="B7" s="8" t="s">
        <v>80</v>
      </c>
      <c r="C7" s="4" t="s">
        <v>110</v>
      </c>
      <c r="D7" s="3"/>
      <c r="E7" s="3"/>
      <c r="F7" s="3"/>
    </row>
    <row r="8" spans="2:9" s="2" customFormat="1" ht="15.6" x14ac:dyDescent="0.3">
      <c r="B8" s="9"/>
      <c r="C8" s="10"/>
      <c r="D8" s="3"/>
      <c r="E8" s="3"/>
      <c r="F8" s="3"/>
    </row>
    <row r="9" spans="2:9" s="2" customFormat="1" ht="15.6" x14ac:dyDescent="0.3">
      <c r="B9" s="95" t="s">
        <v>61</v>
      </c>
      <c r="C9" s="95"/>
      <c r="D9" s="3"/>
      <c r="E9" s="3"/>
      <c r="F9" s="3"/>
    </row>
    <row r="10" spans="2:9" s="2" customFormat="1" ht="15.6" x14ac:dyDescent="0.3">
      <c r="B10" s="66" t="s">
        <v>117</v>
      </c>
      <c r="C10" s="67" t="s">
        <v>9</v>
      </c>
      <c r="D10" s="3"/>
      <c r="E10" s="3"/>
      <c r="F10" s="3"/>
    </row>
    <row r="11" spans="2:9" s="2" customFormat="1" ht="15.6" x14ac:dyDescent="0.3">
      <c r="B11" s="65">
        <v>1</v>
      </c>
      <c r="C11" s="4"/>
      <c r="D11" s="3"/>
      <c r="E11" s="3"/>
      <c r="F11" s="3"/>
      <c r="G11" s="3"/>
      <c r="H11" s="3"/>
      <c r="I11" s="3"/>
    </row>
    <row r="12" spans="2:9" s="2" customFormat="1" ht="15.6" x14ac:dyDescent="0.3">
      <c r="B12" s="65">
        <v>2</v>
      </c>
      <c r="C12" s="4"/>
      <c r="D12" s="3"/>
      <c r="E12" s="3"/>
      <c r="F12" s="3"/>
      <c r="G12" s="3"/>
      <c r="H12" s="3"/>
      <c r="I12" s="3"/>
    </row>
    <row r="13" spans="2:9" s="2" customFormat="1" ht="15.6" x14ac:dyDescent="0.3">
      <c r="B13" s="65">
        <v>3</v>
      </c>
      <c r="C13" s="4"/>
      <c r="D13" s="3"/>
      <c r="E13" s="3"/>
      <c r="F13" s="3"/>
      <c r="G13" s="3"/>
      <c r="H13" s="3"/>
      <c r="I13" s="3"/>
    </row>
    <row r="14" spans="2:9" s="2" customFormat="1" ht="13.2" customHeight="1" x14ac:dyDescent="0.3">
      <c r="B14" s="65">
        <v>4</v>
      </c>
      <c r="C14" s="4"/>
      <c r="D14" s="3"/>
      <c r="E14" s="3"/>
      <c r="F14" s="3"/>
      <c r="G14" s="3"/>
      <c r="H14" s="3"/>
      <c r="I14" s="3"/>
    </row>
    <row r="15" spans="2:9" s="2" customFormat="1" ht="15.6" x14ac:dyDescent="0.3">
      <c r="B15" s="65">
        <v>5</v>
      </c>
      <c r="C15" s="4"/>
      <c r="D15" s="3"/>
      <c r="E15" s="3"/>
      <c r="F15" s="3"/>
      <c r="G15" s="3"/>
      <c r="H15" s="3"/>
      <c r="I15" s="3"/>
    </row>
    <row r="16" spans="2:9" s="2" customFormat="1" ht="15.6" x14ac:dyDescent="0.3">
      <c r="B16" s="65">
        <v>5</v>
      </c>
      <c r="C16" s="4"/>
      <c r="D16" s="3"/>
      <c r="E16" s="3"/>
      <c r="F16" s="3"/>
      <c r="G16" s="3"/>
      <c r="H16" s="3"/>
      <c r="I16" s="3"/>
    </row>
    <row r="17" spans="2:9" s="2" customFormat="1" ht="15.6" x14ac:dyDescent="0.3">
      <c r="B17" s="65">
        <v>5</v>
      </c>
      <c r="C17" s="4"/>
      <c r="D17" s="3"/>
      <c r="E17" s="3"/>
      <c r="F17" s="3"/>
      <c r="G17" s="3"/>
      <c r="H17" s="3"/>
      <c r="I17" s="3"/>
    </row>
    <row r="18" spans="2:9" s="2" customFormat="1" ht="15.6" x14ac:dyDescent="0.3">
      <c r="B18" s="65">
        <v>5</v>
      </c>
      <c r="C18" s="4"/>
      <c r="D18" s="3"/>
      <c r="E18" s="3"/>
      <c r="F18" s="3"/>
      <c r="G18" s="3"/>
      <c r="H18" s="3"/>
      <c r="I18" s="3"/>
    </row>
    <row r="19" spans="2:9" s="2" customFormat="1" ht="15.6" x14ac:dyDescent="0.3">
      <c r="B19" s="65">
        <v>5</v>
      </c>
      <c r="C19" s="4"/>
      <c r="D19" s="3"/>
      <c r="E19" s="3"/>
      <c r="F19" s="3"/>
      <c r="G19" s="3"/>
      <c r="H19" s="3"/>
      <c r="I19" s="3"/>
    </row>
    <row r="20" spans="2:9" s="2" customFormat="1" ht="15.6" x14ac:dyDescent="0.3">
      <c r="B20" s="65">
        <v>5</v>
      </c>
      <c r="C20" s="4"/>
      <c r="D20" s="3"/>
      <c r="E20" s="3"/>
      <c r="F20" s="3"/>
      <c r="G20" s="3"/>
      <c r="H20" s="3"/>
      <c r="I20" s="3"/>
    </row>
    <row r="21" spans="2:9" s="2" customFormat="1" ht="15.6" x14ac:dyDescent="0.3">
      <c r="B21" s="65">
        <v>5</v>
      </c>
      <c r="C21" s="4"/>
      <c r="D21" s="3"/>
      <c r="E21" s="3"/>
      <c r="F21" s="3"/>
      <c r="G21" s="3"/>
      <c r="H21" s="3"/>
      <c r="I21" s="3"/>
    </row>
    <row r="22" spans="2:9" s="2" customFormat="1" ht="15.6" x14ac:dyDescent="0.3">
      <c r="B22" s="65">
        <v>5</v>
      </c>
      <c r="C22" s="4"/>
      <c r="D22" s="3"/>
      <c r="E22" s="3"/>
      <c r="F22" s="3"/>
      <c r="G22" s="3"/>
      <c r="H22" s="3"/>
      <c r="I22" s="3"/>
    </row>
    <row r="23" spans="2:9" s="2" customFormat="1" ht="15.6" x14ac:dyDescent="0.3">
      <c r="B23" s="65">
        <v>5</v>
      </c>
      <c r="C23" s="4"/>
      <c r="D23" s="3"/>
      <c r="E23" s="3"/>
      <c r="F23" s="3"/>
      <c r="G23" s="3"/>
      <c r="H23" s="3"/>
      <c r="I23" s="3"/>
    </row>
    <row r="24" spans="2:9" s="2" customFormat="1" ht="15.6" x14ac:dyDescent="0.3">
      <c r="B24" s="65">
        <v>6</v>
      </c>
      <c r="C24" s="4"/>
      <c r="D24" s="3"/>
      <c r="E24" s="3"/>
      <c r="F24" s="3"/>
      <c r="G24" s="3"/>
      <c r="H24" s="3"/>
      <c r="I24" s="3"/>
    </row>
    <row r="25" spans="2:9" s="2" customFormat="1" ht="15.6" x14ac:dyDescent="0.3">
      <c r="B25" s="65">
        <v>7</v>
      </c>
      <c r="C25" s="4"/>
      <c r="D25" s="3"/>
      <c r="E25" s="3"/>
      <c r="F25" s="3"/>
      <c r="G25" s="3"/>
      <c r="H25" s="3"/>
      <c r="I25" s="3"/>
    </row>
    <row r="26" spans="2:9" s="2" customFormat="1" ht="15.6" x14ac:dyDescent="0.3">
      <c r="B26" s="65">
        <v>7</v>
      </c>
      <c r="C26" s="4"/>
      <c r="D26" s="3"/>
      <c r="E26" s="3"/>
      <c r="F26" s="3"/>
      <c r="G26" s="3"/>
      <c r="H26" s="3"/>
      <c r="I26" s="3"/>
    </row>
    <row r="27" spans="2:9" s="2" customFormat="1" ht="15.6" x14ac:dyDescent="0.3">
      <c r="B27" s="9"/>
      <c r="C27" s="10"/>
      <c r="D27" s="3"/>
      <c r="E27" s="3"/>
      <c r="F27" s="3"/>
      <c r="G27" s="3"/>
      <c r="H27" s="3"/>
      <c r="I27" s="3"/>
    </row>
    <row r="28" spans="2:9" s="2" customFormat="1" ht="15.6" x14ac:dyDescent="0.3">
      <c r="E28" s="3"/>
      <c r="F28" s="3"/>
      <c r="G28" s="3"/>
      <c r="H28" s="3"/>
      <c r="I28" s="3"/>
    </row>
    <row r="29" spans="2:9" s="2" customFormat="1" ht="15.6" x14ac:dyDescent="0.3">
      <c r="E29" s="11"/>
      <c r="F29" s="3"/>
      <c r="G29" s="3"/>
      <c r="H29" s="3"/>
      <c r="I29"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12"/>
  <sheetViews>
    <sheetView showGridLines="0" tabSelected="1" zoomScale="60" zoomScaleNormal="60" workbookViewId="0">
      <selection activeCell="F6" sqref="F6"/>
    </sheetView>
  </sheetViews>
  <sheetFormatPr defaultColWidth="8.88671875" defaultRowHeight="38.25" customHeight="1" x14ac:dyDescent="0.3"/>
  <cols>
    <col min="1" max="1" width="16.109375" style="30" bestFit="1" customWidth="1"/>
    <col min="2" max="2" width="12.5546875" style="30" bestFit="1" customWidth="1"/>
    <col min="3" max="3" width="12.44140625" style="31" hidden="1" customWidth="1"/>
    <col min="4" max="4" width="9.21875" style="31" customWidth="1"/>
    <col min="5" max="5" width="5.88671875" style="32" customWidth="1"/>
    <col min="6" max="6" width="23.5546875" style="51" bestFit="1" customWidth="1"/>
    <col min="7" max="7" width="26" style="51" bestFit="1" customWidth="1"/>
    <col min="8" max="8" width="14.109375" style="33" hidden="1" customWidth="1"/>
    <col min="9" max="9" width="13.109375" style="33" hidden="1" customWidth="1"/>
    <col min="10" max="10" width="6.109375" style="33" hidden="1" customWidth="1"/>
    <col min="11" max="11" width="9.5546875" style="32" customWidth="1"/>
    <col min="12" max="12" width="8.6640625" style="48" bestFit="1" customWidth="1"/>
    <col min="13" max="13" width="12.109375" style="84" bestFit="1" customWidth="1"/>
    <col min="14" max="14" width="8.6640625" style="48" hidden="1" customWidth="1"/>
    <col min="15" max="15" width="24.44140625" style="50" bestFit="1" customWidth="1"/>
    <col min="16" max="16" width="12.44140625" style="34" customWidth="1"/>
    <col min="17" max="17" width="9.88671875" style="32" hidden="1" customWidth="1"/>
    <col min="18" max="18" width="10.6640625" style="32" hidden="1" customWidth="1"/>
    <col min="19" max="19" width="14.21875" style="33" customWidth="1"/>
    <col min="20" max="20" width="13.44140625" style="33" customWidth="1"/>
    <col min="21" max="21" width="15" style="33" bestFit="1" customWidth="1"/>
    <col min="22" max="22" width="63.21875" style="70" customWidth="1"/>
    <col min="23" max="24" width="17.77734375" style="25" bestFit="1" customWidth="1"/>
    <col min="25" max="25" width="17.6640625" style="25" customWidth="1"/>
    <col min="26" max="16384" width="8.88671875" style="25"/>
  </cols>
  <sheetData>
    <row r="1" spans="1:22" ht="17.399999999999999" customHeight="1" x14ac:dyDescent="0.3">
      <c r="H1" s="96" t="s">
        <v>108</v>
      </c>
      <c r="I1" s="96"/>
      <c r="J1" s="96"/>
      <c r="K1" s="96"/>
      <c r="L1" s="96"/>
      <c r="M1" s="96"/>
      <c r="N1" s="96"/>
      <c r="O1" s="96"/>
      <c r="P1" s="96"/>
      <c r="Q1" s="97" t="s">
        <v>114</v>
      </c>
      <c r="R1" s="97"/>
      <c r="S1" s="97"/>
      <c r="T1" s="97"/>
      <c r="U1" s="97"/>
    </row>
    <row r="2" spans="1:22" s="41" customFormat="1" ht="35.25" customHeight="1" x14ac:dyDescent="0.35">
      <c r="A2" s="38" t="s">
        <v>43</v>
      </c>
      <c r="B2" s="39" t="s">
        <v>45</v>
      </c>
      <c r="C2" s="40" t="s">
        <v>48</v>
      </c>
      <c r="D2" s="40" t="s">
        <v>95</v>
      </c>
      <c r="E2" s="39" t="s">
        <v>90</v>
      </c>
      <c r="F2" s="39" t="s">
        <v>89</v>
      </c>
      <c r="G2" s="39" t="s">
        <v>30</v>
      </c>
      <c r="H2" s="54" t="s">
        <v>91</v>
      </c>
      <c r="I2" s="54" t="s">
        <v>31</v>
      </c>
      <c r="J2" s="54" t="s">
        <v>39</v>
      </c>
      <c r="K2" s="54" t="s">
        <v>40</v>
      </c>
      <c r="L2" s="55" t="s">
        <v>109</v>
      </c>
      <c r="M2" s="82" t="s">
        <v>187</v>
      </c>
      <c r="N2" s="55" t="s">
        <v>116</v>
      </c>
      <c r="O2" s="55" t="s">
        <v>115</v>
      </c>
      <c r="P2" s="56" t="s">
        <v>107</v>
      </c>
      <c r="Q2" s="63" t="s">
        <v>41</v>
      </c>
      <c r="R2" s="63" t="s">
        <v>42</v>
      </c>
      <c r="S2" s="85" t="s">
        <v>77</v>
      </c>
      <c r="T2" s="85" t="s">
        <v>38</v>
      </c>
      <c r="U2" s="64" t="s">
        <v>151</v>
      </c>
      <c r="V2" s="72" t="s">
        <v>1</v>
      </c>
    </row>
    <row r="3" spans="1:22" s="46" customFormat="1" ht="18.75" customHeight="1" thickBot="1" x14ac:dyDescent="0.35">
      <c r="A3" s="42" t="s">
        <v>44</v>
      </c>
      <c r="B3" s="43" t="s">
        <v>46</v>
      </c>
      <c r="C3" s="44" t="s">
        <v>49</v>
      </c>
      <c r="D3" s="44" t="s">
        <v>49</v>
      </c>
      <c r="E3" s="45"/>
      <c r="F3" s="43"/>
      <c r="G3" s="43"/>
      <c r="H3" s="57" t="s">
        <v>47</v>
      </c>
      <c r="I3" s="57" t="s">
        <v>32</v>
      </c>
      <c r="J3" s="57" t="s">
        <v>33</v>
      </c>
      <c r="K3" s="57" t="s">
        <v>34</v>
      </c>
      <c r="L3" s="58"/>
      <c r="M3" s="83"/>
      <c r="N3" s="58" t="s">
        <v>106</v>
      </c>
      <c r="O3" s="58"/>
      <c r="P3" s="59" t="s">
        <v>81</v>
      </c>
      <c r="Q3" s="60" t="s">
        <v>35</v>
      </c>
      <c r="R3" s="60" t="s">
        <v>35</v>
      </c>
      <c r="S3" s="86" t="s">
        <v>36</v>
      </c>
      <c r="T3" s="86" t="s">
        <v>37</v>
      </c>
      <c r="U3" s="61" t="s">
        <v>36</v>
      </c>
      <c r="V3" s="73"/>
    </row>
    <row r="4" spans="1:22" ht="38.25" customHeight="1" x14ac:dyDescent="0.3">
      <c r="A4" s="18"/>
      <c r="B4" s="35"/>
      <c r="C4" s="19"/>
      <c r="D4" s="19" t="s">
        <v>2</v>
      </c>
      <c r="E4" s="29" t="s">
        <v>2</v>
      </c>
      <c r="F4" s="52" t="s">
        <v>99</v>
      </c>
      <c r="G4" s="52" t="s">
        <v>2</v>
      </c>
      <c r="H4" s="26"/>
      <c r="I4" s="21"/>
      <c r="J4" s="21"/>
      <c r="K4" s="22">
        <v>3100</v>
      </c>
      <c r="L4" s="47" t="s">
        <v>2</v>
      </c>
      <c r="M4" s="36" t="s">
        <v>2</v>
      </c>
      <c r="N4" s="47"/>
      <c r="O4" s="49" t="s">
        <v>2</v>
      </c>
      <c r="P4" s="23">
        <v>0</v>
      </c>
      <c r="Q4" s="24" t="s">
        <v>2</v>
      </c>
      <c r="R4" s="24" t="s">
        <v>2</v>
      </c>
      <c r="S4" s="21"/>
      <c r="T4" s="21"/>
      <c r="U4" s="36"/>
      <c r="V4" s="74" t="s">
        <v>203</v>
      </c>
    </row>
    <row r="5" spans="1:22" ht="38.25" customHeight="1" x14ac:dyDescent="0.3">
      <c r="A5" s="18">
        <v>44012</v>
      </c>
      <c r="B5" s="88">
        <v>0.72136574074074078</v>
      </c>
      <c r="C5" s="19"/>
      <c r="D5" s="19">
        <v>120</v>
      </c>
      <c r="E5" s="20">
        <v>1</v>
      </c>
      <c r="F5" s="53" t="s">
        <v>215</v>
      </c>
      <c r="G5" s="53" t="s">
        <v>2</v>
      </c>
      <c r="H5" s="26"/>
      <c r="I5" s="26"/>
      <c r="J5" s="26"/>
      <c r="K5" s="27">
        <v>3100</v>
      </c>
      <c r="L5" s="47" t="s">
        <v>2</v>
      </c>
      <c r="M5" s="36" t="s">
        <v>2</v>
      </c>
      <c r="N5" s="47"/>
      <c r="O5" s="49" t="s">
        <v>2</v>
      </c>
      <c r="P5" s="23">
        <v>0</v>
      </c>
      <c r="Q5" s="24"/>
      <c r="R5" s="24"/>
      <c r="S5" s="21">
        <v>5.4</v>
      </c>
      <c r="T5" s="36">
        <v>5.5</v>
      </c>
      <c r="U5" s="36">
        <v>6.86</v>
      </c>
      <c r="V5" s="74" t="s">
        <v>200</v>
      </c>
    </row>
    <row r="6" spans="1:22" ht="38.25" customHeight="1" x14ac:dyDescent="0.3">
      <c r="A6" s="18">
        <v>44012</v>
      </c>
      <c r="B6" s="88">
        <v>0.72295138888888888</v>
      </c>
      <c r="C6" s="19"/>
      <c r="D6" s="19">
        <v>30</v>
      </c>
      <c r="E6" s="20">
        <v>1</v>
      </c>
      <c r="F6" s="53" t="s">
        <v>50</v>
      </c>
      <c r="G6" s="53" t="s">
        <v>4</v>
      </c>
      <c r="H6" s="26"/>
      <c r="I6" s="26"/>
      <c r="J6" s="26"/>
      <c r="K6" s="22">
        <v>2800</v>
      </c>
      <c r="L6" s="47" t="s">
        <v>2</v>
      </c>
      <c r="M6" s="36" t="s">
        <v>2</v>
      </c>
      <c r="N6" s="47"/>
      <c r="O6" s="49" t="s">
        <v>2</v>
      </c>
      <c r="P6" s="23">
        <v>0</v>
      </c>
      <c r="Q6" s="24"/>
      <c r="R6" s="24"/>
      <c r="S6" s="21"/>
      <c r="T6" s="36"/>
      <c r="U6" s="36"/>
      <c r="V6" s="71"/>
    </row>
    <row r="7" spans="1:22" ht="38.25" customHeight="1" x14ac:dyDescent="0.3">
      <c r="A7" s="18">
        <v>44012</v>
      </c>
      <c r="B7" s="88">
        <v>0.72346064814814814</v>
      </c>
      <c r="C7" s="19"/>
      <c r="D7" s="19">
        <v>120</v>
      </c>
      <c r="E7" s="20">
        <v>1</v>
      </c>
      <c r="F7" s="53" t="s">
        <v>3</v>
      </c>
      <c r="G7" s="53" t="s">
        <v>2</v>
      </c>
      <c r="H7" s="26"/>
      <c r="I7" s="26"/>
      <c r="J7" s="26"/>
      <c r="K7" s="27">
        <v>2800</v>
      </c>
      <c r="L7" s="47" t="s">
        <v>2</v>
      </c>
      <c r="M7" s="36" t="s">
        <v>2</v>
      </c>
      <c r="N7" s="47"/>
      <c r="O7" s="49" t="s">
        <v>2</v>
      </c>
      <c r="P7" s="23">
        <v>0</v>
      </c>
      <c r="Q7" s="24"/>
      <c r="R7" s="24"/>
      <c r="S7" s="21">
        <v>4.5</v>
      </c>
      <c r="T7" s="36">
        <v>4.0999999999999996</v>
      </c>
      <c r="U7" s="36">
        <v>6.23</v>
      </c>
      <c r="V7" s="71"/>
    </row>
    <row r="8" spans="1:22" ht="38.25" customHeight="1" x14ac:dyDescent="0.3">
      <c r="A8" s="18">
        <v>44012</v>
      </c>
      <c r="B8" s="88">
        <v>0.72502314814814817</v>
      </c>
      <c r="C8" s="19"/>
      <c r="D8" s="19">
        <v>30</v>
      </c>
      <c r="E8" s="20">
        <v>1</v>
      </c>
      <c r="F8" s="53" t="s">
        <v>50</v>
      </c>
      <c r="G8" s="53" t="s">
        <v>4</v>
      </c>
      <c r="H8" s="26"/>
      <c r="I8" s="26"/>
      <c r="J8" s="26"/>
      <c r="K8" s="22">
        <v>2500</v>
      </c>
      <c r="L8" s="47" t="s">
        <v>2</v>
      </c>
      <c r="M8" s="36" t="s">
        <v>2</v>
      </c>
      <c r="N8" s="47"/>
      <c r="O8" s="49" t="s">
        <v>2</v>
      </c>
      <c r="P8" s="23">
        <v>0</v>
      </c>
      <c r="Q8" s="24"/>
      <c r="R8" s="24"/>
      <c r="S8" s="21"/>
      <c r="T8" s="36"/>
      <c r="U8" s="36"/>
      <c r="V8" s="71"/>
    </row>
    <row r="9" spans="1:22" ht="38.25" customHeight="1" x14ac:dyDescent="0.3">
      <c r="A9" s="18">
        <v>44012</v>
      </c>
      <c r="B9" s="89">
        <v>0.72554398148148147</v>
      </c>
      <c r="C9" s="19"/>
      <c r="D9" s="19">
        <v>120</v>
      </c>
      <c r="E9" s="20">
        <v>1</v>
      </c>
      <c r="F9" s="53" t="s">
        <v>215</v>
      </c>
      <c r="G9" s="53" t="s">
        <v>2</v>
      </c>
      <c r="H9" s="26"/>
      <c r="I9" s="26"/>
      <c r="J9" s="26"/>
      <c r="K9" s="27">
        <v>2500</v>
      </c>
      <c r="L9" s="47" t="s">
        <v>2</v>
      </c>
      <c r="M9" s="36" t="s">
        <v>2</v>
      </c>
      <c r="N9" s="47"/>
      <c r="O9" s="49" t="s">
        <v>2</v>
      </c>
      <c r="P9" s="23">
        <v>0</v>
      </c>
      <c r="Q9" s="24"/>
      <c r="R9" s="24"/>
      <c r="S9" s="21">
        <v>3.9</v>
      </c>
      <c r="T9" s="36">
        <v>2.9</v>
      </c>
      <c r="U9" s="36">
        <v>5.51</v>
      </c>
      <c r="V9" s="71"/>
    </row>
    <row r="10" spans="1:22" ht="38.25" customHeight="1" x14ac:dyDescent="0.3">
      <c r="A10" s="18">
        <v>44012</v>
      </c>
      <c r="B10" s="88">
        <v>0.72726851851851848</v>
      </c>
      <c r="C10" s="19"/>
      <c r="D10" s="19">
        <v>30</v>
      </c>
      <c r="E10" s="20">
        <v>1</v>
      </c>
      <c r="F10" s="53" t="s">
        <v>50</v>
      </c>
      <c r="G10" s="53" t="s">
        <v>4</v>
      </c>
      <c r="H10" s="26"/>
      <c r="I10" s="26"/>
      <c r="J10" s="26"/>
      <c r="K10" s="22">
        <v>2200</v>
      </c>
      <c r="L10" s="47" t="s">
        <v>2</v>
      </c>
      <c r="M10" s="36" t="s">
        <v>2</v>
      </c>
      <c r="N10" s="47"/>
      <c r="O10" s="49" t="s">
        <v>2</v>
      </c>
      <c r="P10" s="23">
        <v>0</v>
      </c>
      <c r="Q10" s="24"/>
      <c r="R10" s="24"/>
      <c r="S10" s="21"/>
      <c r="T10" s="36"/>
      <c r="U10" s="36"/>
      <c r="V10" s="71"/>
    </row>
    <row r="11" spans="1:22" ht="38.25" customHeight="1" x14ac:dyDescent="0.3">
      <c r="A11" s="18">
        <v>44012</v>
      </c>
      <c r="B11" s="88">
        <v>0.72766203703703702</v>
      </c>
      <c r="C11" s="19"/>
      <c r="D11" s="19">
        <v>120</v>
      </c>
      <c r="E11" s="20">
        <v>1</v>
      </c>
      <c r="F11" s="53" t="s">
        <v>215</v>
      </c>
      <c r="G11" s="53" t="s">
        <v>2</v>
      </c>
      <c r="H11" s="26"/>
      <c r="I11" s="26"/>
      <c r="J11" s="26"/>
      <c r="K11" s="27">
        <v>2200</v>
      </c>
      <c r="L11" s="47" t="s">
        <v>2</v>
      </c>
      <c r="M11" s="36" t="s">
        <v>2</v>
      </c>
      <c r="N11" s="47"/>
      <c r="O11" s="49" t="s">
        <v>2</v>
      </c>
      <c r="P11" s="23">
        <v>0</v>
      </c>
      <c r="Q11" s="24"/>
      <c r="R11" s="24"/>
      <c r="S11" s="21">
        <v>3.3</v>
      </c>
      <c r="T11" s="36">
        <v>2.1</v>
      </c>
      <c r="U11" s="36">
        <v>4.78</v>
      </c>
      <c r="V11" s="71"/>
    </row>
    <row r="12" spans="1:22" ht="38.25" customHeight="1" x14ac:dyDescent="0.3">
      <c r="A12" s="18">
        <v>44012</v>
      </c>
      <c r="B12" s="90">
        <v>0.73030092592592588</v>
      </c>
      <c r="C12" s="62"/>
      <c r="D12" s="62" t="s">
        <v>2</v>
      </c>
      <c r="E12" s="29" t="s">
        <v>2</v>
      </c>
      <c r="F12" s="53" t="s">
        <v>100</v>
      </c>
      <c r="G12" s="53" t="s">
        <v>2</v>
      </c>
      <c r="H12" s="26"/>
      <c r="I12" s="26"/>
      <c r="J12" s="26"/>
      <c r="K12" s="27"/>
      <c r="L12" s="47" t="s">
        <v>2</v>
      </c>
      <c r="M12" s="36" t="s">
        <v>2</v>
      </c>
      <c r="N12" s="47"/>
      <c r="O12" s="49" t="s">
        <v>2</v>
      </c>
      <c r="P12" s="28">
        <v>0</v>
      </c>
      <c r="Q12" s="24"/>
      <c r="R12" s="24"/>
      <c r="S12" s="21"/>
      <c r="T12" s="21"/>
      <c r="U12" s="36"/>
      <c r="V12" s="74" t="s">
        <v>206</v>
      </c>
    </row>
  </sheetData>
  <protectedRanges>
    <protectedRange algorithmName="SHA-512" hashValue="4NhdbTyulRXZkBEq7Mn6+VKgOZdKtlfacISEdowO5xIUCa7OlX5LdkGNxnngfJg/0C5iD9A0fDWAkH//tV2WEg==" saltValue="4IZ1hkVaCZH46leZVUmsLQ==" spinCount="100000" sqref="A2:G3" name="Range1"/>
  </protectedRanges>
  <mergeCells count="2">
    <mergeCell ref="H1:P1"/>
    <mergeCell ref="Q1:U1"/>
  </mergeCells>
  <dataValidations count="1">
    <dataValidation showInputMessage="1" showErrorMessage="1" sqref="A4:A12"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L13:O1048576 O4:O1048576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I30"/>
  <sheetViews>
    <sheetView showGridLines="0" topLeftCell="A15" workbookViewId="0">
      <selection activeCell="E17" sqref="E17"/>
    </sheetView>
  </sheetViews>
  <sheetFormatPr defaultColWidth="36.33203125" defaultRowHeight="14.4" x14ac:dyDescent="0.3"/>
  <cols>
    <col min="1" max="1" width="3.109375" customWidth="1"/>
    <col min="2" max="2" width="35.6640625" customWidth="1"/>
    <col min="3" max="3" width="5.33203125" style="69" bestFit="1" customWidth="1"/>
    <col min="4" max="4" width="13.33203125" style="69" customWidth="1"/>
    <col min="5" max="5" width="26.5546875" style="78" customWidth="1"/>
    <col min="6" max="6" width="27.21875" customWidth="1"/>
    <col min="7" max="7" width="27.33203125" bestFit="1" customWidth="1"/>
    <col min="8" max="8" width="27.33203125" customWidth="1"/>
    <col min="9" max="9" width="47.44140625" customWidth="1"/>
  </cols>
  <sheetData>
    <row r="2" spans="1:9" x14ac:dyDescent="0.3">
      <c r="B2" s="95" t="s">
        <v>130</v>
      </c>
      <c r="C2" s="95"/>
      <c r="D2" s="95"/>
      <c r="E2" s="95"/>
      <c r="F2" s="95"/>
      <c r="G2" s="95"/>
      <c r="H2" s="95"/>
      <c r="I2" s="95"/>
    </row>
    <row r="3" spans="1:9" ht="28.2" customHeight="1" x14ac:dyDescent="0.3">
      <c r="B3" s="66" t="s">
        <v>59</v>
      </c>
      <c r="C3" s="66" t="s">
        <v>207</v>
      </c>
      <c r="D3" s="66" t="s">
        <v>208</v>
      </c>
      <c r="E3" s="67" t="s">
        <v>155</v>
      </c>
      <c r="F3" s="66" t="s">
        <v>62</v>
      </c>
      <c r="G3" s="67" t="s">
        <v>60</v>
      </c>
      <c r="H3" s="67" t="s">
        <v>127</v>
      </c>
      <c r="I3" s="66" t="s">
        <v>125</v>
      </c>
    </row>
    <row r="4" spans="1:9" s="81" customFormat="1" ht="31.2" x14ac:dyDescent="0.3">
      <c r="B4" s="79" t="s">
        <v>169</v>
      </c>
      <c r="C4" s="80">
        <v>1</v>
      </c>
      <c r="D4" s="80"/>
      <c r="E4" s="79" t="s">
        <v>171</v>
      </c>
      <c r="F4" s="79" t="s">
        <v>170</v>
      </c>
      <c r="G4" s="79" t="s">
        <v>142</v>
      </c>
      <c r="H4" s="79" t="s">
        <v>2</v>
      </c>
      <c r="I4" s="79" t="s">
        <v>2</v>
      </c>
    </row>
    <row r="5" spans="1:9" s="81" customFormat="1" ht="15.6" x14ac:dyDescent="0.3">
      <c r="B5" s="79" t="s">
        <v>176</v>
      </c>
      <c r="C5" s="80">
        <v>1</v>
      </c>
      <c r="D5" s="80"/>
      <c r="E5" s="79" t="s">
        <v>175</v>
      </c>
      <c r="F5" s="79" t="s">
        <v>170</v>
      </c>
      <c r="G5" s="79" t="s">
        <v>142</v>
      </c>
      <c r="H5" s="79" t="s">
        <v>2</v>
      </c>
      <c r="I5" s="79" t="s">
        <v>2</v>
      </c>
    </row>
    <row r="6" spans="1:9" s="81" customFormat="1" ht="46.8" x14ac:dyDescent="0.3">
      <c r="B6" s="79" t="s">
        <v>166</v>
      </c>
      <c r="C6" s="80">
        <v>1</v>
      </c>
      <c r="D6" s="80"/>
      <c r="E6" s="79" t="s">
        <v>158</v>
      </c>
      <c r="F6" s="79" t="s">
        <v>159</v>
      </c>
      <c r="G6" s="79" t="s">
        <v>142</v>
      </c>
      <c r="H6" s="79" t="s">
        <v>2</v>
      </c>
      <c r="I6" s="79" t="s">
        <v>2</v>
      </c>
    </row>
    <row r="7" spans="1:9" s="81" customFormat="1" ht="46.8" x14ac:dyDescent="0.3">
      <c r="B7" s="79" t="s">
        <v>165</v>
      </c>
      <c r="C7" s="80">
        <v>1</v>
      </c>
      <c r="D7" s="80"/>
      <c r="E7" s="79" t="s">
        <v>158</v>
      </c>
      <c r="F7" s="79" t="s">
        <v>159</v>
      </c>
      <c r="G7" s="79" t="s">
        <v>142</v>
      </c>
      <c r="H7" s="79" t="s">
        <v>2</v>
      </c>
      <c r="I7" s="79" t="s">
        <v>2</v>
      </c>
    </row>
    <row r="8" spans="1:9" s="81" customFormat="1" ht="46.8" x14ac:dyDescent="0.3">
      <c r="B8" s="79" t="s">
        <v>167</v>
      </c>
      <c r="C8" s="80">
        <v>1</v>
      </c>
      <c r="D8" s="80"/>
      <c r="E8" s="79" t="s">
        <v>168</v>
      </c>
      <c r="F8" s="79" t="s">
        <v>159</v>
      </c>
      <c r="G8" s="79" t="s">
        <v>142</v>
      </c>
      <c r="H8" s="79"/>
      <c r="I8" s="79"/>
    </row>
    <row r="9" spans="1:9" s="77" customFormat="1" ht="46.8" x14ac:dyDescent="0.3">
      <c r="B9" s="75" t="s">
        <v>173</v>
      </c>
      <c r="C9" s="76">
        <v>1</v>
      </c>
      <c r="D9" s="76"/>
      <c r="E9" s="75" t="s">
        <v>182</v>
      </c>
      <c r="F9" s="75" t="s">
        <v>181</v>
      </c>
      <c r="G9" s="75" t="s">
        <v>142</v>
      </c>
      <c r="H9" s="75" t="s">
        <v>2</v>
      </c>
      <c r="I9" s="75" t="s">
        <v>2</v>
      </c>
    </row>
    <row r="10" spans="1:9" s="77" customFormat="1" ht="31.2" x14ac:dyDescent="0.3">
      <c r="B10" s="75" t="s">
        <v>162</v>
      </c>
      <c r="C10" s="76">
        <v>1</v>
      </c>
      <c r="D10" s="76"/>
      <c r="E10" s="75" t="s">
        <v>157</v>
      </c>
      <c r="F10" s="75" t="s">
        <v>141</v>
      </c>
      <c r="G10" s="75" t="s">
        <v>142</v>
      </c>
      <c r="H10" s="75" t="s">
        <v>2</v>
      </c>
      <c r="I10" s="75" t="s">
        <v>2</v>
      </c>
    </row>
    <row r="11" spans="1:9" s="77" customFormat="1" ht="31.2" x14ac:dyDescent="0.3">
      <c r="B11" s="75" t="s">
        <v>174</v>
      </c>
      <c r="C11" s="76">
        <v>1</v>
      </c>
      <c r="D11" s="76"/>
      <c r="E11" s="75" t="s">
        <v>186</v>
      </c>
      <c r="F11" s="75" t="s">
        <v>159</v>
      </c>
      <c r="G11" s="75" t="s">
        <v>142</v>
      </c>
      <c r="H11" s="75" t="s">
        <v>2</v>
      </c>
      <c r="I11" s="75" t="s">
        <v>2</v>
      </c>
    </row>
    <row r="12" spans="1:9" s="77" customFormat="1" ht="31.2" x14ac:dyDescent="0.3">
      <c r="B12" s="75" t="s">
        <v>180</v>
      </c>
      <c r="C12" s="76">
        <v>1</v>
      </c>
      <c r="D12" s="76"/>
      <c r="E12" s="75" t="s">
        <v>185</v>
      </c>
      <c r="F12" s="75" t="s">
        <v>159</v>
      </c>
      <c r="G12" s="75" t="s">
        <v>142</v>
      </c>
      <c r="H12" s="75" t="s">
        <v>2</v>
      </c>
      <c r="I12" s="75" t="s">
        <v>2</v>
      </c>
    </row>
    <row r="13" spans="1:9" s="77" customFormat="1" ht="31.2" x14ac:dyDescent="0.3">
      <c r="B13" s="75" t="s">
        <v>172</v>
      </c>
      <c r="C13" s="76">
        <v>1</v>
      </c>
      <c r="D13" s="76"/>
      <c r="E13" s="75" t="s">
        <v>160</v>
      </c>
      <c r="F13" s="75" t="s">
        <v>112</v>
      </c>
      <c r="G13" s="75" t="s">
        <v>142</v>
      </c>
      <c r="H13" s="75" t="s">
        <v>2</v>
      </c>
      <c r="I13" s="75" t="s">
        <v>2</v>
      </c>
    </row>
    <row r="14" spans="1:9" s="77" customFormat="1" ht="31.2" x14ac:dyDescent="0.3">
      <c r="B14" s="75" t="s">
        <v>94</v>
      </c>
      <c r="C14" s="76">
        <v>2</v>
      </c>
      <c r="D14" s="76"/>
      <c r="E14" s="75" t="s">
        <v>67</v>
      </c>
      <c r="F14" s="75" t="s">
        <v>124</v>
      </c>
      <c r="G14" s="75" t="s">
        <v>65</v>
      </c>
      <c r="H14" s="75" t="s">
        <v>145</v>
      </c>
      <c r="I14" s="75" t="s">
        <v>146</v>
      </c>
    </row>
    <row r="15" spans="1:9" s="77" customFormat="1" ht="31.2" x14ac:dyDescent="0.3">
      <c r="B15" s="75" t="s">
        <v>94</v>
      </c>
      <c r="C15" s="76">
        <v>3</v>
      </c>
      <c r="D15" s="76"/>
      <c r="E15" s="75" t="s">
        <v>67</v>
      </c>
      <c r="F15" s="75" t="s">
        <v>124</v>
      </c>
      <c r="G15" s="75" t="s">
        <v>64</v>
      </c>
      <c r="H15" s="75" t="s">
        <v>147</v>
      </c>
      <c r="I15" s="75" t="s">
        <v>134</v>
      </c>
    </row>
    <row r="16" spans="1:9" ht="31.2" x14ac:dyDescent="0.3">
      <c r="A16" s="87"/>
      <c r="B16" s="87" t="s">
        <v>204</v>
      </c>
      <c r="C16" s="94">
        <v>3</v>
      </c>
      <c r="D16" s="94"/>
      <c r="E16" s="93" t="s">
        <v>213</v>
      </c>
      <c r="F16" s="87" t="s">
        <v>63</v>
      </c>
      <c r="G16" s="87" t="s">
        <v>65</v>
      </c>
      <c r="H16" s="93" t="s">
        <v>211</v>
      </c>
      <c r="I16" s="87" t="s">
        <v>212</v>
      </c>
    </row>
    <row r="17" spans="1:9" ht="31.2" x14ac:dyDescent="0.3">
      <c r="A17" s="87"/>
      <c r="B17" s="87" t="s">
        <v>204</v>
      </c>
      <c r="C17" s="94">
        <v>2</v>
      </c>
      <c r="D17" s="94"/>
      <c r="E17" s="93" t="s">
        <v>213</v>
      </c>
      <c r="F17" s="87" t="s">
        <v>63</v>
      </c>
      <c r="G17" s="87" t="s">
        <v>205</v>
      </c>
      <c r="H17" s="93" t="s">
        <v>211</v>
      </c>
      <c r="I17" s="87" t="s">
        <v>212</v>
      </c>
    </row>
    <row r="18" spans="1:9" s="91" customFormat="1" ht="31.2" x14ac:dyDescent="0.3">
      <c r="B18" s="87" t="s">
        <v>128</v>
      </c>
      <c r="C18" s="92">
        <v>1</v>
      </c>
      <c r="D18" s="92" t="s">
        <v>209</v>
      </c>
      <c r="E18" s="87" t="s">
        <v>214</v>
      </c>
      <c r="F18" s="87" t="s">
        <v>63</v>
      </c>
      <c r="G18" s="87" t="s">
        <v>2</v>
      </c>
      <c r="H18" s="93" t="s">
        <v>211</v>
      </c>
      <c r="I18" s="87"/>
    </row>
    <row r="19" spans="1:9" s="91" customFormat="1" ht="31.2" x14ac:dyDescent="0.3">
      <c r="B19" s="87" t="s">
        <v>128</v>
      </c>
      <c r="C19" s="92">
        <v>2</v>
      </c>
      <c r="D19" s="92" t="s">
        <v>210</v>
      </c>
      <c r="E19" s="87" t="s">
        <v>214</v>
      </c>
      <c r="F19" s="87" t="s">
        <v>63</v>
      </c>
      <c r="G19" s="87" t="s">
        <v>2</v>
      </c>
      <c r="H19" s="93" t="s">
        <v>211</v>
      </c>
      <c r="I19" s="87"/>
    </row>
    <row r="20" spans="1:9" s="77" customFormat="1" ht="31.2" x14ac:dyDescent="0.3">
      <c r="B20" s="75" t="s">
        <v>128</v>
      </c>
      <c r="C20" s="76">
        <v>1</v>
      </c>
      <c r="D20" s="76"/>
      <c r="E20" s="75" t="s">
        <v>2</v>
      </c>
      <c r="F20" s="75" t="s">
        <v>63</v>
      </c>
      <c r="G20" s="75" t="s">
        <v>2</v>
      </c>
      <c r="H20" s="75" t="s">
        <v>129</v>
      </c>
      <c r="I20" s="75"/>
    </row>
    <row r="21" spans="1:9" ht="15.6" x14ac:dyDescent="0.3">
      <c r="B21" s="4" t="s">
        <v>164</v>
      </c>
      <c r="C21" s="68">
        <v>1</v>
      </c>
      <c r="D21" s="68"/>
      <c r="E21" s="4" t="s">
        <v>163</v>
      </c>
      <c r="F21" s="4" t="s">
        <v>126</v>
      </c>
      <c r="G21" s="4" t="s">
        <v>69</v>
      </c>
      <c r="H21" s="4" t="s">
        <v>139</v>
      </c>
      <c r="I21" s="4" t="s">
        <v>131</v>
      </c>
    </row>
    <row r="22" spans="1:9" s="77" customFormat="1" ht="15.6" x14ac:dyDescent="0.3">
      <c r="A22"/>
      <c r="B22" s="4" t="s">
        <v>164</v>
      </c>
      <c r="C22" s="68">
        <v>2</v>
      </c>
      <c r="D22" s="68"/>
      <c r="E22" s="4" t="s">
        <v>163</v>
      </c>
      <c r="F22" s="4" t="s">
        <v>126</v>
      </c>
      <c r="G22" s="4" t="s">
        <v>68</v>
      </c>
      <c r="H22" s="4" t="s">
        <v>139</v>
      </c>
      <c r="I22" s="75" t="s">
        <v>132</v>
      </c>
    </row>
    <row r="23" spans="1:9" ht="31.2" x14ac:dyDescent="0.3">
      <c r="A23" s="77"/>
      <c r="B23" s="75" t="s">
        <v>66</v>
      </c>
      <c r="C23" s="76">
        <v>1</v>
      </c>
      <c r="D23" s="76"/>
      <c r="E23" s="75" t="s">
        <v>148</v>
      </c>
      <c r="F23" s="75" t="s">
        <v>149</v>
      </c>
      <c r="G23" s="75" t="s">
        <v>150</v>
      </c>
      <c r="H23" s="75" t="s">
        <v>133</v>
      </c>
      <c r="I23" s="4" t="s">
        <v>132</v>
      </c>
    </row>
    <row r="24" spans="1:9" ht="31.2" x14ac:dyDescent="0.3">
      <c r="B24" s="4" t="s">
        <v>66</v>
      </c>
      <c r="C24" s="68">
        <v>1</v>
      </c>
      <c r="D24" s="68"/>
      <c r="E24" s="4" t="s">
        <v>184</v>
      </c>
      <c r="F24" s="4" t="s">
        <v>183</v>
      </c>
      <c r="G24" s="4" t="s">
        <v>135</v>
      </c>
      <c r="H24" s="4" t="s">
        <v>154</v>
      </c>
      <c r="I24" s="4" t="s">
        <v>132</v>
      </c>
    </row>
    <row r="25" spans="1:9" s="77" customFormat="1" ht="31.2" x14ac:dyDescent="0.3">
      <c r="A25"/>
      <c r="B25" s="4" t="s">
        <v>66</v>
      </c>
      <c r="C25" s="68">
        <v>2</v>
      </c>
      <c r="D25" s="68"/>
      <c r="E25" s="4" t="s">
        <v>184</v>
      </c>
      <c r="F25" s="4" t="s">
        <v>183</v>
      </c>
      <c r="G25" s="4" t="s">
        <v>136</v>
      </c>
      <c r="H25" s="4" t="s">
        <v>154</v>
      </c>
      <c r="I25" s="75" t="s">
        <v>132</v>
      </c>
    </row>
    <row r="26" spans="1:9" s="77" customFormat="1" ht="78" x14ac:dyDescent="0.3">
      <c r="B26" s="75" t="s">
        <v>66</v>
      </c>
      <c r="C26" s="76">
        <v>2</v>
      </c>
      <c r="D26" s="76"/>
      <c r="E26" s="75" t="s">
        <v>2</v>
      </c>
      <c r="F26" s="75" t="s">
        <v>138</v>
      </c>
      <c r="G26" s="75" t="s">
        <v>137</v>
      </c>
      <c r="H26" s="75" t="s">
        <v>154</v>
      </c>
      <c r="I26" s="75" t="s">
        <v>75</v>
      </c>
    </row>
    <row r="27" spans="1:9" s="77" customFormat="1" ht="15.6" x14ac:dyDescent="0.3">
      <c r="B27" s="75" t="s">
        <v>75</v>
      </c>
      <c r="C27" s="76">
        <v>1</v>
      </c>
      <c r="D27" s="76"/>
      <c r="E27" s="75" t="s">
        <v>67</v>
      </c>
      <c r="F27" s="75" t="s">
        <v>67</v>
      </c>
      <c r="G27" s="75" t="s">
        <v>70</v>
      </c>
      <c r="H27" s="75"/>
      <c r="I27" s="75" t="s">
        <v>132</v>
      </c>
    </row>
    <row r="28" spans="1:9" ht="31.2" x14ac:dyDescent="0.3">
      <c r="A28" s="77"/>
      <c r="B28" s="75" t="s">
        <v>93</v>
      </c>
      <c r="C28" s="76">
        <v>1</v>
      </c>
      <c r="D28" s="76"/>
      <c r="E28" s="75" t="s">
        <v>2</v>
      </c>
      <c r="F28" s="75" t="s">
        <v>113</v>
      </c>
      <c r="G28" s="75" t="s">
        <v>2</v>
      </c>
      <c r="H28" s="75" t="s">
        <v>67</v>
      </c>
      <c r="I28" s="4" t="s">
        <v>2</v>
      </c>
    </row>
    <row r="29" spans="1:9" ht="15.6" x14ac:dyDescent="0.3">
      <c r="B29" s="4" t="s">
        <v>65</v>
      </c>
      <c r="C29" s="68">
        <v>3</v>
      </c>
      <c r="D29" s="68"/>
      <c r="E29" s="4" t="s">
        <v>111</v>
      </c>
      <c r="F29" s="4" t="s">
        <v>71</v>
      </c>
      <c r="G29" s="4" t="s">
        <v>2</v>
      </c>
      <c r="H29" s="4" t="s">
        <v>2</v>
      </c>
      <c r="I29" s="4" t="s">
        <v>70</v>
      </c>
    </row>
    <row r="30" spans="1:9" ht="15.6" x14ac:dyDescent="0.3">
      <c r="B30" s="4" t="s">
        <v>72</v>
      </c>
      <c r="C30" s="68">
        <v>1</v>
      </c>
      <c r="D30" s="68"/>
      <c r="E30" s="4" t="s">
        <v>111</v>
      </c>
      <c r="F30" s="4" t="s">
        <v>71</v>
      </c>
      <c r="G30" s="4" t="s">
        <v>2</v>
      </c>
      <c r="H30" s="4" t="s">
        <v>140</v>
      </c>
    </row>
  </sheetData>
  <sortState xmlns:xlrd2="http://schemas.microsoft.com/office/spreadsheetml/2017/richdata2" ref="B4:I13">
    <sortCondition ref="B4"/>
  </sortState>
  <mergeCells count="1">
    <mergeCell ref="B2:I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8"/>
  <sheetViews>
    <sheetView workbookViewId="0">
      <selection activeCell="D10" sqref="D10"/>
    </sheetView>
  </sheetViews>
  <sheetFormatPr defaultColWidth="9.109375" defaultRowHeight="14.4" x14ac:dyDescent="0.3"/>
  <cols>
    <col min="1" max="1" width="19.6640625" bestFit="1" customWidth="1"/>
    <col min="2" max="2" width="28.33203125" bestFit="1" customWidth="1"/>
    <col min="3" max="3" width="26.6640625" bestFit="1" customWidth="1"/>
    <col min="4" max="4" width="26.33203125" customWidth="1"/>
  </cols>
  <sheetData>
    <row r="1" spans="1:4" x14ac:dyDescent="0.3">
      <c r="A1" s="5" t="s">
        <v>121</v>
      </c>
      <c r="B1" s="5" t="s">
        <v>118</v>
      </c>
      <c r="C1" s="5" t="s">
        <v>119</v>
      </c>
      <c r="D1" s="5" t="s">
        <v>120</v>
      </c>
    </row>
    <row r="2" spans="1:4" x14ac:dyDescent="0.3">
      <c r="A2" t="s">
        <v>11</v>
      </c>
      <c r="B2" t="s">
        <v>2</v>
      </c>
      <c r="C2" t="s">
        <v>2</v>
      </c>
      <c r="D2" s="37" t="s">
        <v>2</v>
      </c>
    </row>
    <row r="3" spans="1:4" x14ac:dyDescent="0.3">
      <c r="A3" t="s">
        <v>55</v>
      </c>
      <c r="B3" t="s">
        <v>3</v>
      </c>
      <c r="C3" t="s">
        <v>190</v>
      </c>
      <c r="D3" t="s">
        <v>161</v>
      </c>
    </row>
    <row r="4" spans="1:4" x14ac:dyDescent="0.3">
      <c r="A4" t="s">
        <v>10</v>
      </c>
      <c r="B4" t="s">
        <v>14</v>
      </c>
      <c r="C4" t="s">
        <v>191</v>
      </c>
      <c r="D4" t="s">
        <v>156</v>
      </c>
    </row>
    <row r="5" spans="1:4" x14ac:dyDescent="0.3">
      <c r="A5" t="s">
        <v>56</v>
      </c>
      <c r="B5" t="s">
        <v>13</v>
      </c>
      <c r="C5" t="s">
        <v>193</v>
      </c>
      <c r="D5" t="s">
        <v>143</v>
      </c>
    </row>
    <row r="6" spans="1:4" x14ac:dyDescent="0.3">
      <c r="A6" t="s">
        <v>57</v>
      </c>
      <c r="B6" t="s">
        <v>105</v>
      </c>
      <c r="C6" t="s">
        <v>104</v>
      </c>
      <c r="D6" t="s">
        <v>198</v>
      </c>
    </row>
    <row r="7" spans="1:4" x14ac:dyDescent="0.3">
      <c r="A7" t="s">
        <v>53</v>
      </c>
      <c r="B7" t="s">
        <v>50</v>
      </c>
      <c r="C7" t="s">
        <v>194</v>
      </c>
      <c r="D7" t="s">
        <v>199</v>
      </c>
    </row>
    <row r="8" spans="1:4" x14ac:dyDescent="0.3">
      <c r="A8" t="s">
        <v>153</v>
      </c>
      <c r="B8" t="s">
        <v>97</v>
      </c>
      <c r="C8" t="s">
        <v>195</v>
      </c>
      <c r="D8" t="s">
        <v>178</v>
      </c>
    </row>
    <row r="9" spans="1:4" x14ac:dyDescent="0.3">
      <c r="A9" t="s">
        <v>5</v>
      </c>
      <c r="B9" t="s">
        <v>96</v>
      </c>
      <c r="C9" t="s">
        <v>152</v>
      </c>
      <c r="D9" t="s">
        <v>177</v>
      </c>
    </row>
    <row r="10" spans="1:4" x14ac:dyDescent="0.3">
      <c r="A10" t="s">
        <v>54</v>
      </c>
      <c r="B10" t="s">
        <v>0</v>
      </c>
      <c r="C10" t="s">
        <v>52</v>
      </c>
      <c r="D10" t="s">
        <v>201</v>
      </c>
    </row>
    <row r="11" spans="1:4" x14ac:dyDescent="0.3">
      <c r="B11" t="s">
        <v>92</v>
      </c>
      <c r="C11" t="s">
        <v>29</v>
      </c>
      <c r="D11" t="s">
        <v>179</v>
      </c>
    </row>
    <row r="12" spans="1:4" x14ac:dyDescent="0.3">
      <c r="B12" t="s">
        <v>7</v>
      </c>
      <c r="C12" t="s">
        <v>197</v>
      </c>
      <c r="D12" t="s">
        <v>144</v>
      </c>
    </row>
    <row r="13" spans="1:4" x14ac:dyDescent="0.3">
      <c r="B13" t="s">
        <v>100</v>
      </c>
      <c r="C13" t="s">
        <v>51</v>
      </c>
    </row>
    <row r="14" spans="1:4" x14ac:dyDescent="0.3">
      <c r="B14" t="s">
        <v>99</v>
      </c>
      <c r="C14" t="s">
        <v>26</v>
      </c>
    </row>
    <row r="15" spans="1:4" x14ac:dyDescent="0.3">
      <c r="B15" t="s">
        <v>98</v>
      </c>
      <c r="C15" t="s">
        <v>123</v>
      </c>
    </row>
    <row r="16" spans="1:4" x14ac:dyDescent="0.3">
      <c r="B16" t="s">
        <v>6</v>
      </c>
      <c r="C16" t="s">
        <v>122</v>
      </c>
    </row>
    <row r="17" spans="3:3" x14ac:dyDescent="0.3">
      <c r="C17" t="s">
        <v>102</v>
      </c>
    </row>
    <row r="18" spans="3:3" x14ac:dyDescent="0.3">
      <c r="C18" t="s">
        <v>103</v>
      </c>
    </row>
    <row r="19" spans="3:3" x14ac:dyDescent="0.3">
      <c r="C19" t="s">
        <v>188</v>
      </c>
    </row>
    <row r="20" spans="3:3" x14ac:dyDescent="0.3">
      <c r="C20" t="s">
        <v>189</v>
      </c>
    </row>
    <row r="21" spans="3:3" x14ac:dyDescent="0.3">
      <c r="C21" t="s">
        <v>192</v>
      </c>
    </row>
    <row r="22" spans="3:3" x14ac:dyDescent="0.3">
      <c r="C22" t="s">
        <v>4</v>
      </c>
    </row>
    <row r="23" spans="3:3" x14ac:dyDescent="0.3">
      <c r="C23" t="s">
        <v>28</v>
      </c>
    </row>
    <row r="24" spans="3:3" x14ac:dyDescent="0.3">
      <c r="C24" t="s">
        <v>27</v>
      </c>
    </row>
    <row r="25" spans="3:3" x14ac:dyDescent="0.3">
      <c r="C25" t="s">
        <v>15</v>
      </c>
    </row>
    <row r="26" spans="3:3" x14ac:dyDescent="0.3">
      <c r="C26" t="s">
        <v>16</v>
      </c>
    </row>
    <row r="27" spans="3:3" x14ac:dyDescent="0.3">
      <c r="C27" t="s">
        <v>101</v>
      </c>
    </row>
    <row r="28" spans="3:3" x14ac:dyDescent="0.3">
      <c r="C28" t="s">
        <v>6</v>
      </c>
    </row>
  </sheetData>
  <sortState xmlns:xlrd2="http://schemas.microsoft.com/office/spreadsheetml/2017/richdata2" ref="D2:D28">
    <sortCondition ref="D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A19" sqref="A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2020-07-06T14:21:47Z</dcterms:modified>
</cp:coreProperties>
</file>