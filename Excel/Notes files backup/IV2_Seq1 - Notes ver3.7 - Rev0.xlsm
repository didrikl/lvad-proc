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Data\IVS\Didrik\IV2_Seq1 - Water simulated HVAD thrombosis - Post-pump - Pilot\Noted\"/>
    </mc:Choice>
  </mc:AlternateContent>
  <xr:revisionPtr revIDLastSave="0" documentId="13_ncr:1_{1136CA55-AAC9-44EE-A489-2AE7D66CA8B4}" xr6:coauthVersionLast="44" xr6:coauthVersionMax="44" xr10:uidLastSave="{00000000-0000-0000-0000-000000000000}"/>
  <bookViews>
    <workbookView xWindow="-108" yWindow="-108" windowWidth="23256" windowHeight="12720" activeTab="1" xr2:uid="{00000000-000D-0000-FFFF-FFFF00000000}"/>
  </bookViews>
  <sheets>
    <sheet name="Sequence description" sheetId="5" r:id="rId1"/>
    <sheet name="Notes" sheetId="1" r:id="rId2"/>
    <sheet name="Equipment" sheetId="8" r:id="rId3"/>
    <sheet name="Categories definitions" sheetId="7" r:id="rId4"/>
    <sheet name="Usage" sheetId="2" r:id="rId5"/>
  </sheets>
  <externalReferences>
    <externalReference r:id="rId6"/>
  </externalReferences>
  <definedNames>
    <definedName name="Controlled_VarNames">Notes!$H$2:$O$2</definedName>
    <definedName name="Equipment">Equipment!$B$3:$H$27</definedName>
    <definedName name="Header_VarNames" comment="Define which row that contains header info. The whole row is used, due to flexibility purposes">Notes!$A$2:$U$2</definedName>
    <definedName name="Header_VarUnits">Notes!$A$3:$U$3</definedName>
    <definedName name="Measured_VarNames">Notes!$P$2:$T$2</definedName>
    <definedName name="Notes" comment="Rectangular area for the notes made, to make it easy and robust for importing notes to e.g. Matlab">Notes!$A$4:$U$61</definedName>
    <definedName name="_xlnm.Print_Titles" localSheetId="1">Notes!$2:$3</definedName>
    <definedName name="Sequence_General_Info">'Sequence description'!$B$3:$C$7</definedName>
    <definedName name="Sequence_Part_Descriptions">'Sequence description'!$B$10:$C$17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tc={0525F1E2-9F64-4F2D-9C2F-41966089911F}</author>
    <author>tc={764ECC09-8DE0-4F2F-ACCF-C3F71310F0F2}</author>
    <author>tc={4B936DB0-BE02-4AD8-8D69-F0D3D91B9300}</author>
  </authors>
  <commentList>
    <comment ref="B2"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00000000-0006-0000-0300-000002000000}">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T2" authorId="2" shapeId="0" xr:uid="{4B936DB0-BE02-4AD8-8D69-F0D3D91B9300}">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Didrik</author>
  </authors>
  <commentList>
    <comment ref="A1" authorId="0" shapeId="0" xr:uid="{00000000-0006-0000-0400-000001000000}">
      <text>
        <r>
          <rPr>
            <b/>
            <sz val="9"/>
            <color indexed="81"/>
            <rFont val="Tahoma"/>
            <family val="2"/>
          </rPr>
          <t>Didrik:</t>
        </r>
        <r>
          <rPr>
            <sz val="9"/>
            <color indexed="81"/>
            <rFont val="Tahoma"/>
            <family val="2"/>
          </rPr>
          <t xml:space="preserve">
Metadata categories, just to keep track of data files/ data sets</t>
        </r>
      </text>
    </comment>
    <comment ref="B1" authorId="0" shapeId="0" xr:uid="{00000000-0006-0000-0400-000002000000}">
      <text>
        <r>
          <rPr>
            <b/>
            <sz val="9"/>
            <color indexed="81"/>
            <rFont val="Tahoma"/>
            <family val="2"/>
          </rPr>
          <t>Didrik:</t>
        </r>
        <r>
          <rPr>
            <sz val="9"/>
            <color indexed="81"/>
            <rFont val="Tahoma"/>
            <family val="2"/>
          </rPr>
          <t xml:space="preserve">
Categories used for splitting data into parts with coding. 
(It is not a categorical variable to be used as input to data analysis.)
</t>
        </r>
      </text>
    </comment>
    <comment ref="C1" authorId="0" shapeId="0" xr:uid="{00000000-0006-0000-0400-000003000000}">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List>
</comments>
</file>

<file path=xl/sharedStrings.xml><?xml version="1.0" encoding="utf-8"?>
<sst xmlns="http://schemas.openxmlformats.org/spreadsheetml/2006/main" count="550" uniqueCount="212">
  <si>
    <t>Intervention</t>
  </si>
  <si>
    <t>Comment</t>
  </si>
  <si>
    <t>-</t>
  </si>
  <si>
    <t>Baseline</t>
  </si>
  <si>
    <t>Pump speed change</t>
  </si>
  <si>
    <t>In-vivo, human</t>
  </si>
  <si>
    <t>Unknown</t>
  </si>
  <si>
    <t>Pause</t>
  </si>
  <si>
    <t>Name</t>
  </si>
  <si>
    <t>Description</t>
  </si>
  <si>
    <t>In-silico</t>
  </si>
  <si>
    <t>Ex-vivo, human</t>
  </si>
  <si>
    <t>Category</t>
  </si>
  <si>
    <t>Continue from pause</t>
  </si>
  <si>
    <t>Calibration</t>
  </si>
  <si>
    <t>System flush</t>
  </si>
  <si>
    <t>Thrombus injection</t>
  </si>
  <si>
    <t>General info</t>
  </si>
  <si>
    <t>ID</t>
  </si>
  <si>
    <t xml:space="preserve">Save this file </t>
  </si>
  <si>
    <t>Save in subfolder named with the experiement ID</t>
  </si>
  <si>
    <t>Experiment tab</t>
  </si>
  <si>
    <t>Notes tab</t>
  </si>
  <si>
    <t>Fill in general info.</t>
  </si>
  <si>
    <t>Categories tab</t>
  </si>
  <si>
    <t>Review and modify/expand the category definitions to include all interventions and events from the protocol tab</t>
  </si>
  <si>
    <t>Lysis start</t>
  </si>
  <si>
    <t>Pump speed ramping start</t>
  </si>
  <si>
    <t>Pump speed ramping end</t>
  </si>
  <si>
    <t>Coagulation start</t>
  </si>
  <si>
    <t>Event</t>
  </si>
  <si>
    <t>Speed change rate</t>
  </si>
  <si>
    <t>(RPM/min)</t>
  </si>
  <si>
    <t>(AU)</t>
  </si>
  <si>
    <t>(RPM)</t>
  </si>
  <si>
    <t>(mmHg)</t>
  </si>
  <si>
    <t>(l/min)</t>
  </si>
  <si>
    <t>(W)</t>
  </si>
  <si>
    <t>Power</t>
  </si>
  <si>
    <t>Dose</t>
  </si>
  <si>
    <t>Pump speed</t>
  </si>
  <si>
    <t>Afferent pressure</t>
  </si>
  <si>
    <t>Effenrent pressure</t>
  </si>
  <si>
    <t xml:space="preserve">Date </t>
  </si>
  <si>
    <t>(dd-mm-yyyy)</t>
  </si>
  <si>
    <t>Timestamp</t>
  </si>
  <si>
    <t>(hh:mm:ss)</t>
  </si>
  <si>
    <t>(ml)</t>
  </si>
  <si>
    <t>Elapsed time</t>
  </si>
  <si>
    <t>(sec)</t>
  </si>
  <si>
    <t>Control intervention</t>
  </si>
  <si>
    <t>Lysis end</t>
  </si>
  <si>
    <t>Coagulation end</t>
  </si>
  <si>
    <t>In-vitro, saltwater</t>
  </si>
  <si>
    <t>In-vivo, pig</t>
  </si>
  <si>
    <t>Ex-vivo, pig</t>
  </si>
  <si>
    <t>In-vitro, human blood</t>
  </si>
  <si>
    <t>In-vitro, porcine blood</t>
  </si>
  <si>
    <t>In-vitro, glucose solution</t>
  </si>
  <si>
    <t>Type</t>
  </si>
  <si>
    <t>Location</t>
  </si>
  <si>
    <t>Main parts</t>
  </si>
  <si>
    <t>Vendor</t>
  </si>
  <si>
    <t>Cardiaccs</t>
  </si>
  <si>
    <t>Driveline</t>
  </si>
  <si>
    <t>LVAD</t>
  </si>
  <si>
    <t>Pressure transducer</t>
  </si>
  <si>
    <t>?</t>
  </si>
  <si>
    <t>Afferent</t>
  </si>
  <si>
    <t>Efferent</t>
  </si>
  <si>
    <t>LVAD monitor</t>
  </si>
  <si>
    <t>HeartWare, Medtronic</t>
  </si>
  <si>
    <t>LVAD controller</t>
  </si>
  <si>
    <t>Experiment parts: Expand/modify the part list. (Matlab may use this info to populate a categorical variable in the data.)</t>
  </si>
  <si>
    <t>Save with filename on the format: [Experiment ID] - Notes - Rev[revision no]</t>
  </si>
  <si>
    <t>Camera</t>
  </si>
  <si>
    <t>Hide/unhide the parameter columns as needed for the experiement</t>
  </si>
  <si>
    <t>Flow estimate</t>
  </si>
  <si>
    <t>Sensors tab</t>
  </si>
  <si>
    <t>Fill in info</t>
  </si>
  <si>
    <t>Comments</t>
  </si>
  <si>
    <t>(pst)</t>
  </si>
  <si>
    <t>Fill in as much as possible before the experiement:  Events and control paramters should be filled in on beforehand.</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</si>
  <si>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</si>
  <si>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</si>
  <si>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</si>
  <si>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</si>
  <si>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</si>
  <si>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</si>
  <si>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Interval type</t>
  </si>
  <si>
    <t>Part</t>
  </si>
  <si>
    <t>Thrombus volume</t>
  </si>
  <si>
    <t>Malfunction</t>
  </si>
  <si>
    <t>Driveline voltmeter</t>
  </si>
  <si>
    <t>3-component accelerometer + gyroscope</t>
  </si>
  <si>
    <t>No.</t>
  </si>
  <si>
    <t>Dur</t>
  </si>
  <si>
    <t>Efferent clamp change</t>
  </si>
  <si>
    <t>Hands on</t>
  </si>
  <si>
    <t>Hands off</t>
  </si>
  <si>
    <t>Afferent clamp change</t>
  </si>
  <si>
    <t>Steady-state</t>
  </si>
  <si>
    <t>Sequence start</t>
  </si>
  <si>
    <t>Sequence end</t>
  </si>
  <si>
    <t>Unintentional</t>
  </si>
  <si>
    <t>Occlusion end</t>
  </si>
  <si>
    <t>Occlusion start</t>
  </si>
  <si>
    <t>Balloon volume change</t>
  </si>
  <si>
    <t>Control baseline</t>
  </si>
  <si>
    <t>(mm)</t>
  </si>
  <si>
    <t>Clamp flow reduction</t>
  </si>
  <si>
    <t>Controlled</t>
  </si>
  <si>
    <t>Balloon level</t>
  </si>
  <si>
    <t>IV2_Seq2</t>
  </si>
  <si>
    <t>Interventions are not randomized since we only use water. Control intervention will confirm that the sequence order is irrelevant.</t>
  </si>
  <si>
    <t>Afferent C-clamp start</t>
  </si>
  <si>
    <t>Afferent C-clamp end</t>
  </si>
  <si>
    <t>HVAD</t>
  </si>
  <si>
    <t>Arrow</t>
  </si>
  <si>
    <t>Medisinteknisk avd.,Rikshospitalet</t>
  </si>
  <si>
    <t>Measured</t>
  </si>
  <si>
    <t>Catheter type</t>
  </si>
  <si>
    <t>Balloon offset</t>
  </si>
  <si>
    <t>No</t>
  </si>
  <si>
    <t>Interval types</t>
  </si>
  <si>
    <t>Events</t>
  </si>
  <si>
    <t>Catheters</t>
  </si>
  <si>
    <t>Experiment types</t>
  </si>
  <si>
    <t>Manual shaking start</t>
  </si>
  <si>
    <t>Manual shaking end</t>
  </si>
  <si>
    <t>Høgskolen i Vestfold / Cardiaccs</t>
  </si>
  <si>
    <t>Sampling</t>
  </si>
  <si>
    <t>Spectrum Medical</t>
  </si>
  <si>
    <t>Sampling frequency</t>
  </si>
  <si>
    <t>Digital-to-analouge converted (DAC)</t>
  </si>
  <si>
    <t>Same as input</t>
  </si>
  <si>
    <t>Equipment Specifications</t>
  </si>
  <si>
    <t>M3 monitor</t>
  </si>
  <si>
    <t>PowerLab + LabChart</t>
  </si>
  <si>
    <t>1000 Hz</t>
  </si>
  <si>
    <t>Digital sensor signal to DAC, and DAC to PowerLab</t>
  </si>
  <si>
    <t>At level of efferent pressure measurement</t>
  </si>
  <si>
    <t>At level of afferent pressure measurement</t>
  </si>
  <si>
    <t>At level of efferent and afferent pressure measurement (recommended to be at equal height)</t>
  </si>
  <si>
    <t>Fred-Johan Pettersen, Med. Tek., OUS</t>
  </si>
  <si>
    <t>1 Hz</t>
  </si>
  <si>
    <t>1 datapoint per 15 min.</t>
  </si>
  <si>
    <t>NC Emerge</t>
  </si>
  <si>
    <t>LVAD inlet</t>
  </si>
  <si>
    <t>Urine, …mm</t>
  </si>
  <si>
    <t>PCI, 4.5mm x 12mm</t>
  </si>
  <si>
    <t>RHC, 11.0mm</t>
  </si>
  <si>
    <t>Efferent C-clamp end</t>
  </si>
  <si>
    <t>Efferent C-clamp start</t>
  </si>
  <si>
    <t>Afferent hose clamp end</t>
  </si>
  <si>
    <t>Afferent hose clamp start</t>
  </si>
  <si>
    <t>Afferent C-clamp 20cm bef end</t>
  </si>
  <si>
    <t>Afferent C-clamp 20cm bef start</t>
  </si>
  <si>
    <t>700 Hz in sensor; 520-540 on laptop</t>
  </si>
  <si>
    <t>Digital sensor signal to laptop with propritary software</t>
  </si>
  <si>
    <t>700 Hz in sensor; 2000 Hz in PowerLab</t>
  </si>
  <si>
    <t>Mikro-Cath™ Diagnostic Pressure Catheter?</t>
  </si>
  <si>
    <t>Millar</t>
  </si>
  <si>
    <t>At catheter balloon (only for suitable catheters)</t>
  </si>
  <si>
    <t>Cord with mass</t>
  </si>
  <si>
    <t>Reduced baseline flow</t>
  </si>
  <si>
    <t>Catheter type change</t>
  </si>
  <si>
    <t>Catheter position change</t>
  </si>
  <si>
    <t>In-vitro, 5% glucose solution</t>
  </si>
  <si>
    <t>Efferent C-clamp 20cm aft start</t>
  </si>
  <si>
    <t>Efferent C-clamp 20cm aft end</t>
  </si>
  <si>
    <t>2000 Hz</t>
  </si>
  <si>
    <t>Product name</t>
  </si>
  <si>
    <t>PCI, 2mm x 28mm</t>
  </si>
  <si>
    <t>Monorail
PTCA Dialation Catheter</t>
  </si>
  <si>
    <t>Xience Pro
Everolimus Eluting Coronary Stent System</t>
  </si>
  <si>
    <t>Abbott</t>
  </si>
  <si>
    <t>Balloon Wedge Pressure Catheter</t>
  </si>
  <si>
    <t>PCI, 2.5mm x 8mm</t>
  </si>
  <si>
    <t>PCI catheter, 6mm x 8mm</t>
  </si>
  <si>
    <t>M3</t>
  </si>
  <si>
    <t>Ultrasound</t>
  </si>
  <si>
    <t>Xtrans?</t>
  </si>
  <si>
    <t>PCI catheter, 2mm x 28mm</t>
  </si>
  <si>
    <t>PCI catheter, 2.5mm x 8mm</t>
  </si>
  <si>
    <t>PCI catheter, 4.5mm x 12mm</t>
  </si>
  <si>
    <t>TREK
Coronary Dilatation Catheter</t>
  </si>
  <si>
    <t>PCI catheter, 10mm x 30mm</t>
  </si>
  <si>
    <t>NuMed</t>
  </si>
  <si>
    <t>BIB Balloon in balloon
Dialation Catheter</t>
  </si>
  <si>
    <t>RHC catheter, 11mm sperical</t>
  </si>
  <si>
    <t>Urine catheter, ??mm spherical</t>
  </si>
  <si>
    <t>PCI, 10mm x 30mm</t>
  </si>
  <si>
    <t>PCI catheter, 6mm x 39mm</t>
  </si>
  <si>
    <t>Fox PTA Catheter</t>
  </si>
  <si>
    <t>PCI catheter, 8mm x 30mm</t>
  </si>
  <si>
    <t>TYSHAK II</t>
  </si>
  <si>
    <t>PCI catheter, 11mm x 30mm</t>
  </si>
  <si>
    <t>PCI, 8mm x 20mm</t>
  </si>
  <si>
    <t xml:space="preserve">PCI, 6mm x 8mm </t>
  </si>
  <si>
    <t>PCI, 6mm x 39mm</t>
  </si>
  <si>
    <t>PCI, 8mm x 30mm</t>
  </si>
  <si>
    <t>PCI catheter, 8mm x 20mm</t>
  </si>
  <si>
    <t>Aachen Resonance</t>
  </si>
  <si>
    <t>ELUTAX
Paclitaxel-eluting PTCA Catheter</t>
  </si>
  <si>
    <t>Manual occlusion start</t>
  </si>
  <si>
    <t>Manual occlusion end</t>
  </si>
  <si>
    <t>Pause to adjust constrition</t>
  </si>
  <si>
    <t>Control intervention steady-state</t>
  </si>
  <si>
    <t>75% reduction could practically not be achived with hose clamp, and was there dropped from the sequence.</t>
  </si>
  <si>
    <t>Testing efferent clamping with hose clamp 2 cm away from LVAD outlet</t>
  </si>
  <si>
    <t>Water simulated post-pump thrombosis by clamping - Pilot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</si>
</sst>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yyyy\-mm\-dd;@"/>
  </numFmts>
  <fonts count="18"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sz val="13"/>
      <color theme="1"/>
      <name val="Calibri"/>
      <family val="2"/>
      <scheme val="minor"/>
    </font>
    <font>
      <b/>
      <sz val="13"/>
      <color theme="1"/>
      <name val="Calibri"/>
      <family val="2"/>
      <scheme val="minor"/>
    </font>
    <font>
      <b/>
      <sz val="13"/>
      <name val="Calibri"/>
      <family val="2"/>
      <scheme val="minor"/>
    </font>
    <font>
      <sz val="14"/>
      <color theme="1"/>
      <name val="Calibri"/>
      <family val="2"/>
      <scheme val="minor"/>
    </font>
    <font>
      <b/>
      <sz val="14"/>
      <color theme="1"/>
      <name val="Calibri"/>
      <family val="2"/>
      <scheme val="minor"/>
    </font>
    <font>
      <sz val="16"/>
      <color theme="0"/>
      <name val="Calibri"/>
      <family val="2"/>
      <scheme val="minor"/>
    </font>
    <font>
      <sz val="11"/>
      <color theme="0"/>
      <name val="Calibri"/>
      <family val="2"/>
      <scheme val="minor"/>
    </font>
    <font>
      <b/>
      <sz val="11"/>
      <name val="Calibri"/>
      <family val="2"/>
      <scheme val="minor"/>
    </font>
    <font>
      <sz val="12"/>
      <color theme="0" tint="-0.34998626667073579"/>
      <name val="Calibri"/>
      <family val="2"/>
      <scheme val="minor"/>
    </font>
    <font>
      <sz val="11"/>
      <color theme="0" tint="-0.34998626667073579"/>
      <name val="Calibri"/>
      <family val="2"/>
      <scheme val="minor"/>
    </font>
  </fonts>
  <fills count="11">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5"/>
        <bgColor indexed="64"/>
      </patternFill>
    </fill>
    <fill>
      <patternFill patternType="solid">
        <fgColor theme="3"/>
        <bgColor indexed="64"/>
      </patternFill>
    </fill>
    <fill>
      <patternFill patternType="solid">
        <fgColor theme="5" tint="0.79998168889431442"/>
        <bgColor indexed="64"/>
      </patternFill>
    </fill>
    <fill>
      <patternFill patternType="solid">
        <fgColor theme="4" tint="0.79998168889431442"/>
        <bgColor indexed="64"/>
      </patternFill>
    </fill>
  </fills>
  <borders count="15">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style="thin">
        <color theme="0" tint="-0.499984740745262"/>
      </right>
      <top style="thin">
        <color theme="0" tint="-0.499984740745262"/>
      </top>
      <bottom/>
      <diagonal/>
    </border>
    <border>
      <left style="thin">
        <color theme="0" tint="-0.499984740745262"/>
      </left>
      <right style="thin">
        <color theme="0" tint="-0.249977111117893"/>
      </right>
      <top/>
      <bottom style="medium">
        <color theme="0" tint="-0.249977111117893"/>
      </bottom>
      <diagonal/>
    </border>
    <border>
      <left style="thin">
        <color theme="0" tint="-0.249977111117893"/>
      </left>
      <right style="thin">
        <color theme="0" tint="-0.499984740745262"/>
      </right>
      <top/>
      <bottom style="medium">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499984740745262"/>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s>
  <cellStyleXfs count="1">
    <xf numFmtId="0" fontId="0" fillId="0" borderId="0"/>
  </cellStyleXfs>
  <cellXfs count="93">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0" xfId="0" applyFont="1" applyBorder="1" applyAlignment="1">
      <alignment vertical="center" wrapText="1"/>
    </xf>
    <xf numFmtId="0" fontId="2" fillId="0" borderId="1" xfId="0" applyFont="1" applyBorder="1" applyAlignment="1">
      <alignment horizontal="left" vertical="center" wrapText="1" indent="1"/>
    </xf>
    <xf numFmtId="0" fontId="1" fillId="2" borderId="2" xfId="0" applyFont="1" applyFill="1" applyBorder="1" applyAlignment="1">
      <alignment horizontal="center" vertical="center" wrapText="1"/>
    </xf>
    <xf numFmtId="0" fontId="2" fillId="0" borderId="1" xfId="0" applyFont="1" applyBorder="1" applyAlignment="1">
      <alignment horizontal="left" vertical="center" indent="1"/>
    </xf>
    <xf numFmtId="0" fontId="2" fillId="0" borderId="0" xfId="0" applyFont="1" applyBorder="1" applyAlignment="1">
      <alignment vertical="center"/>
    </xf>
    <xf numFmtId="0" fontId="1" fillId="0" borderId="1" xfId="0" applyFont="1" applyBorder="1" applyAlignment="1">
      <alignment horizontal="left" vertical="center" wrapText="1" indent="1"/>
    </xf>
    <xf numFmtId="0" fontId="1" fillId="0" borderId="0" xfId="0" applyFont="1" applyBorder="1" applyAlignment="1">
      <alignment horizontal="left" vertical="center" wrapText="1" indent="1"/>
    </xf>
    <xf numFmtId="0" fontId="2" fillId="0" borderId="0" xfId="0" applyFont="1" applyBorder="1" applyAlignment="1">
      <alignment horizontal="left" vertical="center" wrapText="1" indent="1"/>
    </xf>
    <xf numFmtId="0" fontId="2" fillId="0" borderId="0" xfId="0" applyFont="1" applyBorder="1" applyAlignment="1">
      <alignment horizontal="center" vertical="center" wrapTex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4" borderId="0" xfId="0" applyFont="1" applyFill="1" applyAlignment="1">
      <alignment wrapText="1"/>
    </xf>
    <xf numFmtId="0" fontId="2" fillId="4" borderId="0" xfId="0" applyFont="1" applyFill="1" applyAlignment="1">
      <alignment wrapText="1"/>
    </xf>
    <xf numFmtId="0" fontId="7" fillId="0" borderId="0" xfId="0" applyFont="1" applyBorder="1" applyAlignment="1">
      <alignment horizontal="center" vertical="center"/>
    </xf>
    <xf numFmtId="0" fontId="7" fillId="0" borderId="0" xfId="0" applyFont="1" applyAlignment="1">
      <alignment horizontal="center" vertical="center"/>
    </xf>
    <xf numFmtId="3" fontId="7" fillId="0" borderId="0" xfId="0" applyNumberFormat="1" applyFont="1" applyAlignment="1">
      <alignment horizontal="center" vertical="center"/>
    </xf>
    <xf numFmtId="1" fontId="7" fillId="0" borderId="0" xfId="0" applyNumberFormat="1" applyFont="1" applyAlignment="1">
      <alignment horizontal="center" vertical="center"/>
    </xf>
    <xf numFmtId="0" fontId="0" fillId="0" borderId="0" xfId="0" applyFill="1" applyBorder="1"/>
    <xf numFmtId="0" fontId="9" fillId="2" borderId="4" xfId="0" applyFont="1" applyFill="1" applyBorder="1" applyAlignment="1">
      <alignment horizontal="center" wrapText="1"/>
    </xf>
    <xf numFmtId="0" fontId="9" fillId="2" borderId="5" xfId="0" applyFont="1" applyFill="1" applyBorder="1" applyAlignment="1">
      <alignment horizontal="center" wrapText="1"/>
    </xf>
    <xf numFmtId="3" fontId="9" fillId="2" borderId="5" xfId="0" applyNumberFormat="1" applyFont="1" applyFill="1" applyBorder="1" applyAlignment="1">
      <alignment horizontal="center" wrapText="1"/>
    </xf>
    <xf numFmtId="0" fontId="9" fillId="0" borderId="0" xfId="0" applyFont="1" applyBorder="1" applyAlignment="1">
      <alignment horizontal="center" wrapText="1"/>
    </xf>
    <xf numFmtId="0" fontId="9" fillId="2" borderId="7" xfId="0" applyFont="1" applyFill="1" applyBorder="1" applyAlignment="1">
      <alignment horizontal="center" vertical="center" wrapText="1"/>
    </xf>
    <xf numFmtId="0" fontId="9" fillId="2" borderId="3" xfId="0" applyFont="1" applyFill="1" applyBorder="1" applyAlignment="1">
      <alignment horizontal="center" vertical="center" wrapText="1"/>
    </xf>
    <xf numFmtId="3" fontId="9" fillId="2" borderId="3" xfId="0" applyNumberFormat="1" applyFont="1" applyFill="1" applyBorder="1" applyAlignment="1">
      <alignment horizontal="center" vertical="center" wrapText="1"/>
    </xf>
    <xf numFmtId="0" fontId="8" fillId="2" borderId="3" xfId="0" applyFont="1" applyFill="1" applyBorder="1" applyAlignment="1">
      <alignment horizontal="center" vertical="center" wrapText="1"/>
    </xf>
    <xf numFmtId="0" fontId="9" fillId="0" borderId="0" xfId="0" applyFont="1" applyBorder="1" applyAlignment="1">
      <alignment horizontal="center" vertical="center" wrapText="1"/>
    </xf>
    <xf numFmtId="2" fontId="11" fillId="0" borderId="13" xfId="0" applyNumberFormat="1" applyFont="1" applyBorder="1" applyAlignment="1">
      <alignment horizontal="left" vertical="center" wrapText="1" indent="1"/>
    </xf>
    <xf numFmtId="2" fontId="11" fillId="0" borderId="0" xfId="0" applyNumberFormat="1" applyFont="1" applyAlignment="1">
      <alignment horizontal="left" vertical="center" wrapText="1" indent="1"/>
    </xf>
    <xf numFmtId="0" fontId="11" fillId="0" borderId="0" xfId="0" applyFont="1" applyAlignment="1">
      <alignment horizontal="left" vertical="center" wrapText="1" indent="1"/>
    </xf>
    <xf numFmtId="0" fontId="11" fillId="0" borderId="1" xfId="0" applyFont="1" applyBorder="1" applyAlignment="1">
      <alignment horizontal="left" vertical="center" wrapText="1" indent="1"/>
    </xf>
    <xf numFmtId="0" fontId="11" fillId="5" borderId="1" xfId="0" applyFont="1" applyFill="1" applyBorder="1" applyAlignment="1">
      <alignment horizontal="left" vertical="center" wrapText="1" indent="1"/>
    </xf>
    <xf numFmtId="0" fontId="10" fillId="9" borderId="5" xfId="0" applyFont="1" applyFill="1" applyBorder="1" applyAlignment="1">
      <alignment horizontal="center" wrapText="1"/>
    </xf>
    <xf numFmtId="1" fontId="10" fillId="9" borderId="11" xfId="0" applyNumberFormat="1" applyFont="1" applyFill="1" applyBorder="1" applyAlignment="1">
      <alignment horizontal="center" wrapText="1"/>
    </xf>
    <xf numFmtId="9" fontId="10" fillId="9" borderId="5" xfId="0" applyNumberFormat="1" applyFont="1" applyFill="1" applyBorder="1" applyAlignment="1">
      <alignment horizontal="center" wrapText="1"/>
    </xf>
    <xf numFmtId="0" fontId="10" fillId="9" borderId="3" xfId="0" applyFont="1" applyFill="1" applyBorder="1" applyAlignment="1">
      <alignment horizontal="center" vertical="center" wrapText="1"/>
    </xf>
    <xf numFmtId="1" fontId="10" fillId="9" borderId="12" xfId="0" applyNumberFormat="1" applyFont="1" applyFill="1" applyBorder="1" applyAlignment="1">
      <alignment horizontal="center" vertical="center" wrapText="1"/>
    </xf>
    <xf numFmtId="9" fontId="10" fillId="9" borderId="3" xfId="0" applyNumberFormat="1" applyFont="1" applyFill="1" applyBorder="1" applyAlignment="1">
      <alignment horizontal="center" vertical="center" wrapText="1"/>
    </xf>
    <xf numFmtId="164" fontId="10" fillId="10" borderId="3" xfId="0" applyNumberFormat="1" applyFont="1" applyFill="1" applyBorder="1" applyAlignment="1">
      <alignment horizontal="center" vertical="center" wrapText="1"/>
    </xf>
    <xf numFmtId="2" fontId="10" fillId="10" borderId="12" xfId="0" applyNumberFormat="1" applyFont="1" applyFill="1" applyBorder="1" applyAlignment="1">
      <alignment horizontal="center" vertical="center" wrapText="1"/>
    </xf>
    <xf numFmtId="164" fontId="10" fillId="4" borderId="5" xfId="0" applyNumberFormat="1" applyFont="1" applyFill="1" applyBorder="1" applyAlignment="1">
      <alignment horizontal="center" wrapText="1"/>
    </xf>
    <xf numFmtId="2" fontId="10" fillId="4" borderId="11" xfId="0" applyNumberFormat="1" applyFont="1" applyFill="1" applyBorder="1" applyAlignment="1">
      <alignment horizontal="center" wrapText="1"/>
    </xf>
    <xf numFmtId="0" fontId="1" fillId="0" borderId="1" xfId="0" applyFont="1" applyBorder="1" applyAlignment="1">
      <alignment horizontal="center" vertical="center" wrapText="1"/>
    </xf>
    <xf numFmtId="2" fontId="15" fillId="4" borderId="11" xfId="0" applyNumberFormat="1" applyFont="1" applyFill="1" applyBorder="1" applyAlignment="1">
      <alignment horizontal="center" wrapText="1"/>
    </xf>
    <xf numFmtId="2" fontId="15" fillId="4" borderId="11"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0" fillId="0" borderId="0" xfId="0" applyAlignment="1">
      <alignment horizontal="center"/>
    </xf>
    <xf numFmtId="0" fontId="2" fillId="0" borderId="0" xfId="0" applyFont="1" applyAlignment="1">
      <alignment horizontal="left" vertical="center" wrapText="1" indent="1"/>
    </xf>
    <xf numFmtId="0" fontId="12" fillId="2" borderId="6" xfId="0" applyFont="1" applyFill="1" applyBorder="1" applyAlignment="1">
      <alignment horizontal="center" wrapText="1"/>
    </xf>
    <xf numFmtId="0" fontId="12" fillId="2" borderId="8" xfId="0" applyFont="1" applyFill="1" applyBorder="1" applyAlignment="1">
      <alignment horizontal="center" vertical="center" wrapText="1"/>
    </xf>
    <xf numFmtId="0" fontId="16" fillId="0" borderId="1" xfId="0" applyFont="1" applyBorder="1" applyAlignment="1">
      <alignment horizontal="left" vertical="center" wrapText="1" indent="1"/>
    </xf>
    <xf numFmtId="0" fontId="16" fillId="0" borderId="1" xfId="0" applyFont="1" applyBorder="1" applyAlignment="1">
      <alignment horizontal="center" vertical="center" wrapText="1"/>
    </xf>
    <xf numFmtId="0" fontId="17" fillId="0" borderId="0" xfId="0" applyFont="1"/>
    <xf numFmtId="0" fontId="0" fillId="0" borderId="0" xfId="0" applyAlignment="1">
      <alignment horizontal="left" indent="1"/>
    </xf>
    <xf numFmtId="164" fontId="14" fillId="8" borderId="14" xfId="0" applyNumberFormat="1" applyFont="1" applyFill="1" applyBorder="1" applyAlignment="1">
      <alignment horizontal="center" vertical="center"/>
    </xf>
    <xf numFmtId="1" fontId="13" fillId="7" borderId="14" xfId="0" applyNumberFormat="1" applyFont="1" applyFill="1" applyBorder="1" applyAlignment="1">
      <alignment horizontal="center" vertical="center"/>
    </xf>
    <xf numFmtId="164" fontId="13" fillId="8" borderId="14" xfId="0" applyNumberFormat="1" applyFont="1" applyFill="1" applyBorder="1" applyAlignment="1">
      <alignment horizontal="center" vertical="center"/>
    </xf>
    <xf numFmtId="165" fontId="11" fillId="0" borderId="9" xfId="0" applyNumberFormat="1" applyFont="1" applyBorder="1" applyAlignment="1">
      <alignment horizontal="center" vertical="center"/>
    </xf>
    <xf numFmtId="21" fontId="11" fillId="0" borderId="1" xfId="0" applyNumberFormat="1" applyFont="1" applyBorder="1" applyAlignment="1">
      <alignment horizontal="center" vertical="center"/>
    </xf>
    <xf numFmtId="3" fontId="11" fillId="0" borderId="1" xfId="0" applyNumberFormat="1" applyFont="1" applyBorder="1" applyAlignment="1">
      <alignment horizontal="center" vertical="center"/>
    </xf>
    <xf numFmtId="1" fontId="11" fillId="6" borderId="1" xfId="0" applyNumberFormat="1" applyFont="1" applyFill="1" applyBorder="1" applyAlignment="1">
      <alignment horizontal="center" vertical="center"/>
    </xf>
    <xf numFmtId="2" fontId="11" fillId="5" borderId="1" xfId="0" applyNumberFormat="1" applyFont="1" applyFill="1" applyBorder="1" applyAlignment="1">
      <alignment horizontal="center" vertical="center"/>
    </xf>
    <xf numFmtId="2" fontId="11" fillId="0" borderId="1" xfId="0" applyNumberFormat="1" applyFont="1" applyBorder="1" applyAlignment="1">
      <alignment horizontal="center" vertical="center"/>
    </xf>
    <xf numFmtId="1" fontId="12" fillId="5" borderId="1" xfId="0" applyNumberFormat="1" applyFont="1" applyFill="1" applyBorder="1" applyAlignment="1">
      <alignment horizontal="center" vertical="center"/>
    </xf>
    <xf numFmtId="1" fontId="11" fillId="0" borderId="13" xfId="0" applyNumberFormat="1" applyFont="1" applyBorder="1" applyAlignment="1">
      <alignment horizontal="center" vertical="center"/>
    </xf>
    <xf numFmtId="9" fontId="11" fillId="0" borderId="1" xfId="0" applyNumberFormat="1" applyFont="1" applyBorder="1" applyAlignment="1">
      <alignment horizontal="center" vertical="center"/>
    </xf>
    <xf numFmtId="1" fontId="11" fillId="0" borderId="1" xfId="0" applyNumberFormat="1" applyFont="1" applyBorder="1" applyAlignment="1">
      <alignment horizontal="center" vertical="center"/>
    </xf>
    <xf numFmtId="164" fontId="11" fillId="0" borderId="1" xfId="0" applyNumberFormat="1" applyFont="1" applyBorder="1" applyAlignment="1">
      <alignment horizontal="center" vertical="center"/>
    </xf>
    <xf numFmtId="2" fontId="11" fillId="0" borderId="13" xfId="0" applyNumberFormat="1" applyFont="1" applyBorder="1" applyAlignment="1">
      <alignment horizontal="center" vertical="center"/>
    </xf>
    <xf numFmtId="0" fontId="11" fillId="0" borderId="10" xfId="0" applyFont="1" applyBorder="1" applyAlignment="1">
      <alignment horizontal="left" vertical="center" wrapText="1" indent="1"/>
    </xf>
    <xf numFmtId="0" fontId="11" fillId="0" borderId="0" xfId="0" applyFont="1" applyBorder="1" applyAlignment="1">
      <alignment horizontal="center" vertical="center"/>
    </xf>
    <xf numFmtId="1" fontId="11" fillId="5" borderId="1" xfId="0" applyNumberFormat="1" applyFont="1" applyFill="1" applyBorder="1" applyAlignment="1">
      <alignment horizontal="center" vertical="center"/>
    </xf>
    <xf numFmtId="1" fontId="11" fillId="3" borderId="1" xfId="0" applyNumberFormat="1" applyFont="1" applyFill="1" applyBorder="1" applyAlignment="1">
      <alignment horizontal="center" vertical="center"/>
    </xf>
    <xf numFmtId="21" fontId="11" fillId="0" borderId="9" xfId="0" applyNumberFormat="1" applyFont="1" applyBorder="1" applyAlignment="1">
      <alignment horizontal="center" vertical="center"/>
    </xf>
    <xf numFmtId="0" fontId="11" fillId="0" borderId="10" xfId="0" applyFont="1" applyBorder="1" applyAlignment="1">
      <alignment horizontal="left" vertical="center" wrapText="1"/>
    </xf>
    <xf numFmtId="21" fontId="11" fillId="5" borderId="1" xfId="0" applyNumberFormat="1" applyFont="1" applyFill="1" applyBorder="1" applyAlignment="1">
      <alignment horizontal="center" vertical="center"/>
    </xf>
    <xf numFmtId="3" fontId="11" fillId="5" borderId="1" xfId="0" applyNumberFormat="1" applyFont="1" applyFill="1" applyBorder="1" applyAlignment="1">
      <alignment horizontal="center" vertical="center"/>
    </xf>
    <xf numFmtId="9" fontId="11" fillId="5" borderId="1" xfId="0" applyNumberFormat="1" applyFont="1" applyFill="1" applyBorder="1" applyAlignment="1">
      <alignment horizontal="center" vertical="center"/>
    </xf>
    <xf numFmtId="0" fontId="11" fillId="0" borderId="0" xfId="0" applyFont="1" applyAlignment="1">
      <alignment horizontal="center" vertical="center"/>
    </xf>
    <xf numFmtId="3" fontId="11" fillId="0" borderId="0" xfId="0" applyNumberFormat="1" applyFont="1" applyAlignment="1">
      <alignment horizontal="center" vertical="center"/>
    </xf>
    <xf numFmtId="1" fontId="11" fillId="0" borderId="0" xfId="0" applyNumberFormat="1" applyFont="1" applyAlignment="1">
      <alignment horizontal="center" vertical="center"/>
    </xf>
    <xf numFmtId="2" fontId="11" fillId="0" borderId="0" xfId="0" applyNumberFormat="1" applyFont="1" applyAlignment="1">
      <alignment horizontal="center" vertical="center"/>
    </xf>
    <xf numFmtId="1" fontId="11" fillId="0" borderId="0" xfId="0" applyNumberFormat="1" applyFont="1" applyAlignment="1">
      <alignment horizontal="left" vertical="center" wrapText="1" indent="1"/>
    </xf>
    <xf numFmtId="9" fontId="11" fillId="0" borderId="0" xfId="0" applyNumberFormat="1" applyFont="1" applyAlignment="1">
      <alignment horizontal="center" vertical="center"/>
    </xf>
    <xf numFmtId="164" fontId="11" fillId="0" borderId="0" xfId="0" applyNumberFormat="1" applyFont="1" applyAlignment="1">
      <alignment horizontal="center" vertical="center"/>
    </xf>
    <xf numFmtId="9" fontId="12" fillId="0" borderId="1" xfId="0" applyNumberFormat="1" applyFont="1" applyBorder="1" applyAlignment="1">
      <alignment horizontal="center" vertical="center"/>
    </xf>
    <xf numFmtId="9" fontId="12" fillId="5" borderId="1" xfId="0" applyNumberFormat="1" applyFont="1" applyFill="1" applyBorder="1" applyAlignment="1">
      <alignment horizontal="center" vertical="center"/>
    </xf>
    <xf numFmtId="1" fontId="11" fillId="10" borderId="1" xfId="0" applyNumberFormat="1"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IV2_Seq1%20-%20Notes%20v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sage"/>
      <sheetName val="Experiment"/>
      <sheetName val="Sensors"/>
      <sheetName val="Notes"/>
      <sheetName val="Categories"/>
    </sheetNames>
    <sheetDataSet>
      <sheetData sheetId="0" refreshError="1"/>
      <sheetData sheetId="1" refreshError="1"/>
      <sheetData sheetId="2" refreshError="1"/>
      <sheetData sheetId="3" refreshError="1"/>
      <sheetData sheetId="4"/>
    </sheetDataSet>
  </externalBook>
</externalLink>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0525F1E2-9F64-4F2D-9C2F-41966089911F}">
    <text>Use [Control]+[Colon] to insert current timestamp</text>
  </threadedComment>
  <threadedComment ref="D2" dT="2019-12-02T11:50:31.61" personId="{01489622-67B5-4CAB-9B8B-F09804CE9929}" id="{764ECC09-8DE0-4F2F-ACCF-C3F71310F0F2}">
    <text>Used for setting automatic timer
Also useful to estimate total wait duration and planning</text>
  </threadedComment>
  <threadedComment ref="T2" dT="2020-01-16T11:14:41.49" personId="{01489622-67B5-4CAB-9B8B-F09804CE9929}" id="{4B936DB0-BE02-4AD8-8D69-F0D3D91B9300}">
    <text>Ven flow shown on Spectrum ultrasound monitor when unclamped and at corresponding baseline pump speed. Used primarily for documentation and bookkeeping when running the experiment.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2:I21"/>
  <sheetViews>
    <sheetView showGridLines="0" workbookViewId="0">
      <selection activeCell="C5" sqref="C5"/>
    </sheetView>
  </sheetViews>
  <sheetFormatPr defaultColWidth="9.109375" defaultRowHeight="14.4" x14ac:dyDescent="0.3"/>
  <cols>
    <col min="1" max="1" width="3.5546875" customWidth="1"/>
    <col min="2" max="2" width="11.77734375" bestFit="1" customWidth="1"/>
    <col min="3" max="3" width="78.5546875" customWidth="1"/>
    <col min="4" max="4" width="5.6640625" customWidth="1"/>
    <col min="5" max="5" width="38.5546875" customWidth="1"/>
    <col min="6" max="7" width="27.6640625" customWidth="1"/>
  </cols>
  <sheetData>
    <row r="2" spans="2:9" s="1" customFormat="1" ht="15.6" x14ac:dyDescent="0.3">
      <c r="B2" s="59" t="s">
        <v>17</v>
      </c>
      <c r="C2" s="59"/>
      <c r="D2" s="7"/>
      <c r="E2" s="7"/>
      <c r="F2" s="7"/>
    </row>
    <row r="3" spans="2:9" s="1" customFormat="1" ht="15.6" x14ac:dyDescent="0.3">
      <c r="B3" s="8" t="s">
        <v>8</v>
      </c>
      <c r="C3" s="4" t="s">
        <v>211</v>
      </c>
      <c r="D3" s="7"/>
      <c r="E3" s="7"/>
      <c r="F3" s="7"/>
    </row>
    <row r="4" spans="2:9" s="1" customFormat="1" ht="15.6" x14ac:dyDescent="0.3">
      <c r="B4" s="8" t="s">
        <v>18</v>
      </c>
      <c r="C4" s="6" t="s">
        <v>113</v>
      </c>
      <c r="D4" s="7"/>
      <c r="E4" s="7"/>
      <c r="F4" s="7"/>
    </row>
    <row r="5" spans="2:9" s="2" customFormat="1" ht="15.6" x14ac:dyDescent="0.3">
      <c r="B5" s="8" t="s">
        <v>9</v>
      </c>
      <c r="C5" s="4" t="s">
        <v>210</v>
      </c>
      <c r="D5" s="3"/>
      <c r="E5" s="3"/>
      <c r="F5" s="3"/>
    </row>
    <row r="6" spans="2:9" s="2" customFormat="1" ht="15.6" x14ac:dyDescent="0.3">
      <c r="B6" s="8" t="s">
        <v>12</v>
      </c>
      <c r="C6" s="4" t="s">
        <v>58</v>
      </c>
      <c r="D6" s="3"/>
      <c r="E6" s="3"/>
      <c r="F6" s="3"/>
    </row>
    <row r="7" spans="2:9" s="2" customFormat="1" ht="31.2" x14ac:dyDescent="0.3">
      <c r="B7" s="8" t="s">
        <v>80</v>
      </c>
      <c r="C7" s="4" t="s">
        <v>114</v>
      </c>
      <c r="D7" s="3"/>
      <c r="E7" s="3"/>
      <c r="F7" s="3"/>
    </row>
    <row r="8" spans="2:9" s="2" customFormat="1" ht="15.6" x14ac:dyDescent="0.3">
      <c r="B8" s="9"/>
      <c r="C8" s="10"/>
      <c r="D8" s="3"/>
      <c r="E8" s="3"/>
      <c r="F8" s="3"/>
    </row>
    <row r="9" spans="2:9" s="2" customFormat="1" ht="15.6" x14ac:dyDescent="0.3">
      <c r="B9" s="59" t="s">
        <v>61</v>
      </c>
      <c r="C9" s="59"/>
      <c r="D9" s="3"/>
      <c r="E9" s="3"/>
      <c r="F9" s="3"/>
    </row>
    <row r="10" spans="2:9" s="2" customFormat="1" ht="15.6" x14ac:dyDescent="0.3">
      <c r="B10" s="48" t="s">
        <v>123</v>
      </c>
      <c r="C10" s="49" t="s">
        <v>9</v>
      </c>
      <c r="D10" s="3"/>
      <c r="E10" s="3"/>
      <c r="F10" s="3"/>
    </row>
    <row r="11" spans="2:9" s="2" customFormat="1" ht="15.6" x14ac:dyDescent="0.3">
      <c r="B11" s="47">
        <v>1</v>
      </c>
      <c r="C11" s="4"/>
      <c r="D11" s="3"/>
      <c r="E11" s="3"/>
      <c r="F11" s="3"/>
      <c r="G11" s="3"/>
      <c r="H11" s="3"/>
      <c r="I11" s="3"/>
    </row>
    <row r="12" spans="2:9" s="2" customFormat="1" ht="15.6" x14ac:dyDescent="0.3">
      <c r="B12" s="47">
        <v>2</v>
      </c>
      <c r="C12" s="4"/>
      <c r="D12" s="3"/>
      <c r="E12" s="3"/>
      <c r="F12" s="3"/>
      <c r="G12" s="3"/>
      <c r="H12" s="3"/>
      <c r="I12" s="3"/>
    </row>
    <row r="13" spans="2:9" s="2" customFormat="1" ht="15.6" x14ac:dyDescent="0.3">
      <c r="B13" s="47">
        <v>3</v>
      </c>
      <c r="C13" s="4"/>
      <c r="D13" s="3"/>
      <c r="E13" s="3"/>
      <c r="F13" s="3"/>
      <c r="G13" s="3"/>
      <c r="H13" s="3"/>
      <c r="I13" s="3"/>
    </row>
    <row r="14" spans="2:9" s="2" customFormat="1" ht="13.2" customHeight="1" x14ac:dyDescent="0.3">
      <c r="B14" s="47">
        <v>4</v>
      </c>
      <c r="C14" s="4"/>
      <c r="D14" s="3"/>
      <c r="E14" s="3"/>
      <c r="F14" s="3"/>
      <c r="G14" s="3"/>
      <c r="H14" s="3"/>
      <c r="I14" s="3"/>
    </row>
    <row r="15" spans="2:9" s="2" customFormat="1" ht="15.6" x14ac:dyDescent="0.3">
      <c r="B15" s="47">
        <v>5</v>
      </c>
      <c r="C15" s="4"/>
      <c r="D15" s="3"/>
      <c r="E15" s="3"/>
      <c r="F15" s="3"/>
      <c r="G15" s="3"/>
      <c r="H15" s="3"/>
      <c r="I15" s="3"/>
    </row>
    <row r="16" spans="2:9" s="2" customFormat="1" ht="15.6" x14ac:dyDescent="0.3">
      <c r="B16" s="47">
        <v>6</v>
      </c>
      <c r="C16" s="4"/>
      <c r="D16" s="3"/>
      <c r="E16" s="3"/>
      <c r="F16" s="3"/>
      <c r="G16" s="3"/>
      <c r="H16" s="3"/>
      <c r="I16" s="3"/>
    </row>
    <row r="17" spans="2:9" s="2" customFormat="1" ht="15.6" x14ac:dyDescent="0.3">
      <c r="B17" s="47">
        <v>7</v>
      </c>
      <c r="C17" s="4"/>
      <c r="D17" s="3"/>
      <c r="E17" s="3"/>
      <c r="F17" s="3"/>
      <c r="G17" s="3"/>
      <c r="H17" s="3"/>
      <c r="I17" s="3"/>
    </row>
    <row r="18" spans="2:9" s="2" customFormat="1" ht="15.6" x14ac:dyDescent="0.3">
      <c r="B18" s="9"/>
      <c r="C18" s="10"/>
      <c r="D18" s="3"/>
      <c r="E18" s="3"/>
      <c r="F18" s="3"/>
      <c r="G18" s="3"/>
      <c r="H18" s="3"/>
      <c r="I18" s="3"/>
    </row>
    <row r="19" spans="2:9" s="2" customFormat="1" ht="15.6" x14ac:dyDescent="0.3">
      <c r="B19" s="9"/>
      <c r="C19" s="10"/>
      <c r="D19" s="3"/>
      <c r="E19" s="3"/>
      <c r="F19" s="3"/>
      <c r="G19" s="3"/>
      <c r="H19" s="3"/>
      <c r="I19" s="3"/>
    </row>
    <row r="20" spans="2:9" s="2" customFormat="1" ht="15.6" x14ac:dyDescent="0.3">
      <c r="E20" s="3"/>
      <c r="F20" s="3"/>
      <c r="G20" s="3"/>
      <c r="H20" s="3"/>
      <c r="I20" s="3"/>
    </row>
    <row r="21" spans="2:9" s="2" customFormat="1" ht="15.6" x14ac:dyDescent="0.3">
      <c r="E21" s="11"/>
      <c r="F21" s="3"/>
      <c r="G21" s="3"/>
      <c r="H21" s="3"/>
      <c r="I21" s="3"/>
    </row>
  </sheetData>
  <mergeCells count="2">
    <mergeCell ref="B2:C2"/>
    <mergeCell ref="B9:C9"/>
  </mergeCell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Category not defined" error="Go to Category definitions tab to expand the list of categories" xr:uid="{00000000-0002-0000-0100-000000000000}">
          <x14:formula1>
            <xm:f>'Categories definitions'!$A$3:$A$1048576</xm:f>
          </x14:formula1>
          <xm:sqref>C6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U61"/>
  <sheetViews>
    <sheetView showGridLines="0" tabSelected="1" zoomScale="70" zoomScaleNormal="70" workbookViewId="0">
      <selection activeCell="A11" sqref="A11"/>
    </sheetView>
  </sheetViews>
  <sheetFormatPr defaultColWidth="8.88671875" defaultRowHeight="38.25" customHeight="1" x14ac:dyDescent="0.3"/>
  <cols>
    <col min="1" max="1" width="16.109375" style="83" bestFit="1" customWidth="1"/>
    <col min="2" max="2" width="12.5546875" style="83" bestFit="1" customWidth="1"/>
    <col min="3" max="3" width="12.44140625" style="84" hidden="1" customWidth="1"/>
    <col min="4" max="4" width="8.21875" style="84" bestFit="1" customWidth="1"/>
    <col min="5" max="5" width="5.88671875" style="85" customWidth="1"/>
    <col min="6" max="6" width="28.33203125" style="34" bestFit="1" customWidth="1"/>
    <col min="7" max="7" width="26" style="34" bestFit="1" customWidth="1"/>
    <col min="8" max="8" width="14.109375" style="86" hidden="1" customWidth="1"/>
    <col min="9" max="9" width="13.109375" style="86" hidden="1" customWidth="1"/>
    <col min="10" max="10" width="6.109375" style="86" hidden="1" customWidth="1"/>
    <col min="11" max="11" width="9.5546875" style="85" customWidth="1"/>
    <col min="12" max="12" width="10.21875" style="87" hidden="1" customWidth="1"/>
    <col min="13" max="13" width="8.6640625" style="87" hidden="1" customWidth="1"/>
    <col min="14" max="14" width="24.44140625" style="33" hidden="1" customWidth="1"/>
    <col min="15" max="15" width="12.44140625" style="88" customWidth="1"/>
    <col min="16" max="16" width="9.88671875" style="85" hidden="1" customWidth="1"/>
    <col min="17" max="17" width="10.6640625" style="85" hidden="1" customWidth="1"/>
    <col min="18" max="18" width="14.21875" style="89" customWidth="1"/>
    <col min="19" max="19" width="13.44140625" style="89" customWidth="1"/>
    <col min="20" max="20" width="15" style="86" customWidth="1"/>
    <col min="21" max="21" width="63.21875" style="34" customWidth="1"/>
    <col min="22" max="23" width="17.77734375" style="75" bestFit="1" customWidth="1"/>
    <col min="24" max="24" width="17.6640625" style="75" customWidth="1"/>
    <col min="25" max="16384" width="8.88671875" style="75"/>
  </cols>
  <sheetData>
    <row r="1" spans="1:21" s="18" customFormat="1" ht="17.399999999999999" customHeight="1" x14ac:dyDescent="0.3">
      <c r="A1" s="19"/>
      <c r="B1" s="19"/>
      <c r="C1" s="20"/>
      <c r="D1" s="20"/>
      <c r="E1" s="21"/>
      <c r="F1" s="34"/>
      <c r="G1" s="34"/>
      <c r="H1" s="60" t="s">
        <v>111</v>
      </c>
      <c r="I1" s="60"/>
      <c r="J1" s="60"/>
      <c r="K1" s="60"/>
      <c r="L1" s="60"/>
      <c r="M1" s="60"/>
      <c r="N1" s="60"/>
      <c r="O1" s="60"/>
      <c r="P1" s="61" t="s">
        <v>120</v>
      </c>
      <c r="Q1" s="61"/>
      <c r="R1" s="61"/>
      <c r="S1" s="61"/>
      <c r="T1" s="61"/>
      <c r="U1" s="52"/>
    </row>
    <row r="2" spans="1:21" s="26" customFormat="1" ht="35.25" customHeight="1" x14ac:dyDescent="0.35">
      <c r="A2" s="23" t="s">
        <v>43</v>
      </c>
      <c r="B2" s="24" t="s">
        <v>45</v>
      </c>
      <c r="C2" s="25" t="s">
        <v>48</v>
      </c>
      <c r="D2" s="25" t="s">
        <v>96</v>
      </c>
      <c r="E2" s="24" t="s">
        <v>90</v>
      </c>
      <c r="F2" s="24" t="s">
        <v>89</v>
      </c>
      <c r="G2" s="24" t="s">
        <v>30</v>
      </c>
      <c r="H2" s="37" t="s">
        <v>91</v>
      </c>
      <c r="I2" s="37" t="s">
        <v>31</v>
      </c>
      <c r="J2" s="37" t="s">
        <v>39</v>
      </c>
      <c r="K2" s="37" t="s">
        <v>40</v>
      </c>
      <c r="L2" s="38" t="s">
        <v>112</v>
      </c>
      <c r="M2" s="38" t="s">
        <v>122</v>
      </c>
      <c r="N2" s="38" t="s">
        <v>121</v>
      </c>
      <c r="O2" s="39" t="s">
        <v>110</v>
      </c>
      <c r="P2" s="45" t="s">
        <v>41</v>
      </c>
      <c r="Q2" s="45" t="s">
        <v>42</v>
      </c>
      <c r="R2" s="45" t="s">
        <v>77</v>
      </c>
      <c r="S2" s="45" t="s">
        <v>38</v>
      </c>
      <c r="T2" s="46" t="s">
        <v>165</v>
      </c>
      <c r="U2" s="53" t="s">
        <v>1</v>
      </c>
    </row>
    <row r="3" spans="1:21" s="31" customFormat="1" ht="18.75" customHeight="1" thickBot="1" x14ac:dyDescent="0.35">
      <c r="A3" s="27" t="s">
        <v>44</v>
      </c>
      <c r="B3" s="28" t="s">
        <v>46</v>
      </c>
      <c r="C3" s="29" t="s">
        <v>49</v>
      </c>
      <c r="D3" s="29" t="s">
        <v>49</v>
      </c>
      <c r="E3" s="30"/>
      <c r="F3" s="28"/>
      <c r="G3" s="28"/>
      <c r="H3" s="40" t="s">
        <v>47</v>
      </c>
      <c r="I3" s="40" t="s">
        <v>32</v>
      </c>
      <c r="J3" s="40" t="s">
        <v>33</v>
      </c>
      <c r="K3" s="40" t="s">
        <v>34</v>
      </c>
      <c r="L3" s="41"/>
      <c r="M3" s="41" t="s">
        <v>109</v>
      </c>
      <c r="N3" s="41"/>
      <c r="O3" s="42" t="s">
        <v>81</v>
      </c>
      <c r="P3" s="43" t="s">
        <v>35</v>
      </c>
      <c r="Q3" s="43" t="s">
        <v>35</v>
      </c>
      <c r="R3" s="43" t="s">
        <v>36</v>
      </c>
      <c r="S3" s="43" t="s">
        <v>37</v>
      </c>
      <c r="T3" s="44" t="s">
        <v>36</v>
      </c>
      <c r="U3" s="54"/>
    </row>
    <row r="4" spans="1:21" ht="38.25" customHeight="1" x14ac:dyDescent="0.3">
      <c r="A4" s="62"/>
      <c r="B4" s="63"/>
      <c r="C4" s="64"/>
      <c r="D4" s="64" t="s">
        <v>2</v>
      </c>
      <c r="E4" s="65" t="s">
        <v>2</v>
      </c>
      <c r="F4" s="35" t="s">
        <v>102</v>
      </c>
      <c r="G4" s="35" t="s">
        <v>2</v>
      </c>
      <c r="H4" s="66"/>
      <c r="I4" s="67"/>
      <c r="J4" s="67"/>
      <c r="K4" s="68">
        <v>2000</v>
      </c>
      <c r="L4" s="69" t="s">
        <v>2</v>
      </c>
      <c r="M4" s="69" t="s">
        <v>2</v>
      </c>
      <c r="N4" s="32" t="s">
        <v>2</v>
      </c>
      <c r="O4" s="70">
        <v>0</v>
      </c>
      <c r="P4" s="71" t="s">
        <v>2</v>
      </c>
      <c r="Q4" s="71" t="s">
        <v>2</v>
      </c>
      <c r="R4" s="72"/>
      <c r="S4" s="72"/>
      <c r="T4" s="73"/>
      <c r="U4" s="74"/>
    </row>
    <row r="5" spans="1:21" ht="38.25" customHeight="1" x14ac:dyDescent="0.3">
      <c r="A5" s="62"/>
      <c r="B5" s="63"/>
      <c r="C5" s="64"/>
      <c r="D5" s="64">
        <v>60</v>
      </c>
      <c r="E5" s="65" t="s">
        <v>2</v>
      </c>
      <c r="F5" s="35" t="s">
        <v>7</v>
      </c>
      <c r="G5" s="35"/>
      <c r="H5" s="66"/>
      <c r="I5" s="67"/>
      <c r="J5" s="67"/>
      <c r="K5" s="76">
        <v>2000</v>
      </c>
      <c r="L5" s="69" t="s">
        <v>2</v>
      </c>
      <c r="M5" s="69" t="s">
        <v>2</v>
      </c>
      <c r="N5" s="32" t="s">
        <v>2</v>
      </c>
      <c r="O5" s="70">
        <v>0</v>
      </c>
      <c r="P5" s="71"/>
      <c r="Q5" s="71"/>
      <c r="R5" s="72"/>
      <c r="S5" s="72"/>
      <c r="T5" s="73"/>
      <c r="U5" s="74"/>
    </row>
    <row r="6" spans="1:21" ht="38.25" customHeight="1" x14ac:dyDescent="0.3">
      <c r="A6" s="62">
        <v>43836</v>
      </c>
      <c r="B6" s="63">
        <v>0.73958333333333337</v>
      </c>
      <c r="C6" s="64"/>
      <c r="D6" s="64">
        <v>60</v>
      </c>
      <c r="E6" s="65" t="s">
        <v>2</v>
      </c>
      <c r="F6" s="35" t="s">
        <v>14</v>
      </c>
      <c r="G6" s="35" t="s">
        <v>205</v>
      </c>
      <c r="H6" s="66"/>
      <c r="I6" s="67"/>
      <c r="J6" s="67"/>
      <c r="K6" s="76">
        <v>2000</v>
      </c>
      <c r="L6" s="69" t="s">
        <v>2</v>
      </c>
      <c r="M6" s="69" t="s">
        <v>2</v>
      </c>
      <c r="N6" s="32" t="s">
        <v>2</v>
      </c>
      <c r="O6" s="70">
        <v>0</v>
      </c>
      <c r="P6" s="71"/>
      <c r="Q6" s="71"/>
      <c r="R6" s="72"/>
      <c r="S6" s="72"/>
      <c r="T6" s="73"/>
      <c r="U6" s="74"/>
    </row>
    <row r="7" spans="1:21" ht="38.25" customHeight="1" x14ac:dyDescent="0.3">
      <c r="A7" s="62">
        <v>43836</v>
      </c>
      <c r="B7" s="63">
        <v>0.73993055555555554</v>
      </c>
      <c r="C7" s="64"/>
      <c r="D7" s="64">
        <v>0</v>
      </c>
      <c r="E7" s="65" t="s">
        <v>2</v>
      </c>
      <c r="F7" s="36" t="s">
        <v>14</v>
      </c>
      <c r="G7" s="36" t="s">
        <v>206</v>
      </c>
      <c r="H7" s="66"/>
      <c r="I7" s="67"/>
      <c r="J7" s="67"/>
      <c r="K7" s="76">
        <v>2000</v>
      </c>
      <c r="L7" s="69" t="s">
        <v>2</v>
      </c>
      <c r="M7" s="69" t="s">
        <v>2</v>
      </c>
      <c r="N7" s="32" t="s">
        <v>2</v>
      </c>
      <c r="O7" s="70">
        <v>0</v>
      </c>
      <c r="P7" s="71"/>
      <c r="Q7" s="71"/>
      <c r="R7" s="72"/>
      <c r="S7" s="72"/>
      <c r="T7" s="73"/>
      <c r="U7" s="74"/>
    </row>
    <row r="8" spans="1:21" ht="38.25" customHeight="1" x14ac:dyDescent="0.3">
      <c r="A8" s="62">
        <v>43836</v>
      </c>
      <c r="B8" s="63">
        <v>0.74064814814814817</v>
      </c>
      <c r="C8" s="64"/>
      <c r="D8" s="64">
        <v>0</v>
      </c>
      <c r="E8" s="77">
        <v>1</v>
      </c>
      <c r="F8" s="36" t="s">
        <v>3</v>
      </c>
      <c r="G8" s="36" t="s">
        <v>2</v>
      </c>
      <c r="H8" s="66"/>
      <c r="I8" s="67"/>
      <c r="J8" s="67"/>
      <c r="K8" s="76">
        <v>2000</v>
      </c>
      <c r="L8" s="69" t="s">
        <v>2</v>
      </c>
      <c r="M8" s="69" t="s">
        <v>2</v>
      </c>
      <c r="N8" s="32" t="s">
        <v>2</v>
      </c>
      <c r="O8" s="70">
        <v>0</v>
      </c>
      <c r="P8" s="71"/>
      <c r="Q8" s="71"/>
      <c r="R8" s="72">
        <v>3</v>
      </c>
      <c r="S8" s="72">
        <v>1.6</v>
      </c>
      <c r="T8" s="73"/>
      <c r="U8" s="74"/>
    </row>
    <row r="9" spans="1:21" ht="38.25" customHeight="1" x14ac:dyDescent="0.3">
      <c r="A9" s="62">
        <v>43836</v>
      </c>
      <c r="B9" s="63">
        <v>0.74089120370370365</v>
      </c>
      <c r="C9" s="64"/>
      <c r="D9" s="64">
        <v>30</v>
      </c>
      <c r="E9" s="77">
        <v>1</v>
      </c>
      <c r="F9" s="36" t="s">
        <v>50</v>
      </c>
      <c r="G9" s="36" t="s">
        <v>4</v>
      </c>
      <c r="H9" s="66"/>
      <c r="I9" s="67"/>
      <c r="J9" s="67"/>
      <c r="K9" s="68">
        <v>2100</v>
      </c>
      <c r="L9" s="69" t="s">
        <v>2</v>
      </c>
      <c r="M9" s="69" t="s">
        <v>2</v>
      </c>
      <c r="N9" s="32" t="s">
        <v>2</v>
      </c>
      <c r="O9" s="70">
        <v>0</v>
      </c>
      <c r="P9" s="71"/>
      <c r="Q9" s="71"/>
      <c r="R9" s="72"/>
      <c r="S9" s="72"/>
      <c r="T9" s="73"/>
      <c r="U9" s="74"/>
    </row>
    <row r="10" spans="1:21" ht="38.25" customHeight="1" x14ac:dyDescent="0.3">
      <c r="A10" s="62">
        <v>43836</v>
      </c>
      <c r="B10" s="63">
        <v>0.7411226851851852</v>
      </c>
      <c r="C10" s="64"/>
      <c r="D10" s="64">
        <v>0</v>
      </c>
      <c r="E10" s="77">
        <v>1</v>
      </c>
      <c r="F10" s="36" t="s">
        <v>3</v>
      </c>
      <c r="G10" s="36" t="s">
        <v>2</v>
      </c>
      <c r="H10" s="66"/>
      <c r="I10" s="67"/>
      <c r="J10" s="67"/>
      <c r="K10" s="76">
        <v>2100</v>
      </c>
      <c r="L10" s="69" t="s">
        <v>2</v>
      </c>
      <c r="M10" s="69" t="s">
        <v>2</v>
      </c>
      <c r="N10" s="32" t="s">
        <v>2</v>
      </c>
      <c r="O10" s="70">
        <v>0</v>
      </c>
      <c r="P10" s="71"/>
      <c r="Q10" s="71"/>
      <c r="R10" s="72">
        <v>3.1</v>
      </c>
      <c r="S10" s="72">
        <v>1.8</v>
      </c>
      <c r="T10" s="73"/>
      <c r="U10" s="74"/>
    </row>
    <row r="11" spans="1:21" ht="38.25" customHeight="1" x14ac:dyDescent="0.3">
      <c r="A11" s="62">
        <v>43836</v>
      </c>
      <c r="B11" s="63">
        <v>0.74127314814814815</v>
      </c>
      <c r="C11" s="64"/>
      <c r="D11" s="64">
        <v>30</v>
      </c>
      <c r="E11" s="77">
        <v>1</v>
      </c>
      <c r="F11" s="36" t="s">
        <v>50</v>
      </c>
      <c r="G11" s="36" t="s">
        <v>4</v>
      </c>
      <c r="H11" s="66"/>
      <c r="I11" s="67"/>
      <c r="J11" s="67"/>
      <c r="K11" s="68">
        <v>2200</v>
      </c>
      <c r="L11" s="69" t="s">
        <v>2</v>
      </c>
      <c r="M11" s="69" t="s">
        <v>2</v>
      </c>
      <c r="N11" s="32" t="s">
        <v>2</v>
      </c>
      <c r="O11" s="70">
        <v>0</v>
      </c>
      <c r="P11" s="71"/>
      <c r="Q11" s="71"/>
      <c r="R11" s="72"/>
      <c r="S11" s="72"/>
      <c r="T11" s="73"/>
      <c r="U11" s="74"/>
    </row>
    <row r="12" spans="1:21" ht="38.25" customHeight="1" x14ac:dyDescent="0.3">
      <c r="A12" s="62">
        <v>43836</v>
      </c>
      <c r="B12" s="63">
        <v>0.74152777777777779</v>
      </c>
      <c r="C12" s="64"/>
      <c r="D12" s="64">
        <v>0</v>
      </c>
      <c r="E12" s="77">
        <v>1</v>
      </c>
      <c r="F12" s="36" t="s">
        <v>3</v>
      </c>
      <c r="G12" s="36" t="s">
        <v>2</v>
      </c>
      <c r="H12" s="66"/>
      <c r="I12" s="67"/>
      <c r="J12" s="67"/>
      <c r="K12" s="76">
        <v>2200</v>
      </c>
      <c r="L12" s="69" t="s">
        <v>2</v>
      </c>
      <c r="M12" s="69" t="s">
        <v>2</v>
      </c>
      <c r="N12" s="32" t="s">
        <v>2</v>
      </c>
      <c r="O12" s="70">
        <v>0</v>
      </c>
      <c r="P12" s="71"/>
      <c r="Q12" s="71"/>
      <c r="R12" s="72">
        <v>3.3</v>
      </c>
      <c r="S12" s="72">
        <v>2.1</v>
      </c>
      <c r="T12" s="73"/>
      <c r="U12" s="74"/>
    </row>
    <row r="13" spans="1:21" ht="38.25" customHeight="1" x14ac:dyDescent="0.3">
      <c r="A13" s="62">
        <v>43836</v>
      </c>
      <c r="B13" s="78">
        <v>0.74168981481481477</v>
      </c>
      <c r="C13" s="64"/>
      <c r="D13" s="64">
        <v>30</v>
      </c>
      <c r="E13" s="77">
        <v>1</v>
      </c>
      <c r="F13" s="36" t="s">
        <v>50</v>
      </c>
      <c r="G13" s="36" t="s">
        <v>4</v>
      </c>
      <c r="H13" s="66"/>
      <c r="I13" s="67"/>
      <c r="J13" s="67"/>
      <c r="K13" s="68">
        <v>2300</v>
      </c>
      <c r="L13" s="69" t="s">
        <v>2</v>
      </c>
      <c r="M13" s="69" t="s">
        <v>2</v>
      </c>
      <c r="N13" s="32" t="s">
        <v>2</v>
      </c>
      <c r="O13" s="70">
        <v>0</v>
      </c>
      <c r="P13" s="71"/>
      <c r="Q13" s="71"/>
      <c r="R13" s="72"/>
      <c r="S13" s="72"/>
      <c r="T13" s="73"/>
      <c r="U13" s="74"/>
    </row>
    <row r="14" spans="1:21" ht="38.25" customHeight="1" x14ac:dyDescent="0.3">
      <c r="A14" s="62">
        <v>43836</v>
      </c>
      <c r="B14" s="63">
        <v>0.74190972222222218</v>
      </c>
      <c r="C14" s="64"/>
      <c r="D14" s="64">
        <v>0</v>
      </c>
      <c r="E14" s="77">
        <v>1</v>
      </c>
      <c r="F14" s="36" t="s">
        <v>3</v>
      </c>
      <c r="G14" s="36" t="s">
        <v>2</v>
      </c>
      <c r="H14" s="66"/>
      <c r="I14" s="67"/>
      <c r="J14" s="67"/>
      <c r="K14" s="76">
        <v>2300</v>
      </c>
      <c r="L14" s="69" t="s">
        <v>2</v>
      </c>
      <c r="M14" s="69" t="s">
        <v>2</v>
      </c>
      <c r="N14" s="32" t="s">
        <v>2</v>
      </c>
      <c r="O14" s="70">
        <v>0</v>
      </c>
      <c r="P14" s="71"/>
      <c r="Q14" s="71"/>
      <c r="R14" s="72">
        <v>3.5</v>
      </c>
      <c r="S14" s="72">
        <v>2.2999999999999998</v>
      </c>
      <c r="T14" s="73"/>
      <c r="U14" s="74"/>
    </row>
    <row r="15" spans="1:21" ht="38.25" customHeight="1" x14ac:dyDescent="0.3">
      <c r="A15" s="62">
        <v>43836</v>
      </c>
      <c r="B15" s="63">
        <v>0.74209490740740736</v>
      </c>
      <c r="C15" s="64"/>
      <c r="D15" s="64">
        <v>30</v>
      </c>
      <c r="E15" s="77">
        <v>1</v>
      </c>
      <c r="F15" s="36" t="s">
        <v>50</v>
      </c>
      <c r="G15" s="36" t="s">
        <v>4</v>
      </c>
      <c r="H15" s="66"/>
      <c r="I15" s="67"/>
      <c r="J15" s="67"/>
      <c r="K15" s="68">
        <v>2400</v>
      </c>
      <c r="L15" s="69" t="s">
        <v>2</v>
      </c>
      <c r="M15" s="69" t="s">
        <v>2</v>
      </c>
      <c r="N15" s="32" t="s">
        <v>2</v>
      </c>
      <c r="O15" s="70">
        <v>0</v>
      </c>
      <c r="P15" s="71"/>
      <c r="Q15" s="71"/>
      <c r="R15" s="72"/>
      <c r="S15" s="72"/>
      <c r="T15" s="73"/>
      <c r="U15" s="74"/>
    </row>
    <row r="16" spans="1:21" ht="38.25" customHeight="1" x14ac:dyDescent="0.3">
      <c r="A16" s="62">
        <v>43836</v>
      </c>
      <c r="B16" s="63">
        <v>0.74231481481481476</v>
      </c>
      <c r="C16" s="64"/>
      <c r="D16" s="64">
        <v>0</v>
      </c>
      <c r="E16" s="77">
        <v>1</v>
      </c>
      <c r="F16" s="36" t="s">
        <v>3</v>
      </c>
      <c r="G16" s="36" t="s">
        <v>2</v>
      </c>
      <c r="H16" s="66"/>
      <c r="I16" s="67"/>
      <c r="J16" s="67"/>
      <c r="K16" s="76">
        <v>2400</v>
      </c>
      <c r="L16" s="69" t="s">
        <v>2</v>
      </c>
      <c r="M16" s="69" t="s">
        <v>2</v>
      </c>
      <c r="N16" s="32" t="s">
        <v>2</v>
      </c>
      <c r="O16" s="70">
        <v>0</v>
      </c>
      <c r="P16" s="71"/>
      <c r="Q16" s="71"/>
      <c r="R16" s="72">
        <v>3.7</v>
      </c>
      <c r="S16" s="72">
        <v>2.6</v>
      </c>
      <c r="T16" s="73"/>
      <c r="U16" s="74"/>
    </row>
    <row r="17" spans="1:21" ht="38.25" customHeight="1" x14ac:dyDescent="0.3">
      <c r="A17" s="62">
        <v>43836</v>
      </c>
      <c r="B17" s="63">
        <v>0.74245370370370367</v>
      </c>
      <c r="C17" s="64"/>
      <c r="D17" s="64">
        <v>30</v>
      </c>
      <c r="E17" s="77">
        <v>1</v>
      </c>
      <c r="F17" s="36" t="s">
        <v>50</v>
      </c>
      <c r="G17" s="36" t="s">
        <v>4</v>
      </c>
      <c r="H17" s="66"/>
      <c r="I17" s="67"/>
      <c r="J17" s="67"/>
      <c r="K17" s="68">
        <v>2500</v>
      </c>
      <c r="L17" s="69" t="s">
        <v>2</v>
      </c>
      <c r="M17" s="69" t="s">
        <v>2</v>
      </c>
      <c r="N17" s="32" t="s">
        <v>2</v>
      </c>
      <c r="O17" s="70">
        <v>0</v>
      </c>
      <c r="P17" s="71"/>
      <c r="Q17" s="71"/>
      <c r="R17" s="72"/>
      <c r="S17" s="72"/>
      <c r="T17" s="73"/>
      <c r="U17" s="74"/>
    </row>
    <row r="18" spans="1:21" ht="38.25" customHeight="1" x14ac:dyDescent="0.3">
      <c r="A18" s="62">
        <v>43836</v>
      </c>
      <c r="B18" s="63">
        <v>0.74304398148148154</v>
      </c>
      <c r="C18" s="64"/>
      <c r="D18" s="64">
        <v>0</v>
      </c>
      <c r="E18" s="77">
        <v>1</v>
      </c>
      <c r="F18" s="36" t="s">
        <v>3</v>
      </c>
      <c r="G18" s="36" t="s">
        <v>2</v>
      </c>
      <c r="H18" s="66"/>
      <c r="I18" s="67"/>
      <c r="J18" s="67"/>
      <c r="K18" s="76">
        <v>2500</v>
      </c>
      <c r="L18" s="69" t="s">
        <v>2</v>
      </c>
      <c r="M18" s="69" t="s">
        <v>2</v>
      </c>
      <c r="N18" s="32" t="s">
        <v>2</v>
      </c>
      <c r="O18" s="70">
        <v>0</v>
      </c>
      <c r="P18" s="71"/>
      <c r="Q18" s="71"/>
      <c r="R18" s="72">
        <v>4.0999999999999996</v>
      </c>
      <c r="S18" s="72">
        <v>3</v>
      </c>
      <c r="T18" s="73"/>
      <c r="U18" s="74"/>
    </row>
    <row r="19" spans="1:21" ht="38.25" customHeight="1" x14ac:dyDescent="0.3">
      <c r="A19" s="62">
        <v>43836</v>
      </c>
      <c r="B19" s="63">
        <v>0.74321759259259268</v>
      </c>
      <c r="C19" s="64"/>
      <c r="D19" s="64">
        <v>30</v>
      </c>
      <c r="E19" s="77">
        <v>1.1000000000000001</v>
      </c>
      <c r="F19" s="35" t="s">
        <v>50</v>
      </c>
      <c r="G19" s="35" t="s">
        <v>4</v>
      </c>
      <c r="H19" s="66"/>
      <c r="I19" s="67"/>
      <c r="J19" s="67"/>
      <c r="K19" s="68">
        <v>2600</v>
      </c>
      <c r="L19" s="69" t="s">
        <v>2</v>
      </c>
      <c r="M19" s="69" t="s">
        <v>2</v>
      </c>
      <c r="N19" s="32" t="s">
        <v>2</v>
      </c>
      <c r="O19" s="70">
        <v>0</v>
      </c>
      <c r="P19" s="71"/>
      <c r="Q19" s="71"/>
      <c r="R19" s="72"/>
      <c r="S19" s="72"/>
      <c r="T19" s="73"/>
      <c r="U19" s="74"/>
    </row>
    <row r="20" spans="1:21" ht="38.25" customHeight="1" x14ac:dyDescent="0.3">
      <c r="A20" s="62">
        <v>43836</v>
      </c>
      <c r="B20" s="63">
        <v>0.74369212962962961</v>
      </c>
      <c r="C20" s="64"/>
      <c r="D20" s="64">
        <v>0</v>
      </c>
      <c r="E20" s="77">
        <v>1</v>
      </c>
      <c r="F20" s="36" t="s">
        <v>3</v>
      </c>
      <c r="G20" s="36" t="s">
        <v>2</v>
      </c>
      <c r="H20" s="66"/>
      <c r="I20" s="67"/>
      <c r="J20" s="67"/>
      <c r="K20" s="76">
        <v>2600</v>
      </c>
      <c r="L20" s="69" t="s">
        <v>2</v>
      </c>
      <c r="M20" s="69" t="s">
        <v>2</v>
      </c>
      <c r="N20" s="32" t="s">
        <v>2</v>
      </c>
      <c r="O20" s="70">
        <v>0</v>
      </c>
      <c r="P20" s="71"/>
      <c r="Q20" s="71"/>
      <c r="R20" s="72">
        <v>4.0999999999999996</v>
      </c>
      <c r="S20" s="72">
        <v>3.3</v>
      </c>
      <c r="T20" s="73"/>
      <c r="U20" s="74"/>
    </row>
    <row r="21" spans="1:21" ht="38.25" customHeight="1" x14ac:dyDescent="0.3">
      <c r="A21" s="62">
        <v>43836</v>
      </c>
      <c r="B21" s="63">
        <v>0.74384259259259267</v>
      </c>
      <c r="C21" s="64"/>
      <c r="D21" s="64">
        <v>30</v>
      </c>
      <c r="E21" s="77">
        <v>1.1000000000000001</v>
      </c>
      <c r="F21" s="35" t="s">
        <v>50</v>
      </c>
      <c r="G21" s="35" t="s">
        <v>4</v>
      </c>
      <c r="H21" s="66"/>
      <c r="I21" s="67"/>
      <c r="J21" s="67"/>
      <c r="K21" s="68">
        <v>2700</v>
      </c>
      <c r="L21" s="69" t="s">
        <v>2</v>
      </c>
      <c r="M21" s="69" t="s">
        <v>2</v>
      </c>
      <c r="N21" s="32" t="s">
        <v>2</v>
      </c>
      <c r="O21" s="70">
        <v>0</v>
      </c>
      <c r="P21" s="71"/>
      <c r="Q21" s="71"/>
      <c r="R21" s="72"/>
      <c r="S21" s="72"/>
      <c r="T21" s="73"/>
      <c r="U21" s="74"/>
    </row>
    <row r="22" spans="1:21" ht="38.25" customHeight="1" x14ac:dyDescent="0.3">
      <c r="A22" s="62">
        <v>43836</v>
      </c>
      <c r="B22" s="63">
        <v>0.74414351851851857</v>
      </c>
      <c r="C22" s="64"/>
      <c r="D22" s="64">
        <v>0</v>
      </c>
      <c r="E22" s="77">
        <v>1</v>
      </c>
      <c r="F22" s="36" t="s">
        <v>3</v>
      </c>
      <c r="G22" s="36" t="s">
        <v>2</v>
      </c>
      <c r="H22" s="66"/>
      <c r="I22" s="67"/>
      <c r="J22" s="67"/>
      <c r="K22" s="76">
        <v>2700</v>
      </c>
      <c r="L22" s="69" t="s">
        <v>2</v>
      </c>
      <c r="M22" s="69" t="s">
        <v>2</v>
      </c>
      <c r="N22" s="32" t="s">
        <v>2</v>
      </c>
      <c r="O22" s="70">
        <v>0</v>
      </c>
      <c r="P22" s="71"/>
      <c r="Q22" s="71"/>
      <c r="R22" s="72">
        <v>4.3</v>
      </c>
      <c r="S22" s="72">
        <v>3.7</v>
      </c>
      <c r="T22" s="73"/>
      <c r="U22" s="74"/>
    </row>
    <row r="23" spans="1:21" ht="38.25" customHeight="1" x14ac:dyDescent="0.3">
      <c r="A23" s="62">
        <v>43836</v>
      </c>
      <c r="B23" s="63">
        <v>0.74423611111111121</v>
      </c>
      <c r="C23" s="64"/>
      <c r="D23" s="64">
        <v>30</v>
      </c>
      <c r="E23" s="77">
        <v>1.1000000000000001</v>
      </c>
      <c r="F23" s="35" t="s">
        <v>50</v>
      </c>
      <c r="G23" s="35" t="s">
        <v>4</v>
      </c>
      <c r="H23" s="66"/>
      <c r="I23" s="67"/>
      <c r="J23" s="67"/>
      <c r="K23" s="68">
        <v>2800</v>
      </c>
      <c r="L23" s="69" t="s">
        <v>2</v>
      </c>
      <c r="M23" s="69" t="s">
        <v>2</v>
      </c>
      <c r="N23" s="32" t="s">
        <v>2</v>
      </c>
      <c r="O23" s="70">
        <v>0</v>
      </c>
      <c r="P23" s="71"/>
      <c r="Q23" s="71"/>
      <c r="R23" s="72"/>
      <c r="S23" s="72"/>
      <c r="T23" s="73"/>
      <c r="U23" s="74"/>
    </row>
    <row r="24" spans="1:21" ht="38.25" customHeight="1" x14ac:dyDescent="0.3">
      <c r="A24" s="62">
        <v>43836</v>
      </c>
      <c r="B24" s="63">
        <v>0.74452546296296296</v>
      </c>
      <c r="C24" s="64"/>
      <c r="D24" s="64">
        <v>0</v>
      </c>
      <c r="E24" s="77">
        <v>1</v>
      </c>
      <c r="F24" s="36" t="s">
        <v>3</v>
      </c>
      <c r="G24" s="36" t="s">
        <v>2</v>
      </c>
      <c r="H24" s="66"/>
      <c r="I24" s="67"/>
      <c r="J24" s="67"/>
      <c r="K24" s="76">
        <v>2800</v>
      </c>
      <c r="L24" s="69" t="s">
        <v>2</v>
      </c>
      <c r="M24" s="69" t="s">
        <v>2</v>
      </c>
      <c r="N24" s="32" t="s">
        <v>2</v>
      </c>
      <c r="O24" s="70">
        <v>0</v>
      </c>
      <c r="P24" s="71"/>
      <c r="Q24" s="71"/>
      <c r="R24" s="72">
        <v>4.5</v>
      </c>
      <c r="S24" s="72">
        <v>4.0999999999999996</v>
      </c>
      <c r="T24" s="73"/>
      <c r="U24" s="74"/>
    </row>
    <row r="25" spans="1:21" ht="38.25" customHeight="1" x14ac:dyDescent="0.3">
      <c r="A25" s="62">
        <v>43836</v>
      </c>
      <c r="B25" s="63">
        <v>0.7445949074074073</v>
      </c>
      <c r="C25" s="64"/>
      <c r="D25" s="64">
        <v>30</v>
      </c>
      <c r="E25" s="77">
        <v>1</v>
      </c>
      <c r="F25" s="36" t="s">
        <v>50</v>
      </c>
      <c r="G25" s="36" t="s">
        <v>4</v>
      </c>
      <c r="H25" s="66"/>
      <c r="I25" s="67"/>
      <c r="J25" s="67"/>
      <c r="K25" s="68">
        <v>2900</v>
      </c>
      <c r="L25" s="69" t="s">
        <v>2</v>
      </c>
      <c r="M25" s="69" t="s">
        <v>2</v>
      </c>
      <c r="N25" s="32" t="s">
        <v>2</v>
      </c>
      <c r="O25" s="70">
        <v>0</v>
      </c>
      <c r="P25" s="71"/>
      <c r="Q25" s="71"/>
      <c r="R25" s="72"/>
      <c r="S25" s="72"/>
      <c r="T25" s="73"/>
      <c r="U25" s="74"/>
    </row>
    <row r="26" spans="1:21" ht="38.25" customHeight="1" x14ac:dyDescent="0.3">
      <c r="A26" s="62">
        <v>43836</v>
      </c>
      <c r="B26" s="63">
        <v>0.74497685185185192</v>
      </c>
      <c r="C26" s="64"/>
      <c r="D26" s="64">
        <v>0</v>
      </c>
      <c r="E26" s="77">
        <v>1</v>
      </c>
      <c r="F26" s="36" t="s">
        <v>3</v>
      </c>
      <c r="G26" s="36" t="s">
        <v>2</v>
      </c>
      <c r="H26" s="66"/>
      <c r="I26" s="67"/>
      <c r="J26" s="67"/>
      <c r="K26" s="76">
        <v>2900</v>
      </c>
      <c r="L26" s="69" t="s">
        <v>2</v>
      </c>
      <c r="M26" s="69" t="s">
        <v>2</v>
      </c>
      <c r="N26" s="32" t="s">
        <v>2</v>
      </c>
      <c r="O26" s="70">
        <v>0</v>
      </c>
      <c r="P26" s="71"/>
      <c r="Q26" s="71"/>
      <c r="R26" s="72">
        <v>4.7</v>
      </c>
      <c r="S26" s="72">
        <v>4.5</v>
      </c>
      <c r="T26" s="73"/>
      <c r="U26" s="74"/>
    </row>
    <row r="27" spans="1:21" ht="38.25" customHeight="1" x14ac:dyDescent="0.3">
      <c r="A27" s="62">
        <v>43836</v>
      </c>
      <c r="B27" s="63">
        <v>0.74509259259259253</v>
      </c>
      <c r="C27" s="64"/>
      <c r="D27" s="64">
        <v>30</v>
      </c>
      <c r="E27" s="77">
        <v>1</v>
      </c>
      <c r="F27" s="36" t="s">
        <v>50</v>
      </c>
      <c r="G27" s="36" t="s">
        <v>4</v>
      </c>
      <c r="H27" s="66"/>
      <c r="I27" s="67"/>
      <c r="J27" s="67"/>
      <c r="K27" s="68">
        <v>3000</v>
      </c>
      <c r="L27" s="69" t="s">
        <v>2</v>
      </c>
      <c r="M27" s="69" t="s">
        <v>2</v>
      </c>
      <c r="N27" s="32" t="s">
        <v>2</v>
      </c>
      <c r="O27" s="70">
        <v>0</v>
      </c>
      <c r="P27" s="71"/>
      <c r="Q27" s="71"/>
      <c r="R27" s="72"/>
      <c r="S27" s="72"/>
      <c r="T27" s="73"/>
      <c r="U27" s="74"/>
    </row>
    <row r="28" spans="1:21" ht="38.25" customHeight="1" x14ac:dyDescent="0.3">
      <c r="A28" s="62">
        <v>43836</v>
      </c>
      <c r="B28" s="63">
        <v>0.74553240740740734</v>
      </c>
      <c r="C28" s="64"/>
      <c r="D28" s="64">
        <v>0</v>
      </c>
      <c r="E28" s="77">
        <v>1</v>
      </c>
      <c r="F28" s="36" t="s">
        <v>3</v>
      </c>
      <c r="G28" s="36" t="s">
        <v>2</v>
      </c>
      <c r="H28" s="66"/>
      <c r="I28" s="67"/>
      <c r="J28" s="67"/>
      <c r="K28" s="76">
        <v>3000</v>
      </c>
      <c r="L28" s="69" t="s">
        <v>2</v>
      </c>
      <c r="M28" s="69" t="s">
        <v>2</v>
      </c>
      <c r="N28" s="32" t="s">
        <v>2</v>
      </c>
      <c r="O28" s="70">
        <v>0</v>
      </c>
      <c r="P28" s="71"/>
      <c r="Q28" s="71"/>
      <c r="R28" s="72">
        <v>4.9000000000000004</v>
      </c>
      <c r="S28" s="72">
        <v>5</v>
      </c>
      <c r="T28" s="73"/>
      <c r="U28" s="74"/>
    </row>
    <row r="29" spans="1:21" ht="38.25" customHeight="1" x14ac:dyDescent="0.3">
      <c r="A29" s="62">
        <v>43836</v>
      </c>
      <c r="B29" s="63">
        <v>0.74564814814814817</v>
      </c>
      <c r="C29" s="64"/>
      <c r="D29" s="64">
        <v>30</v>
      </c>
      <c r="E29" s="77">
        <v>1</v>
      </c>
      <c r="F29" s="36" t="s">
        <v>50</v>
      </c>
      <c r="G29" s="36" t="s">
        <v>4</v>
      </c>
      <c r="H29" s="66"/>
      <c r="I29" s="67"/>
      <c r="J29" s="67"/>
      <c r="K29" s="68">
        <v>3100</v>
      </c>
      <c r="L29" s="69" t="s">
        <v>2</v>
      </c>
      <c r="M29" s="69" t="s">
        <v>2</v>
      </c>
      <c r="N29" s="32" t="s">
        <v>2</v>
      </c>
      <c r="O29" s="70">
        <v>0</v>
      </c>
      <c r="P29" s="71"/>
      <c r="Q29" s="71"/>
      <c r="R29" s="72"/>
      <c r="S29" s="72"/>
      <c r="T29" s="73"/>
      <c r="U29" s="74"/>
    </row>
    <row r="30" spans="1:21" ht="38.25" customHeight="1" x14ac:dyDescent="0.3">
      <c r="A30" s="62">
        <v>43836</v>
      </c>
      <c r="B30" s="63">
        <v>0.74596064814814811</v>
      </c>
      <c r="C30" s="64"/>
      <c r="D30" s="64">
        <v>0</v>
      </c>
      <c r="E30" s="77">
        <v>1</v>
      </c>
      <c r="F30" s="36" t="s">
        <v>3</v>
      </c>
      <c r="G30" s="36" t="s">
        <v>2</v>
      </c>
      <c r="H30" s="66"/>
      <c r="I30" s="67"/>
      <c r="J30" s="67"/>
      <c r="K30" s="76">
        <v>3100</v>
      </c>
      <c r="L30" s="69" t="s">
        <v>2</v>
      </c>
      <c r="M30" s="69" t="s">
        <v>2</v>
      </c>
      <c r="N30" s="32" t="s">
        <v>2</v>
      </c>
      <c r="O30" s="70">
        <v>0</v>
      </c>
      <c r="P30" s="71"/>
      <c r="Q30" s="71"/>
      <c r="R30" s="72">
        <v>5.4</v>
      </c>
      <c r="S30" s="72">
        <v>5.5</v>
      </c>
      <c r="T30" s="73"/>
      <c r="U30" s="74"/>
    </row>
    <row r="31" spans="1:21" ht="38.25" customHeight="1" x14ac:dyDescent="0.3">
      <c r="A31" s="62">
        <v>43836</v>
      </c>
      <c r="B31" s="63">
        <v>0.74657407407407417</v>
      </c>
      <c r="C31" s="64"/>
      <c r="D31" s="64">
        <v>30</v>
      </c>
      <c r="E31" s="77">
        <v>1</v>
      </c>
      <c r="F31" s="36" t="s">
        <v>50</v>
      </c>
      <c r="G31" s="36" t="s">
        <v>4</v>
      </c>
      <c r="H31" s="66"/>
      <c r="I31" s="67"/>
      <c r="J31" s="67"/>
      <c r="K31" s="68">
        <v>3200</v>
      </c>
      <c r="L31" s="69" t="s">
        <v>2</v>
      </c>
      <c r="M31" s="69" t="s">
        <v>2</v>
      </c>
      <c r="N31" s="32" t="s">
        <v>2</v>
      </c>
      <c r="O31" s="70">
        <v>0</v>
      </c>
      <c r="P31" s="71"/>
      <c r="Q31" s="71"/>
      <c r="R31" s="72"/>
      <c r="S31" s="72"/>
      <c r="T31" s="73"/>
      <c r="U31" s="74"/>
    </row>
    <row r="32" spans="1:21" ht="38.25" customHeight="1" x14ac:dyDescent="0.3">
      <c r="A32" s="62">
        <v>43836</v>
      </c>
      <c r="B32" s="63">
        <v>0.74642361111111111</v>
      </c>
      <c r="C32" s="64"/>
      <c r="D32" s="64">
        <v>0</v>
      </c>
      <c r="E32" s="77">
        <v>1</v>
      </c>
      <c r="F32" s="36" t="s">
        <v>3</v>
      </c>
      <c r="G32" s="36" t="s">
        <v>2</v>
      </c>
      <c r="H32" s="66"/>
      <c r="I32" s="67"/>
      <c r="J32" s="67"/>
      <c r="K32" s="76">
        <v>3200</v>
      </c>
      <c r="L32" s="69" t="s">
        <v>2</v>
      </c>
      <c r="M32" s="69" t="s">
        <v>2</v>
      </c>
      <c r="N32" s="32" t="s">
        <v>2</v>
      </c>
      <c r="O32" s="70">
        <v>0</v>
      </c>
      <c r="P32" s="71"/>
      <c r="Q32" s="71"/>
      <c r="R32" s="72">
        <v>5.5</v>
      </c>
      <c r="S32" s="72">
        <v>6.1</v>
      </c>
      <c r="T32" s="73"/>
      <c r="U32" s="74"/>
    </row>
    <row r="33" spans="1:21" ht="38.25" customHeight="1" x14ac:dyDescent="0.3">
      <c r="A33" s="62">
        <v>43836</v>
      </c>
      <c r="B33" s="63">
        <v>0.74689814814814814</v>
      </c>
      <c r="C33" s="64"/>
      <c r="D33" s="64">
        <v>30</v>
      </c>
      <c r="E33" s="77">
        <v>1</v>
      </c>
      <c r="F33" s="36" t="s">
        <v>50</v>
      </c>
      <c r="G33" s="36" t="s">
        <v>4</v>
      </c>
      <c r="H33" s="66"/>
      <c r="I33" s="67"/>
      <c r="J33" s="67"/>
      <c r="K33" s="68">
        <v>3100</v>
      </c>
      <c r="L33" s="69" t="s">
        <v>2</v>
      </c>
      <c r="M33" s="69" t="s">
        <v>2</v>
      </c>
      <c r="N33" s="32" t="s">
        <v>2</v>
      </c>
      <c r="O33" s="70">
        <v>0</v>
      </c>
      <c r="P33" s="71"/>
      <c r="Q33" s="71"/>
      <c r="R33" s="72"/>
      <c r="S33" s="72"/>
      <c r="T33" s="73"/>
      <c r="U33" s="74"/>
    </row>
    <row r="34" spans="1:21" ht="38.25" customHeight="1" x14ac:dyDescent="0.3">
      <c r="A34" s="62">
        <v>43836</v>
      </c>
      <c r="B34" s="63">
        <v>0.74725694444444446</v>
      </c>
      <c r="C34" s="64"/>
      <c r="D34" s="64">
        <v>0</v>
      </c>
      <c r="E34" s="77">
        <v>1</v>
      </c>
      <c r="F34" s="36" t="s">
        <v>3</v>
      </c>
      <c r="G34" s="36" t="s">
        <v>2</v>
      </c>
      <c r="H34" s="66"/>
      <c r="I34" s="67"/>
      <c r="J34" s="67"/>
      <c r="K34" s="76">
        <v>3100</v>
      </c>
      <c r="L34" s="69" t="s">
        <v>2</v>
      </c>
      <c r="M34" s="69" t="s">
        <v>2</v>
      </c>
      <c r="N34" s="32" t="s">
        <v>2</v>
      </c>
      <c r="O34" s="70">
        <v>0</v>
      </c>
      <c r="P34" s="71"/>
      <c r="Q34" s="71"/>
      <c r="R34" s="72">
        <v>5.4</v>
      </c>
      <c r="S34" s="72">
        <v>5.5</v>
      </c>
      <c r="T34" s="73"/>
      <c r="U34" s="74"/>
    </row>
    <row r="35" spans="1:21" ht="38.25" customHeight="1" x14ac:dyDescent="0.3">
      <c r="A35" s="62">
        <v>43836</v>
      </c>
      <c r="B35" s="63">
        <v>0.74740740740740741</v>
      </c>
      <c r="C35" s="64"/>
      <c r="D35" s="64" t="s">
        <v>2</v>
      </c>
      <c r="E35" s="65" t="s">
        <v>2</v>
      </c>
      <c r="F35" s="35" t="s">
        <v>7</v>
      </c>
      <c r="G35" s="36" t="s">
        <v>2</v>
      </c>
      <c r="H35" s="66"/>
      <c r="I35" s="67"/>
      <c r="J35" s="67"/>
      <c r="K35" s="76">
        <v>3100</v>
      </c>
      <c r="L35" s="69"/>
      <c r="M35" s="69"/>
      <c r="N35" s="32"/>
      <c r="O35" s="70">
        <v>0</v>
      </c>
      <c r="P35" s="71"/>
      <c r="Q35" s="71"/>
      <c r="R35" s="72"/>
      <c r="S35" s="72"/>
      <c r="T35" s="73"/>
      <c r="U35" s="79" t="s">
        <v>207</v>
      </c>
    </row>
    <row r="36" spans="1:21" ht="38.25" customHeight="1" x14ac:dyDescent="0.3">
      <c r="A36" s="62">
        <v>43836</v>
      </c>
      <c r="B36" s="63">
        <v>0.75061342592592595</v>
      </c>
      <c r="C36" s="64"/>
      <c r="D36" s="64" t="s">
        <v>2</v>
      </c>
      <c r="E36" s="77">
        <v>1</v>
      </c>
      <c r="F36" s="35" t="s">
        <v>13</v>
      </c>
      <c r="G36" s="36" t="s">
        <v>2</v>
      </c>
      <c r="H36" s="66"/>
      <c r="I36" s="67"/>
      <c r="J36" s="67"/>
      <c r="K36" s="76">
        <v>3100</v>
      </c>
      <c r="L36" s="69"/>
      <c r="M36" s="69"/>
      <c r="N36" s="32"/>
      <c r="O36" s="70">
        <v>0</v>
      </c>
      <c r="P36" s="71"/>
      <c r="Q36" s="71"/>
      <c r="R36" s="72"/>
      <c r="S36" s="72"/>
      <c r="T36" s="73"/>
      <c r="U36" s="74"/>
    </row>
    <row r="37" spans="1:21" ht="38.25" customHeight="1" x14ac:dyDescent="0.3">
      <c r="A37" s="62">
        <v>43836</v>
      </c>
      <c r="B37" s="63">
        <v>0.75071759259259263</v>
      </c>
      <c r="C37" s="64"/>
      <c r="D37" s="64">
        <v>0</v>
      </c>
      <c r="E37" s="77">
        <v>1</v>
      </c>
      <c r="F37" s="36" t="s">
        <v>50</v>
      </c>
      <c r="G37" s="35" t="s">
        <v>97</v>
      </c>
      <c r="H37" s="66"/>
      <c r="I37" s="67"/>
      <c r="J37" s="67"/>
      <c r="K37" s="76">
        <v>3100</v>
      </c>
      <c r="L37" s="69"/>
      <c r="M37" s="69"/>
      <c r="N37" s="32"/>
      <c r="O37" s="90">
        <v>0.25</v>
      </c>
      <c r="P37" s="71"/>
      <c r="Q37" s="71"/>
      <c r="R37" s="72" t="s">
        <v>2</v>
      </c>
      <c r="S37" s="72" t="s">
        <v>2</v>
      </c>
      <c r="T37" s="73"/>
      <c r="U37" s="79"/>
    </row>
    <row r="38" spans="1:21" ht="38.25" customHeight="1" x14ac:dyDescent="0.3">
      <c r="A38" s="62">
        <v>43836</v>
      </c>
      <c r="B38" s="63">
        <v>0.7509837962962963</v>
      </c>
      <c r="C38" s="64"/>
      <c r="D38" s="64">
        <v>30</v>
      </c>
      <c r="E38" s="77">
        <v>1</v>
      </c>
      <c r="F38" s="36" t="s">
        <v>50</v>
      </c>
      <c r="G38" s="36" t="s">
        <v>4</v>
      </c>
      <c r="H38" s="66"/>
      <c r="I38" s="67"/>
      <c r="J38" s="67"/>
      <c r="K38" s="68">
        <v>2000</v>
      </c>
      <c r="L38" s="69"/>
      <c r="M38" s="69"/>
      <c r="N38" s="32"/>
      <c r="O38" s="70">
        <v>0.25</v>
      </c>
      <c r="P38" s="71"/>
      <c r="Q38" s="71"/>
      <c r="R38" s="72" t="s">
        <v>2</v>
      </c>
      <c r="S38" s="72" t="s">
        <v>2</v>
      </c>
      <c r="T38" s="73"/>
      <c r="U38" s="74"/>
    </row>
    <row r="39" spans="1:21" ht="38.25" customHeight="1" x14ac:dyDescent="0.3">
      <c r="A39" s="62">
        <v>43836</v>
      </c>
      <c r="B39" s="63">
        <v>0.75141203703703707</v>
      </c>
      <c r="C39" s="64"/>
      <c r="D39" s="64">
        <v>0</v>
      </c>
      <c r="E39" s="77">
        <v>1</v>
      </c>
      <c r="F39" s="36" t="s">
        <v>208</v>
      </c>
      <c r="G39" s="36" t="s">
        <v>2</v>
      </c>
      <c r="H39" s="66"/>
      <c r="I39" s="67"/>
      <c r="J39" s="67"/>
      <c r="K39" s="76">
        <v>2000</v>
      </c>
      <c r="L39" s="69"/>
      <c r="M39" s="69"/>
      <c r="N39" s="32"/>
      <c r="O39" s="70">
        <v>0.25</v>
      </c>
      <c r="P39" s="71"/>
      <c r="Q39" s="71"/>
      <c r="R39" s="72">
        <v>3</v>
      </c>
      <c r="S39" s="72">
        <v>1.6</v>
      </c>
      <c r="T39" s="73"/>
      <c r="U39" s="74"/>
    </row>
    <row r="40" spans="1:21" ht="38.25" customHeight="1" x14ac:dyDescent="0.3">
      <c r="A40" s="62">
        <v>43836</v>
      </c>
      <c r="B40" s="63">
        <v>0.75149305555555557</v>
      </c>
      <c r="C40" s="64"/>
      <c r="D40" s="64">
        <v>30</v>
      </c>
      <c r="E40" s="77">
        <v>1</v>
      </c>
      <c r="F40" s="36" t="s">
        <v>50</v>
      </c>
      <c r="G40" s="36" t="s">
        <v>4</v>
      </c>
      <c r="H40" s="66"/>
      <c r="I40" s="67"/>
      <c r="J40" s="67"/>
      <c r="K40" s="68">
        <v>2100</v>
      </c>
      <c r="L40" s="69"/>
      <c r="M40" s="69"/>
      <c r="N40" s="32"/>
      <c r="O40" s="70">
        <v>0.25</v>
      </c>
      <c r="P40" s="71"/>
      <c r="Q40" s="71"/>
      <c r="R40" s="72" t="s">
        <v>2</v>
      </c>
      <c r="S40" s="72" t="s">
        <v>2</v>
      </c>
      <c r="T40" s="73"/>
      <c r="U40" s="74"/>
    </row>
    <row r="41" spans="1:21" ht="38.25" customHeight="1" x14ac:dyDescent="0.3">
      <c r="A41" s="62">
        <v>43836</v>
      </c>
      <c r="B41" s="63">
        <v>0.75179398148148147</v>
      </c>
      <c r="C41" s="64"/>
      <c r="D41" s="64">
        <v>0</v>
      </c>
      <c r="E41" s="77">
        <v>1</v>
      </c>
      <c r="F41" s="36" t="s">
        <v>208</v>
      </c>
      <c r="G41" s="36" t="s">
        <v>2</v>
      </c>
      <c r="H41" s="66"/>
      <c r="I41" s="67"/>
      <c r="J41" s="67"/>
      <c r="K41" s="76">
        <v>2100</v>
      </c>
      <c r="L41" s="69"/>
      <c r="M41" s="69"/>
      <c r="N41" s="32"/>
      <c r="O41" s="70">
        <v>0.25</v>
      </c>
      <c r="P41" s="71"/>
      <c r="Q41" s="71"/>
      <c r="R41" s="72">
        <v>2.9</v>
      </c>
      <c r="S41" s="72">
        <v>1.8</v>
      </c>
      <c r="T41" s="73"/>
      <c r="U41" s="74"/>
    </row>
    <row r="42" spans="1:21" ht="38.25" customHeight="1" x14ac:dyDescent="0.3">
      <c r="A42" s="62">
        <v>43836</v>
      </c>
      <c r="B42" s="63">
        <v>0.75232638888888881</v>
      </c>
      <c r="C42" s="64"/>
      <c r="D42" s="64">
        <v>30</v>
      </c>
      <c r="E42" s="77">
        <v>1</v>
      </c>
      <c r="F42" s="36" t="s">
        <v>50</v>
      </c>
      <c r="G42" s="36" t="s">
        <v>4</v>
      </c>
      <c r="H42" s="66"/>
      <c r="I42" s="67"/>
      <c r="J42" s="67"/>
      <c r="K42" s="68">
        <v>2300</v>
      </c>
      <c r="L42" s="69"/>
      <c r="M42" s="69"/>
      <c r="N42" s="32"/>
      <c r="O42" s="70">
        <v>0.25</v>
      </c>
      <c r="P42" s="71"/>
      <c r="Q42" s="71"/>
      <c r="R42" s="72" t="s">
        <v>2</v>
      </c>
      <c r="S42" s="72" t="s">
        <v>2</v>
      </c>
      <c r="T42" s="73"/>
      <c r="U42" s="74"/>
    </row>
    <row r="43" spans="1:21" ht="38.25" customHeight="1" x14ac:dyDescent="0.3">
      <c r="A43" s="62">
        <v>43836</v>
      </c>
      <c r="B43" s="63">
        <v>0.7527314814814815</v>
      </c>
      <c r="C43" s="64"/>
      <c r="D43" s="64">
        <v>0</v>
      </c>
      <c r="E43" s="77">
        <v>1</v>
      </c>
      <c r="F43" s="36" t="s">
        <v>208</v>
      </c>
      <c r="G43" s="36" t="s">
        <v>2</v>
      </c>
      <c r="H43" s="66"/>
      <c r="I43" s="67"/>
      <c r="J43" s="67"/>
      <c r="K43" s="76">
        <v>2300</v>
      </c>
      <c r="L43" s="69"/>
      <c r="M43" s="69"/>
      <c r="N43" s="32"/>
      <c r="O43" s="70">
        <v>0.25</v>
      </c>
      <c r="P43" s="71"/>
      <c r="Q43" s="71"/>
      <c r="R43" s="72">
        <v>3.4</v>
      </c>
      <c r="S43" s="72">
        <v>2.2999999999999998</v>
      </c>
      <c r="T43" s="73"/>
      <c r="U43" s="74"/>
    </row>
    <row r="44" spans="1:21" ht="38.25" customHeight="1" x14ac:dyDescent="0.3">
      <c r="A44" s="62">
        <v>43836</v>
      </c>
      <c r="B44" s="63">
        <v>0.75291666666666668</v>
      </c>
      <c r="C44" s="64"/>
      <c r="D44" s="64">
        <v>30</v>
      </c>
      <c r="E44" s="77">
        <v>1</v>
      </c>
      <c r="F44" s="36" t="s">
        <v>50</v>
      </c>
      <c r="G44" s="36" t="s">
        <v>4</v>
      </c>
      <c r="H44" s="66"/>
      <c r="I44" s="67"/>
      <c r="J44" s="67"/>
      <c r="K44" s="68">
        <v>2600</v>
      </c>
      <c r="L44" s="69"/>
      <c r="M44" s="69"/>
      <c r="N44" s="32"/>
      <c r="O44" s="70">
        <v>0.25</v>
      </c>
      <c r="P44" s="71"/>
      <c r="Q44" s="71"/>
      <c r="R44" s="72" t="s">
        <v>2</v>
      </c>
      <c r="S44" s="72" t="s">
        <v>2</v>
      </c>
      <c r="T44" s="73"/>
      <c r="U44" s="74"/>
    </row>
    <row r="45" spans="1:21" ht="38.25" customHeight="1" x14ac:dyDescent="0.3">
      <c r="A45" s="62">
        <v>43836</v>
      </c>
      <c r="B45" s="63">
        <v>0.75325231481481481</v>
      </c>
      <c r="C45" s="64"/>
      <c r="D45" s="64">
        <v>0</v>
      </c>
      <c r="E45" s="77">
        <v>1</v>
      </c>
      <c r="F45" s="36" t="s">
        <v>208</v>
      </c>
      <c r="G45" s="36" t="s">
        <v>2</v>
      </c>
      <c r="H45" s="66"/>
      <c r="I45" s="67"/>
      <c r="J45" s="67"/>
      <c r="K45" s="76">
        <v>2600</v>
      </c>
      <c r="L45" s="69"/>
      <c r="M45" s="69"/>
      <c r="N45" s="32"/>
      <c r="O45" s="70">
        <v>0.25</v>
      </c>
      <c r="P45" s="71"/>
      <c r="Q45" s="71"/>
      <c r="R45" s="72">
        <v>3.9</v>
      </c>
      <c r="S45" s="72">
        <v>3.2</v>
      </c>
      <c r="T45" s="73"/>
      <c r="U45" s="74"/>
    </row>
    <row r="46" spans="1:21" ht="38.25" customHeight="1" x14ac:dyDescent="0.3">
      <c r="A46" s="62">
        <v>43836</v>
      </c>
      <c r="B46" s="63">
        <v>0.75335648148148149</v>
      </c>
      <c r="C46" s="64"/>
      <c r="D46" s="64">
        <v>30</v>
      </c>
      <c r="E46" s="77">
        <v>1</v>
      </c>
      <c r="F46" s="36" t="s">
        <v>50</v>
      </c>
      <c r="G46" s="36" t="s">
        <v>4</v>
      </c>
      <c r="H46" s="66"/>
      <c r="I46" s="67"/>
      <c r="J46" s="67"/>
      <c r="K46" s="68">
        <v>2900</v>
      </c>
      <c r="L46" s="69"/>
      <c r="M46" s="69"/>
      <c r="N46" s="32"/>
      <c r="O46" s="70">
        <v>0.25</v>
      </c>
      <c r="P46" s="71"/>
      <c r="Q46" s="71"/>
      <c r="R46" s="72" t="s">
        <v>2</v>
      </c>
      <c r="S46" s="72" t="s">
        <v>2</v>
      </c>
      <c r="T46" s="73"/>
      <c r="U46" s="74"/>
    </row>
    <row r="47" spans="1:21" ht="38.25" customHeight="1" x14ac:dyDescent="0.3">
      <c r="A47" s="62">
        <v>43836</v>
      </c>
      <c r="B47" s="63">
        <v>0.75363425925925931</v>
      </c>
      <c r="C47" s="64"/>
      <c r="D47" s="64">
        <v>0</v>
      </c>
      <c r="E47" s="77">
        <v>1</v>
      </c>
      <c r="F47" s="36" t="s">
        <v>208</v>
      </c>
      <c r="G47" s="36" t="s">
        <v>2</v>
      </c>
      <c r="H47" s="66"/>
      <c r="I47" s="67"/>
      <c r="J47" s="67"/>
      <c r="K47" s="76">
        <v>2900</v>
      </c>
      <c r="L47" s="69"/>
      <c r="M47" s="69"/>
      <c r="N47" s="32"/>
      <c r="O47" s="70">
        <v>0.25</v>
      </c>
      <c r="P47" s="71"/>
      <c r="Q47" s="71"/>
      <c r="R47" s="72">
        <v>4.5999999999999996</v>
      </c>
      <c r="S47" s="72">
        <v>4.5</v>
      </c>
      <c r="T47" s="73"/>
      <c r="U47" s="74"/>
    </row>
    <row r="48" spans="1:21" ht="38.25" customHeight="1" x14ac:dyDescent="0.3">
      <c r="A48" s="62">
        <v>43836</v>
      </c>
      <c r="B48" s="63">
        <v>0.75364583333333324</v>
      </c>
      <c r="C48" s="64"/>
      <c r="D48" s="64" t="s">
        <v>2</v>
      </c>
      <c r="E48" s="65" t="s">
        <v>2</v>
      </c>
      <c r="F48" s="36" t="s">
        <v>7</v>
      </c>
      <c r="G48" s="36" t="s">
        <v>2</v>
      </c>
      <c r="H48" s="66"/>
      <c r="I48" s="67"/>
      <c r="J48" s="67"/>
      <c r="K48" s="76">
        <v>2900</v>
      </c>
      <c r="L48" s="69"/>
      <c r="M48" s="69"/>
      <c r="N48" s="32"/>
      <c r="O48" s="70">
        <v>0.25</v>
      </c>
      <c r="P48" s="71"/>
      <c r="Q48" s="71"/>
      <c r="R48" s="72"/>
      <c r="S48" s="72"/>
      <c r="T48" s="73"/>
      <c r="U48" s="74"/>
    </row>
    <row r="49" spans="1:21" ht="38.25" customHeight="1" x14ac:dyDescent="0.3">
      <c r="A49" s="62">
        <v>43836</v>
      </c>
      <c r="B49" s="63">
        <v>0.75718750000000001</v>
      </c>
      <c r="C49" s="64"/>
      <c r="D49" s="64">
        <v>0</v>
      </c>
      <c r="E49" s="92">
        <v>2</v>
      </c>
      <c r="F49" s="36" t="s">
        <v>50</v>
      </c>
      <c r="G49" s="35" t="s">
        <v>97</v>
      </c>
      <c r="H49" s="66"/>
      <c r="I49" s="67"/>
      <c r="J49" s="67"/>
      <c r="K49" s="76">
        <v>2900</v>
      </c>
      <c r="L49" s="69"/>
      <c r="M49" s="69"/>
      <c r="N49" s="32"/>
      <c r="O49" s="91">
        <v>0.5</v>
      </c>
      <c r="P49" s="71"/>
      <c r="Q49" s="71"/>
      <c r="R49" s="72" t="s">
        <v>2</v>
      </c>
      <c r="S49" s="72" t="s">
        <v>2</v>
      </c>
      <c r="T49" s="73"/>
      <c r="U49" s="74"/>
    </row>
    <row r="50" spans="1:21" ht="38.25" customHeight="1" x14ac:dyDescent="0.3">
      <c r="A50" s="62">
        <v>43836</v>
      </c>
      <c r="B50" s="63">
        <v>0.75731481481481477</v>
      </c>
      <c r="C50" s="64"/>
      <c r="D50" s="64">
        <v>30</v>
      </c>
      <c r="E50" s="92">
        <v>2</v>
      </c>
      <c r="F50" s="36" t="s">
        <v>50</v>
      </c>
      <c r="G50" s="36" t="s">
        <v>4</v>
      </c>
      <c r="H50" s="66"/>
      <c r="I50" s="67"/>
      <c r="J50" s="67"/>
      <c r="K50" s="68">
        <v>2000</v>
      </c>
      <c r="L50" s="69"/>
      <c r="M50" s="69"/>
      <c r="N50" s="32"/>
      <c r="O50" s="82">
        <v>0.5</v>
      </c>
      <c r="P50" s="71"/>
      <c r="Q50" s="71"/>
      <c r="R50" s="72" t="s">
        <v>2</v>
      </c>
      <c r="S50" s="72" t="s">
        <v>2</v>
      </c>
      <c r="T50" s="73"/>
      <c r="U50" s="74"/>
    </row>
    <row r="51" spans="1:21" ht="38.25" customHeight="1" x14ac:dyDescent="0.3">
      <c r="A51" s="62">
        <v>43836</v>
      </c>
      <c r="B51" s="63">
        <v>0.75769675925925928</v>
      </c>
      <c r="C51" s="64"/>
      <c r="D51" s="64">
        <v>0</v>
      </c>
      <c r="E51" s="92">
        <v>2</v>
      </c>
      <c r="F51" s="36" t="s">
        <v>208</v>
      </c>
      <c r="G51" s="36" t="s">
        <v>2</v>
      </c>
      <c r="H51" s="66"/>
      <c r="I51" s="67"/>
      <c r="J51" s="67"/>
      <c r="K51" s="76">
        <v>2000</v>
      </c>
      <c r="L51" s="69"/>
      <c r="M51" s="69"/>
      <c r="N51" s="32"/>
      <c r="O51" s="82">
        <v>0.5</v>
      </c>
      <c r="P51" s="71"/>
      <c r="Q51" s="71"/>
      <c r="R51" s="72">
        <v>2.7</v>
      </c>
      <c r="S51" s="72">
        <v>1.5</v>
      </c>
      <c r="T51" s="73"/>
      <c r="U51" s="74"/>
    </row>
    <row r="52" spans="1:21" ht="38.25" customHeight="1" x14ac:dyDescent="0.3">
      <c r="A52" s="62">
        <v>43836</v>
      </c>
      <c r="B52" s="63">
        <v>0.75791666666666668</v>
      </c>
      <c r="C52" s="64"/>
      <c r="D52" s="64">
        <v>30</v>
      </c>
      <c r="E52" s="92">
        <v>2</v>
      </c>
      <c r="F52" s="36" t="s">
        <v>50</v>
      </c>
      <c r="G52" s="36" t="s">
        <v>4</v>
      </c>
      <c r="H52" s="66"/>
      <c r="I52" s="67"/>
      <c r="J52" s="67"/>
      <c r="K52" s="68">
        <v>2300</v>
      </c>
      <c r="L52" s="69"/>
      <c r="M52" s="69"/>
      <c r="N52" s="32"/>
      <c r="O52" s="82">
        <v>0.5</v>
      </c>
      <c r="P52" s="71"/>
      <c r="Q52" s="71"/>
      <c r="R52" s="72" t="s">
        <v>2</v>
      </c>
      <c r="S52" s="72" t="s">
        <v>2</v>
      </c>
      <c r="T52" s="73"/>
      <c r="U52" s="74"/>
    </row>
    <row r="53" spans="1:21" ht="38.25" customHeight="1" x14ac:dyDescent="0.3">
      <c r="A53" s="62">
        <v>43836</v>
      </c>
      <c r="B53" s="63">
        <v>0.75818287037037047</v>
      </c>
      <c r="C53" s="64"/>
      <c r="D53" s="64">
        <v>0</v>
      </c>
      <c r="E53" s="92">
        <v>2</v>
      </c>
      <c r="F53" s="36" t="s">
        <v>208</v>
      </c>
      <c r="G53" s="36" t="s">
        <v>2</v>
      </c>
      <c r="H53" s="66"/>
      <c r="I53" s="67"/>
      <c r="J53" s="67"/>
      <c r="K53" s="76">
        <v>2300</v>
      </c>
      <c r="L53" s="69"/>
      <c r="M53" s="69"/>
      <c r="N53" s="32"/>
      <c r="O53" s="82">
        <v>0.5</v>
      </c>
      <c r="P53" s="71"/>
      <c r="Q53" s="71"/>
      <c r="R53" s="72">
        <v>3.2</v>
      </c>
      <c r="S53" s="72">
        <v>2.2000000000000002</v>
      </c>
      <c r="T53" s="73"/>
      <c r="U53" s="74"/>
    </row>
    <row r="54" spans="1:21" ht="38.25" customHeight="1" x14ac:dyDescent="0.3">
      <c r="A54" s="62">
        <v>43836</v>
      </c>
      <c r="B54" s="63">
        <v>0.75828703703703704</v>
      </c>
      <c r="C54" s="64"/>
      <c r="D54" s="64">
        <v>30</v>
      </c>
      <c r="E54" s="92">
        <v>2</v>
      </c>
      <c r="F54" s="36" t="s">
        <v>50</v>
      </c>
      <c r="G54" s="36" t="s">
        <v>4</v>
      </c>
      <c r="H54" s="66"/>
      <c r="I54" s="67"/>
      <c r="J54" s="67"/>
      <c r="K54" s="68">
        <v>2600</v>
      </c>
      <c r="L54" s="69"/>
      <c r="M54" s="69"/>
      <c r="N54" s="32"/>
      <c r="O54" s="82">
        <v>0.5</v>
      </c>
      <c r="P54" s="71"/>
      <c r="Q54" s="71"/>
      <c r="R54" s="72" t="s">
        <v>2</v>
      </c>
      <c r="S54" s="72" t="s">
        <v>2</v>
      </c>
      <c r="T54" s="73"/>
      <c r="U54" s="74"/>
    </row>
    <row r="55" spans="1:21" ht="38.25" customHeight="1" x14ac:dyDescent="0.3">
      <c r="A55" s="62">
        <v>43836</v>
      </c>
      <c r="B55" s="63">
        <v>0.7585763888888889</v>
      </c>
      <c r="C55" s="64"/>
      <c r="D55" s="64">
        <v>0</v>
      </c>
      <c r="E55" s="92">
        <v>2</v>
      </c>
      <c r="F55" s="36" t="s">
        <v>208</v>
      </c>
      <c r="G55" s="36" t="s">
        <v>2</v>
      </c>
      <c r="H55" s="66"/>
      <c r="I55" s="67"/>
      <c r="J55" s="67"/>
      <c r="K55" s="76">
        <v>2600</v>
      </c>
      <c r="L55" s="69"/>
      <c r="M55" s="69"/>
      <c r="N55" s="32"/>
      <c r="O55" s="82">
        <v>0.5</v>
      </c>
      <c r="P55" s="71"/>
      <c r="Q55" s="71"/>
      <c r="R55" s="72">
        <v>3.7</v>
      </c>
      <c r="S55" s="72">
        <v>3.2</v>
      </c>
      <c r="T55" s="73"/>
      <c r="U55" s="74"/>
    </row>
    <row r="56" spans="1:21" ht="38.25" customHeight="1" x14ac:dyDescent="0.3">
      <c r="A56" s="62">
        <v>43836</v>
      </c>
      <c r="B56" s="63">
        <v>0.75870370370370377</v>
      </c>
      <c r="C56" s="64"/>
      <c r="D56" s="64">
        <v>30</v>
      </c>
      <c r="E56" s="92">
        <v>2</v>
      </c>
      <c r="F56" s="36" t="s">
        <v>50</v>
      </c>
      <c r="G56" s="36" t="s">
        <v>4</v>
      </c>
      <c r="H56" s="66"/>
      <c r="I56" s="67"/>
      <c r="J56" s="67"/>
      <c r="K56" s="68">
        <v>2900</v>
      </c>
      <c r="L56" s="69"/>
      <c r="M56" s="69"/>
      <c r="N56" s="32"/>
      <c r="O56" s="82">
        <v>0.5</v>
      </c>
      <c r="P56" s="71"/>
      <c r="Q56" s="71"/>
      <c r="R56" s="72" t="s">
        <v>2</v>
      </c>
      <c r="S56" s="72" t="s">
        <v>2</v>
      </c>
      <c r="T56" s="73"/>
      <c r="U56" s="74"/>
    </row>
    <row r="57" spans="1:21" ht="38.25" customHeight="1" x14ac:dyDescent="0.3">
      <c r="A57" s="62">
        <v>43836</v>
      </c>
      <c r="B57" s="63">
        <v>0.75891203703703702</v>
      </c>
      <c r="C57" s="64"/>
      <c r="D57" s="64">
        <v>0</v>
      </c>
      <c r="E57" s="92">
        <v>2</v>
      </c>
      <c r="F57" s="36" t="s">
        <v>208</v>
      </c>
      <c r="G57" s="36" t="s">
        <v>2</v>
      </c>
      <c r="H57" s="66"/>
      <c r="I57" s="67"/>
      <c r="J57" s="67"/>
      <c r="K57" s="76">
        <v>2900</v>
      </c>
      <c r="L57" s="69"/>
      <c r="M57" s="69"/>
      <c r="N57" s="32"/>
      <c r="O57" s="82">
        <v>0.5</v>
      </c>
      <c r="P57" s="71"/>
      <c r="Q57" s="71"/>
      <c r="R57" s="72">
        <v>4.2</v>
      </c>
      <c r="S57" s="72">
        <v>4.3</v>
      </c>
      <c r="T57" s="73"/>
      <c r="U57" s="74"/>
    </row>
    <row r="58" spans="1:21" ht="38.25" customHeight="1" x14ac:dyDescent="0.3">
      <c r="A58" s="62">
        <v>43836</v>
      </c>
      <c r="B58" s="63">
        <v>0.75901620370370371</v>
      </c>
      <c r="C58" s="64"/>
      <c r="D58" s="64" t="s">
        <v>2</v>
      </c>
      <c r="E58" s="65" t="s">
        <v>2</v>
      </c>
      <c r="F58" s="36" t="s">
        <v>7</v>
      </c>
      <c r="G58" s="36" t="s">
        <v>2</v>
      </c>
      <c r="H58" s="66"/>
      <c r="I58" s="67"/>
      <c r="J58" s="67"/>
      <c r="K58" s="76" t="s">
        <v>2</v>
      </c>
      <c r="L58" s="69"/>
      <c r="M58" s="69"/>
      <c r="N58" s="32"/>
      <c r="O58" s="82" t="s">
        <v>2</v>
      </c>
      <c r="P58" s="71"/>
      <c r="Q58" s="71"/>
      <c r="R58" s="72" t="s">
        <v>2</v>
      </c>
      <c r="S58" s="72" t="s">
        <v>2</v>
      </c>
      <c r="T58" s="73"/>
      <c r="U58" s="79" t="s">
        <v>209</v>
      </c>
    </row>
    <row r="59" spans="1:21" ht="38.25" customHeight="1" x14ac:dyDescent="0.3">
      <c r="A59" s="62">
        <v>43838</v>
      </c>
      <c r="B59" s="63">
        <v>0.41153935185185181</v>
      </c>
      <c r="C59" s="64"/>
      <c r="D59" s="64">
        <v>30</v>
      </c>
      <c r="E59" s="77">
        <v>3</v>
      </c>
      <c r="F59" s="36" t="s">
        <v>50</v>
      </c>
      <c r="G59" s="35" t="s">
        <v>97</v>
      </c>
      <c r="H59" s="66"/>
      <c r="I59" s="67"/>
      <c r="J59" s="67"/>
      <c r="K59" s="76">
        <v>2900</v>
      </c>
      <c r="L59" s="69"/>
      <c r="M59" s="69"/>
      <c r="N59" s="32"/>
      <c r="O59" s="91">
        <v>0</v>
      </c>
      <c r="P59" s="71"/>
      <c r="Q59" s="71"/>
      <c r="R59" s="72" t="s">
        <v>2</v>
      </c>
      <c r="S59" s="72" t="s">
        <v>2</v>
      </c>
      <c r="T59" s="73"/>
      <c r="U59" s="74"/>
    </row>
    <row r="60" spans="1:21" ht="38.25" customHeight="1" x14ac:dyDescent="0.3">
      <c r="A60" s="62">
        <v>43838</v>
      </c>
      <c r="B60" s="63">
        <v>0.42909722222222224</v>
      </c>
      <c r="C60" s="64"/>
      <c r="D60" s="64">
        <v>5</v>
      </c>
      <c r="E60" s="77">
        <v>3</v>
      </c>
      <c r="F60" s="36" t="s">
        <v>50</v>
      </c>
      <c r="G60" s="36" t="s">
        <v>4</v>
      </c>
      <c r="H60" s="66"/>
      <c r="I60" s="67"/>
      <c r="J60" s="67"/>
      <c r="K60" s="68">
        <v>2000</v>
      </c>
      <c r="L60" s="69"/>
      <c r="M60" s="69"/>
      <c r="N60" s="32"/>
      <c r="O60" s="82">
        <v>0</v>
      </c>
      <c r="P60" s="71"/>
      <c r="Q60" s="71"/>
      <c r="R60" s="72" t="s">
        <v>2</v>
      </c>
      <c r="S60" s="72" t="s">
        <v>2</v>
      </c>
      <c r="T60" s="73"/>
      <c r="U60" s="74"/>
    </row>
    <row r="61" spans="1:21" ht="38.25" customHeight="1" x14ac:dyDescent="0.3">
      <c r="A61" s="62"/>
      <c r="B61" s="80"/>
      <c r="C61" s="81"/>
      <c r="D61" s="81" t="s">
        <v>2</v>
      </c>
      <c r="E61" s="65" t="s">
        <v>2</v>
      </c>
      <c r="F61" s="36" t="s">
        <v>103</v>
      </c>
      <c r="G61" s="36" t="s">
        <v>2</v>
      </c>
      <c r="H61" s="66"/>
      <c r="I61" s="66"/>
      <c r="J61" s="66"/>
      <c r="K61" s="76">
        <v>2600</v>
      </c>
      <c r="L61" s="69" t="s">
        <v>2</v>
      </c>
      <c r="M61" s="69"/>
      <c r="N61" s="32" t="s">
        <v>2</v>
      </c>
      <c r="O61" s="82">
        <v>0</v>
      </c>
      <c r="P61" s="71"/>
      <c r="Q61" s="71"/>
      <c r="R61" s="72"/>
      <c r="S61" s="72"/>
      <c r="T61" s="73"/>
      <c r="U61" s="74"/>
    </row>
  </sheetData>
  <protectedRanges>
    <protectedRange algorithmName="SHA-512" hashValue="4NhdbTyulRXZkBEq7Mn6+VKgOZdKtlfacISEdowO5xIUCa7OlX5LdkGNxnngfJg/0C5iD9A0fDWAkH//tV2WEg==" saltValue="4IZ1hkVaCZH46leZVUmsLQ==" spinCount="100000" sqref="A2:G3" name="Range1"/>
  </protectedRanges>
  <mergeCells count="2">
    <mergeCell ref="H1:O1"/>
    <mergeCell ref="P1:T1"/>
  </mergeCells>
  <dataValidations count="1">
    <dataValidation showInputMessage="1" showErrorMessage="1" sqref="A13:B13 A4:A12 A14:A61"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CCE6A557-97BC-4b89-ADB6-D9C93CAAB3DF}">
      <x14:dataValidations xmlns:xm="http://schemas.microsoft.com/office/excel/2006/main" count="7">
        <x14:dataValidation type="list" errorStyle="warning" allowBlank="1" showInputMessage="1" showErrorMessage="1" xr:uid="{8CB59A59-67F1-4AD3-8683-379B68590BB0}">
          <x14:formula1>
            <xm:f>'Categories definitions'!$D$2:$D$1048576</xm:f>
          </x14:formula1>
          <xm:sqref>L62:N1048576 N4:N1048576</xm:sqref>
        </x14:dataValidation>
        <x14:dataValidation type="list" errorStyle="warning" allowBlank="1" showInputMessage="1" showErrorMessage="1" errorTitle="Category not listed" error="Go to the _x000a_Categories tab to update the category list" xr:uid="{00000000-0002-0000-0300-000001000000}">
          <x14:formula1>
            <xm:f>'Categories definitions'!$B$2:$B$1048576</xm:f>
          </x14:formula1>
          <xm:sqref>F4:F5 F35:F36 F61:F1048576</xm:sqref>
        </x14:dataValidation>
        <x14:dataValidation type="list" errorStyle="warning" allowBlank="1" showInputMessage="1" showErrorMessage="1" errorTitle="Category not listed" error="Go to Categories tab to update the list of categories" xr:uid="{00000000-0002-0000-0300-000002000000}">
          <x14:formula1>
            <xm:f>'Categories definitions'!$C$2:$C$1048576</xm:f>
          </x14:formula1>
          <xm:sqref>G4:G5 G37 G49 G59 G61:G1048576</xm:sqref>
        </x14:dataValidation>
        <x14:dataValidation type="list" errorStyle="warning" allowBlank="1" showInputMessage="1" showErrorMessage="1" errorTitle="Category not listed" error="Go to Categories tab to update the list of categories" xr:uid="{92923E90-E0CE-4A79-8AA2-74F124C94C10}">
          <x14:formula1>
            <xm:f>'C:\Data\IVS\Didrik\IV2_Seq1 - Water simulated HVAD thrombosis - Post-pump - Pilot\Noted\[IV2_Seq1 - Notes v2.0.xlsm]Categories'!#REF!</xm:f>
          </x14:formula1>
          <xm:sqref>G6:G36</xm:sqref>
        </x14:dataValidation>
        <x14:dataValidation type="list" errorStyle="warning" allowBlank="1" showInputMessage="1" showErrorMessage="1" errorTitle="Category not listed" error="Go to the _x000a_Categories tab to update the category list" xr:uid="{5E0BFD72-F7DF-472E-B6B0-8411AF9AA001}">
          <x14:formula1>
            <xm:f>'C:\Data\IVS\Didrik\IV2_Seq1 - Water simulated HVAD thrombosis - Post-pump - Pilot\Noted\[IV2_Seq1 - Notes v2.0.xlsm]Categories'!#REF!</xm:f>
          </x14:formula1>
          <xm:sqref>F6:F34</xm:sqref>
        </x14:dataValidation>
        <x14:dataValidation type="list" errorStyle="warning" allowBlank="1" showInputMessage="1" showErrorMessage="1" errorTitle="Category not listed" error="Go to Categories tab to update the list of categories" xr:uid="{4FE4B7CC-B517-4C89-BE92-4B56FFA80D7D}">
          <x14:formula1>
            <xm:f>'C:\Data\IVS\Didrik\IV2_Seq1 - Water simulated HVAD thrombosis - Post-pump - Pilot\Noted\[IV2_Seq1 - Notes v2.0.xlsm]Categories'!#REF!</xm:f>
          </x14:formula1>
          <xm:sqref>G38:G48 G50:G58 G60</xm:sqref>
        </x14:dataValidation>
        <x14:dataValidation type="list" errorStyle="warning" allowBlank="1" showInputMessage="1" showErrorMessage="1" errorTitle="Category not listed" error="Go to the _x000a_Categories tab to update the category list" xr:uid="{77B3D449-1542-48EF-A278-0555B17D82D8}">
          <x14:formula1>
            <xm:f>'C:\Data\IVS\Didrik\IV2_Seq1 - Water simulated HVAD thrombosis - Post-pump - Pilot\Noted\[IV2_Seq1 - Notes v2.0.xlsm]Categories'!#REF!</xm:f>
          </x14:formula1>
          <xm:sqref>F37:F60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H27"/>
  <sheetViews>
    <sheetView showGridLines="0" topLeftCell="A7" workbookViewId="0">
      <selection activeCell="D9" sqref="D9"/>
    </sheetView>
  </sheetViews>
  <sheetFormatPr defaultColWidth="36.33203125" defaultRowHeight="14.4" x14ac:dyDescent="0.3"/>
  <cols>
    <col min="1" max="1" width="3.109375" customWidth="1"/>
    <col min="2" max="2" width="35.6640625" customWidth="1"/>
    <col min="3" max="3" width="5.33203125" style="51" bestFit="1" customWidth="1"/>
    <col min="4" max="4" width="26.5546875" style="58" customWidth="1"/>
    <col min="5" max="5" width="27.21875" customWidth="1"/>
    <col min="6" max="6" width="27.33203125" bestFit="1" customWidth="1"/>
    <col min="7" max="7" width="27.33203125" customWidth="1"/>
    <col min="8" max="8" width="47.44140625" customWidth="1"/>
  </cols>
  <sheetData>
    <row r="2" spans="2:8" x14ac:dyDescent="0.3">
      <c r="B2" s="59" t="s">
        <v>136</v>
      </c>
      <c r="C2" s="59"/>
      <c r="D2" s="59"/>
      <c r="E2" s="59"/>
      <c r="F2" s="59"/>
      <c r="G2" s="59"/>
      <c r="H2" s="59"/>
    </row>
    <row r="3" spans="2:8" x14ac:dyDescent="0.3">
      <c r="B3" s="48" t="s">
        <v>59</v>
      </c>
      <c r="C3" s="48" t="s">
        <v>95</v>
      </c>
      <c r="D3" s="49" t="s">
        <v>172</v>
      </c>
      <c r="E3" s="48" t="s">
        <v>62</v>
      </c>
      <c r="F3" s="49" t="s">
        <v>60</v>
      </c>
      <c r="G3" s="49" t="s">
        <v>133</v>
      </c>
      <c r="H3" s="48" t="s">
        <v>131</v>
      </c>
    </row>
    <row r="4" spans="2:8" s="57" customFormat="1" ht="31.2" x14ac:dyDescent="0.3">
      <c r="B4" s="55" t="s">
        <v>187</v>
      </c>
      <c r="C4" s="56">
        <v>1</v>
      </c>
      <c r="D4" s="55" t="s">
        <v>189</v>
      </c>
      <c r="E4" s="55" t="s">
        <v>188</v>
      </c>
      <c r="F4" s="55" t="s">
        <v>148</v>
      </c>
      <c r="G4" s="55" t="s">
        <v>2</v>
      </c>
      <c r="H4" s="55" t="s">
        <v>2</v>
      </c>
    </row>
    <row r="5" spans="2:8" s="57" customFormat="1" ht="15.6" x14ac:dyDescent="0.3">
      <c r="B5" s="55" t="s">
        <v>197</v>
      </c>
      <c r="C5" s="56">
        <v>1</v>
      </c>
      <c r="D5" s="55" t="s">
        <v>196</v>
      </c>
      <c r="E5" s="55" t="s">
        <v>188</v>
      </c>
      <c r="F5" s="55" t="s">
        <v>148</v>
      </c>
      <c r="G5" s="55" t="s">
        <v>2</v>
      </c>
      <c r="H5" s="55" t="s">
        <v>2</v>
      </c>
    </row>
    <row r="6" spans="2:8" s="57" customFormat="1" ht="46.8" x14ac:dyDescent="0.3">
      <c r="B6" s="55" t="s">
        <v>184</v>
      </c>
      <c r="C6" s="56">
        <v>1</v>
      </c>
      <c r="D6" s="55" t="s">
        <v>175</v>
      </c>
      <c r="E6" s="55" t="s">
        <v>176</v>
      </c>
      <c r="F6" s="55" t="s">
        <v>148</v>
      </c>
      <c r="G6" s="55" t="s">
        <v>2</v>
      </c>
      <c r="H6" s="55" t="s">
        <v>2</v>
      </c>
    </row>
    <row r="7" spans="2:8" s="57" customFormat="1" ht="46.8" x14ac:dyDescent="0.3">
      <c r="B7" s="55" t="s">
        <v>183</v>
      </c>
      <c r="C7" s="56">
        <v>1</v>
      </c>
      <c r="D7" s="55" t="s">
        <v>175</v>
      </c>
      <c r="E7" s="55" t="s">
        <v>176</v>
      </c>
      <c r="F7" s="55" t="s">
        <v>148</v>
      </c>
      <c r="G7" s="55" t="s">
        <v>2</v>
      </c>
      <c r="H7" s="55" t="s">
        <v>2</v>
      </c>
    </row>
    <row r="8" spans="2:8" s="57" customFormat="1" ht="46.8" x14ac:dyDescent="0.3">
      <c r="B8" s="55" t="s">
        <v>185</v>
      </c>
      <c r="C8" s="56">
        <v>1</v>
      </c>
      <c r="D8" s="55" t="s">
        <v>186</v>
      </c>
      <c r="E8" s="55" t="s">
        <v>176</v>
      </c>
      <c r="F8" s="55" t="s">
        <v>148</v>
      </c>
      <c r="G8" s="55"/>
      <c r="H8" s="55"/>
    </row>
    <row r="9" spans="2:8" s="57" customFormat="1" ht="46.8" x14ac:dyDescent="0.3">
      <c r="B9" s="55" t="s">
        <v>193</v>
      </c>
      <c r="C9" s="56">
        <v>1</v>
      </c>
      <c r="D9" s="55" t="s">
        <v>204</v>
      </c>
      <c r="E9" s="55" t="s">
        <v>203</v>
      </c>
      <c r="F9" s="55" t="s">
        <v>148</v>
      </c>
      <c r="G9" s="55" t="s">
        <v>2</v>
      </c>
      <c r="H9" s="55" t="s">
        <v>2</v>
      </c>
    </row>
    <row r="10" spans="2:8" s="57" customFormat="1" ht="31.2" x14ac:dyDescent="0.3">
      <c r="B10" s="55" t="s">
        <v>179</v>
      </c>
      <c r="C10" s="56">
        <v>1</v>
      </c>
      <c r="D10" s="55" t="s">
        <v>174</v>
      </c>
      <c r="E10" s="55" t="s">
        <v>147</v>
      </c>
      <c r="F10" s="55" t="s">
        <v>148</v>
      </c>
      <c r="G10" s="55" t="s">
        <v>2</v>
      </c>
      <c r="H10" s="55" t="s">
        <v>2</v>
      </c>
    </row>
    <row r="11" spans="2:8" s="57" customFormat="1" ht="15.6" x14ac:dyDescent="0.3">
      <c r="B11" s="55" t="s">
        <v>195</v>
      </c>
      <c r="C11" s="56">
        <v>1</v>
      </c>
      <c r="D11" s="55" t="s">
        <v>194</v>
      </c>
      <c r="E11" s="55" t="s">
        <v>176</v>
      </c>
      <c r="F11" s="55" t="s">
        <v>148</v>
      </c>
      <c r="G11" s="55" t="s">
        <v>2</v>
      </c>
      <c r="H11" s="55" t="s">
        <v>2</v>
      </c>
    </row>
    <row r="12" spans="2:8" s="57" customFormat="1" ht="15.6" x14ac:dyDescent="0.3">
      <c r="B12" s="55" t="s">
        <v>202</v>
      </c>
      <c r="C12" s="56">
        <v>1</v>
      </c>
      <c r="D12" s="55"/>
      <c r="E12" s="55"/>
      <c r="F12" s="55" t="s">
        <v>148</v>
      </c>
      <c r="G12" s="55" t="s">
        <v>2</v>
      </c>
      <c r="H12" s="55" t="s">
        <v>2</v>
      </c>
    </row>
    <row r="13" spans="2:8" s="57" customFormat="1" ht="31.2" x14ac:dyDescent="0.3">
      <c r="B13" s="55" t="s">
        <v>190</v>
      </c>
      <c r="C13" s="56">
        <v>1</v>
      </c>
      <c r="D13" s="55" t="s">
        <v>177</v>
      </c>
      <c r="E13" s="55" t="s">
        <v>118</v>
      </c>
      <c r="F13" s="55" t="s">
        <v>148</v>
      </c>
      <c r="G13" s="55" t="s">
        <v>2</v>
      </c>
      <c r="H13" s="55" t="s">
        <v>2</v>
      </c>
    </row>
    <row r="14" spans="2:8" s="57" customFormat="1" ht="15.6" x14ac:dyDescent="0.3">
      <c r="B14" s="55" t="s">
        <v>191</v>
      </c>
      <c r="C14" s="56">
        <v>1</v>
      </c>
      <c r="D14" s="55" t="s">
        <v>67</v>
      </c>
      <c r="E14" s="55" t="s">
        <v>67</v>
      </c>
      <c r="F14" s="55" t="s">
        <v>148</v>
      </c>
      <c r="G14" s="55" t="s">
        <v>2</v>
      </c>
      <c r="H14" s="55" t="s">
        <v>2</v>
      </c>
    </row>
    <row r="15" spans="2:8" ht="31.2" x14ac:dyDescent="0.3">
      <c r="B15" s="4" t="s">
        <v>94</v>
      </c>
      <c r="C15" s="50">
        <v>2</v>
      </c>
      <c r="D15" s="4" t="s">
        <v>67</v>
      </c>
      <c r="E15" s="4" t="s">
        <v>130</v>
      </c>
      <c r="F15" s="4" t="s">
        <v>65</v>
      </c>
      <c r="G15" s="4" t="s">
        <v>158</v>
      </c>
      <c r="H15" s="4" t="s">
        <v>159</v>
      </c>
    </row>
    <row r="16" spans="2:8" ht="31.2" x14ac:dyDescent="0.3">
      <c r="B16" s="4" t="s">
        <v>94</v>
      </c>
      <c r="C16" s="50">
        <v>3</v>
      </c>
      <c r="D16" s="4" t="s">
        <v>67</v>
      </c>
      <c r="E16" s="4" t="s">
        <v>130</v>
      </c>
      <c r="F16" s="4" t="s">
        <v>64</v>
      </c>
      <c r="G16" s="4" t="s">
        <v>160</v>
      </c>
      <c r="H16" s="4" t="s">
        <v>140</v>
      </c>
    </row>
    <row r="17" spans="2:8" ht="31.2" x14ac:dyDescent="0.3">
      <c r="B17" s="4" t="s">
        <v>134</v>
      </c>
      <c r="C17" s="50">
        <v>1</v>
      </c>
      <c r="D17" s="4" t="s">
        <v>2</v>
      </c>
      <c r="E17" s="4" t="s">
        <v>63</v>
      </c>
      <c r="F17" s="4" t="s">
        <v>2</v>
      </c>
      <c r="G17" s="4" t="s">
        <v>135</v>
      </c>
      <c r="H17" s="4" t="s">
        <v>2</v>
      </c>
    </row>
    <row r="18" spans="2:8" ht="15.6" x14ac:dyDescent="0.3">
      <c r="B18" s="4" t="s">
        <v>181</v>
      </c>
      <c r="C18" s="50">
        <v>1</v>
      </c>
      <c r="D18" s="4" t="s">
        <v>180</v>
      </c>
      <c r="E18" s="4" t="s">
        <v>132</v>
      </c>
      <c r="F18" s="4" t="s">
        <v>69</v>
      </c>
      <c r="G18" s="4" t="s">
        <v>145</v>
      </c>
      <c r="H18" s="4" t="s">
        <v>137</v>
      </c>
    </row>
    <row r="19" spans="2:8" ht="15.6" x14ac:dyDescent="0.3">
      <c r="B19" s="4" t="s">
        <v>181</v>
      </c>
      <c r="C19" s="50">
        <v>2</v>
      </c>
      <c r="D19" s="4" t="s">
        <v>180</v>
      </c>
      <c r="E19" s="4" t="s">
        <v>132</v>
      </c>
      <c r="F19" s="4" t="s">
        <v>68</v>
      </c>
      <c r="G19" s="4" t="s">
        <v>145</v>
      </c>
      <c r="H19" s="4" t="s">
        <v>137</v>
      </c>
    </row>
    <row r="20" spans="2:8" s="57" customFormat="1" ht="31.2" x14ac:dyDescent="0.3">
      <c r="B20" s="55" t="s">
        <v>66</v>
      </c>
      <c r="C20" s="56">
        <v>1</v>
      </c>
      <c r="D20" s="55" t="s">
        <v>161</v>
      </c>
      <c r="E20" s="55" t="s">
        <v>162</v>
      </c>
      <c r="F20" s="55" t="s">
        <v>163</v>
      </c>
      <c r="G20" s="55" t="s">
        <v>139</v>
      </c>
      <c r="H20" s="55" t="s">
        <v>138</v>
      </c>
    </row>
    <row r="21" spans="2:8" ht="31.2" x14ac:dyDescent="0.3">
      <c r="B21" s="4" t="s">
        <v>66</v>
      </c>
      <c r="C21" s="50">
        <v>1</v>
      </c>
      <c r="D21" s="4" t="s">
        <v>182</v>
      </c>
      <c r="E21" s="4" t="s">
        <v>182</v>
      </c>
      <c r="F21" s="4" t="s">
        <v>141</v>
      </c>
      <c r="G21" s="4" t="s">
        <v>171</v>
      </c>
      <c r="H21" s="4" t="s">
        <v>138</v>
      </c>
    </row>
    <row r="22" spans="2:8" ht="31.2" x14ac:dyDescent="0.3">
      <c r="B22" s="4" t="s">
        <v>66</v>
      </c>
      <c r="C22" s="50">
        <v>2</v>
      </c>
      <c r="D22" s="4" t="s">
        <v>182</v>
      </c>
      <c r="E22" s="4" t="s">
        <v>182</v>
      </c>
      <c r="F22" s="4" t="s">
        <v>142</v>
      </c>
      <c r="G22" s="4" t="s">
        <v>171</v>
      </c>
      <c r="H22" s="4" t="s">
        <v>138</v>
      </c>
    </row>
    <row r="23" spans="2:8" s="57" customFormat="1" ht="78" x14ac:dyDescent="0.3">
      <c r="B23" s="55" t="s">
        <v>66</v>
      </c>
      <c r="C23" s="56">
        <v>2</v>
      </c>
      <c r="D23" s="55" t="s">
        <v>2</v>
      </c>
      <c r="E23" s="55" t="s">
        <v>144</v>
      </c>
      <c r="F23" s="55" t="s">
        <v>143</v>
      </c>
      <c r="G23" s="55" t="s">
        <v>171</v>
      </c>
      <c r="H23" s="55" t="s">
        <v>138</v>
      </c>
    </row>
    <row r="24" spans="2:8" s="57" customFormat="1" ht="15.6" x14ac:dyDescent="0.3">
      <c r="B24" s="55" t="s">
        <v>75</v>
      </c>
      <c r="C24" s="56">
        <v>1</v>
      </c>
      <c r="D24" s="55" t="s">
        <v>67</v>
      </c>
      <c r="E24" s="55" t="s">
        <v>67</v>
      </c>
      <c r="F24" s="55" t="s">
        <v>70</v>
      </c>
      <c r="G24" s="55"/>
      <c r="H24" s="55" t="s">
        <v>75</v>
      </c>
    </row>
    <row r="25" spans="2:8" s="57" customFormat="1" ht="31.2" x14ac:dyDescent="0.3">
      <c r="B25" s="55" t="s">
        <v>93</v>
      </c>
      <c r="C25" s="56">
        <v>1</v>
      </c>
      <c r="D25" s="55" t="s">
        <v>2</v>
      </c>
      <c r="E25" s="55" t="s">
        <v>119</v>
      </c>
      <c r="F25" s="55" t="s">
        <v>2</v>
      </c>
      <c r="G25" s="55" t="s">
        <v>67</v>
      </c>
      <c r="H25" s="55" t="s">
        <v>138</v>
      </c>
    </row>
    <row r="26" spans="2:8" ht="15.6" x14ac:dyDescent="0.3">
      <c r="B26" s="4" t="s">
        <v>65</v>
      </c>
      <c r="C26" s="50">
        <v>3</v>
      </c>
      <c r="D26" s="4" t="s">
        <v>117</v>
      </c>
      <c r="E26" s="4" t="s">
        <v>71</v>
      </c>
      <c r="F26" s="4" t="s">
        <v>2</v>
      </c>
      <c r="G26" s="4" t="s">
        <v>2</v>
      </c>
      <c r="H26" s="4" t="s">
        <v>2</v>
      </c>
    </row>
    <row r="27" spans="2:8" ht="15.6" x14ac:dyDescent="0.3">
      <c r="B27" s="4" t="s">
        <v>72</v>
      </c>
      <c r="C27" s="50">
        <v>1</v>
      </c>
      <c r="D27" s="4" t="s">
        <v>117</v>
      </c>
      <c r="E27" s="4" t="s">
        <v>71</v>
      </c>
      <c r="F27" s="4" t="s">
        <v>2</v>
      </c>
      <c r="G27" s="4" t="s">
        <v>146</v>
      </c>
      <c r="H27" s="4" t="s">
        <v>70</v>
      </c>
    </row>
  </sheetData>
  <sortState xmlns:xlrd2="http://schemas.microsoft.com/office/spreadsheetml/2017/richdata2" ref="B4:H14">
    <sortCondition ref="B4"/>
  </sortState>
  <mergeCells count="1">
    <mergeCell ref="B2:H2"/>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33"/>
  <sheetViews>
    <sheetView workbookViewId="0">
      <selection activeCell="C6" sqref="C6"/>
    </sheetView>
  </sheetViews>
  <sheetFormatPr defaultColWidth="9.109375" defaultRowHeight="14.4" x14ac:dyDescent="0.3"/>
  <cols>
    <col min="1" max="1" width="19.6640625" bestFit="1" customWidth="1"/>
    <col min="2" max="2" width="28.33203125" bestFit="1" customWidth="1"/>
    <col min="3" max="3" width="26.6640625" bestFit="1" customWidth="1"/>
    <col min="4" max="4" width="26.33203125" customWidth="1"/>
  </cols>
  <sheetData>
    <row r="1" spans="1:4" x14ac:dyDescent="0.3">
      <c r="A1" s="5" t="s">
        <v>127</v>
      </c>
      <c r="B1" s="5" t="s">
        <v>124</v>
      </c>
      <c r="C1" s="5" t="s">
        <v>125</v>
      </c>
      <c r="D1" s="5" t="s">
        <v>126</v>
      </c>
    </row>
    <row r="2" spans="1:4" x14ac:dyDescent="0.3">
      <c r="A2" t="s">
        <v>11</v>
      </c>
      <c r="B2" t="s">
        <v>2</v>
      </c>
      <c r="C2" t="s">
        <v>2</v>
      </c>
      <c r="D2" s="22" t="s">
        <v>2</v>
      </c>
    </row>
    <row r="3" spans="1:4" x14ac:dyDescent="0.3">
      <c r="A3" t="s">
        <v>55</v>
      </c>
      <c r="B3" t="s">
        <v>3</v>
      </c>
      <c r="C3" t="s">
        <v>156</v>
      </c>
      <c r="D3" t="s">
        <v>164</v>
      </c>
    </row>
    <row r="4" spans="1:4" x14ac:dyDescent="0.3">
      <c r="A4" t="s">
        <v>10</v>
      </c>
      <c r="B4" t="s">
        <v>14</v>
      </c>
      <c r="C4" t="s">
        <v>157</v>
      </c>
      <c r="D4" t="s">
        <v>192</v>
      </c>
    </row>
    <row r="5" spans="1:4" x14ac:dyDescent="0.3">
      <c r="A5" t="s">
        <v>56</v>
      </c>
      <c r="B5" t="s">
        <v>13</v>
      </c>
      <c r="C5" t="s">
        <v>116</v>
      </c>
      <c r="D5" t="s">
        <v>178</v>
      </c>
    </row>
    <row r="6" spans="1:4" x14ac:dyDescent="0.3">
      <c r="A6" t="s">
        <v>57</v>
      </c>
      <c r="B6" t="s">
        <v>108</v>
      </c>
      <c r="C6" t="s">
        <v>115</v>
      </c>
      <c r="D6" t="s">
        <v>178</v>
      </c>
    </row>
    <row r="7" spans="1:4" x14ac:dyDescent="0.3">
      <c r="A7" t="s">
        <v>53</v>
      </c>
      <c r="B7" t="s">
        <v>50</v>
      </c>
      <c r="C7" t="s">
        <v>100</v>
      </c>
      <c r="D7" t="s">
        <v>173</v>
      </c>
    </row>
    <row r="8" spans="1:4" x14ac:dyDescent="0.3">
      <c r="A8" t="s">
        <v>168</v>
      </c>
      <c r="B8" t="s">
        <v>99</v>
      </c>
      <c r="C8" t="s">
        <v>154</v>
      </c>
      <c r="D8" t="s">
        <v>173</v>
      </c>
    </row>
    <row r="9" spans="1:4" x14ac:dyDescent="0.3">
      <c r="A9" t="s">
        <v>5</v>
      </c>
      <c r="B9" t="s">
        <v>98</v>
      </c>
      <c r="C9" t="s">
        <v>155</v>
      </c>
      <c r="D9" t="s">
        <v>150</v>
      </c>
    </row>
    <row r="10" spans="1:4" x14ac:dyDescent="0.3">
      <c r="A10" t="s">
        <v>54</v>
      </c>
      <c r="B10" t="s">
        <v>0</v>
      </c>
      <c r="C10" t="s">
        <v>107</v>
      </c>
      <c r="D10" t="s">
        <v>200</v>
      </c>
    </row>
    <row r="11" spans="1:4" x14ac:dyDescent="0.3">
      <c r="B11" t="s">
        <v>92</v>
      </c>
      <c r="C11" t="s">
        <v>167</v>
      </c>
      <c r="D11" t="s">
        <v>199</v>
      </c>
    </row>
    <row r="12" spans="1:4" x14ac:dyDescent="0.3">
      <c r="B12" t="s">
        <v>7</v>
      </c>
      <c r="C12" t="s">
        <v>166</v>
      </c>
      <c r="D12" t="s">
        <v>198</v>
      </c>
    </row>
    <row r="13" spans="1:4" x14ac:dyDescent="0.3">
      <c r="B13" t="s">
        <v>103</v>
      </c>
      <c r="C13" t="s">
        <v>52</v>
      </c>
      <c r="D13" t="s">
        <v>201</v>
      </c>
    </row>
    <row r="14" spans="1:4" x14ac:dyDescent="0.3">
      <c r="B14" t="s">
        <v>102</v>
      </c>
      <c r="C14" t="s">
        <v>29</v>
      </c>
      <c r="D14" t="s">
        <v>151</v>
      </c>
    </row>
    <row r="15" spans="1:4" x14ac:dyDescent="0.3">
      <c r="B15" t="s">
        <v>101</v>
      </c>
      <c r="C15" t="s">
        <v>170</v>
      </c>
      <c r="D15" t="s">
        <v>149</v>
      </c>
    </row>
    <row r="16" spans="1:4" x14ac:dyDescent="0.3">
      <c r="B16" t="s">
        <v>6</v>
      </c>
      <c r="C16" t="s">
        <v>169</v>
      </c>
    </row>
    <row r="17" spans="3:3" x14ac:dyDescent="0.3">
      <c r="C17" t="s">
        <v>152</v>
      </c>
    </row>
    <row r="18" spans="3:3" x14ac:dyDescent="0.3">
      <c r="C18" t="s">
        <v>153</v>
      </c>
    </row>
    <row r="19" spans="3:3" x14ac:dyDescent="0.3">
      <c r="C19" t="s">
        <v>97</v>
      </c>
    </row>
    <row r="20" spans="3:3" x14ac:dyDescent="0.3">
      <c r="C20" t="s">
        <v>97</v>
      </c>
    </row>
    <row r="21" spans="3:3" x14ac:dyDescent="0.3">
      <c r="C21" t="s">
        <v>51</v>
      </c>
    </row>
    <row r="22" spans="3:3" x14ac:dyDescent="0.3">
      <c r="C22" t="s">
        <v>26</v>
      </c>
    </row>
    <row r="23" spans="3:3" x14ac:dyDescent="0.3">
      <c r="C23" t="s">
        <v>129</v>
      </c>
    </row>
    <row r="24" spans="3:3" x14ac:dyDescent="0.3">
      <c r="C24" t="s">
        <v>128</v>
      </c>
    </row>
    <row r="25" spans="3:3" x14ac:dyDescent="0.3">
      <c r="C25" t="s">
        <v>105</v>
      </c>
    </row>
    <row r="26" spans="3:3" x14ac:dyDescent="0.3">
      <c r="C26" t="s">
        <v>106</v>
      </c>
    </row>
    <row r="27" spans="3:3" x14ac:dyDescent="0.3">
      <c r="C27" t="s">
        <v>4</v>
      </c>
    </row>
    <row r="28" spans="3:3" x14ac:dyDescent="0.3">
      <c r="C28" t="s">
        <v>28</v>
      </c>
    </row>
    <row r="29" spans="3:3" x14ac:dyDescent="0.3">
      <c r="C29" t="s">
        <v>27</v>
      </c>
    </row>
    <row r="30" spans="3:3" x14ac:dyDescent="0.3">
      <c r="C30" t="s">
        <v>15</v>
      </c>
    </row>
    <row r="31" spans="3:3" x14ac:dyDescent="0.3">
      <c r="C31" t="s">
        <v>16</v>
      </c>
    </row>
    <row r="32" spans="3:3" x14ac:dyDescent="0.3">
      <c r="C32" t="s">
        <v>104</v>
      </c>
    </row>
    <row r="33" spans="3:3" x14ac:dyDescent="0.3">
      <c r="C33" t="s">
        <v>6</v>
      </c>
    </row>
  </sheetData>
  <sortState xmlns:xlrd2="http://schemas.microsoft.com/office/spreadsheetml/2017/richdata2" ref="D2:D31">
    <sortCondition ref="D1"/>
  </sortState>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B28"/>
  <sheetViews>
    <sheetView showGridLines="0" workbookViewId="0">
      <selection activeCell="C6" sqref="C6"/>
    </sheetView>
  </sheetViews>
  <sheetFormatPr defaultColWidth="8.88671875" defaultRowHeight="15.6" x14ac:dyDescent="0.3"/>
  <cols>
    <col min="1" max="1" width="8.88671875" style="12" customWidth="1"/>
    <col min="2" max="2" width="96.33203125" style="15" customWidth="1"/>
    <col min="3" max="16384" width="8.88671875" style="14"/>
  </cols>
  <sheetData>
    <row r="2" spans="1:2" x14ac:dyDescent="0.3">
      <c r="B2" s="13" t="s">
        <v>21</v>
      </c>
    </row>
    <row r="3" spans="1:2" x14ac:dyDescent="0.3">
      <c r="A3" s="12">
        <v>1.1000000000000001</v>
      </c>
      <c r="B3" s="15" t="s">
        <v>23</v>
      </c>
    </row>
    <row r="4" spans="1:2" ht="31.2" x14ac:dyDescent="0.3">
      <c r="A4" s="12">
        <v>1.2</v>
      </c>
      <c r="B4" s="15" t="s">
        <v>73</v>
      </c>
    </row>
    <row r="6" spans="1:2" x14ac:dyDescent="0.3">
      <c r="B6" s="13" t="s">
        <v>78</v>
      </c>
    </row>
    <row r="7" spans="1:2" x14ac:dyDescent="0.3">
      <c r="A7" s="12">
        <v>2.1</v>
      </c>
      <c r="B7" s="15" t="s">
        <v>79</v>
      </c>
    </row>
    <row r="9" spans="1:2" x14ac:dyDescent="0.3">
      <c r="B9" s="13" t="s">
        <v>24</v>
      </c>
    </row>
    <row r="10" spans="1:2" ht="31.2" x14ac:dyDescent="0.3">
      <c r="A10" s="12">
        <v>3.1</v>
      </c>
      <c r="B10" s="15" t="s">
        <v>25</v>
      </c>
    </row>
    <row r="12" spans="1:2" x14ac:dyDescent="0.3">
      <c r="B12" s="13" t="s">
        <v>22</v>
      </c>
    </row>
    <row r="13" spans="1:2" ht="15" customHeight="1" x14ac:dyDescent="0.3">
      <c r="A13" s="12">
        <v>4.0999999999999996</v>
      </c>
      <c r="B13" s="15" t="s">
        <v>82</v>
      </c>
    </row>
    <row r="14" spans="1:2" x14ac:dyDescent="0.3">
      <c r="A14" s="12">
        <v>4.2</v>
      </c>
      <c r="B14" s="15" t="s">
        <v>85</v>
      </c>
    </row>
    <row r="15" spans="1:2" x14ac:dyDescent="0.3">
      <c r="A15" s="12">
        <v>4.3</v>
      </c>
      <c r="B15" s="15" t="s">
        <v>76</v>
      </c>
    </row>
    <row r="16" spans="1:2" ht="4.2" customHeight="1" x14ac:dyDescent="0.3"/>
    <row r="17" spans="1:2" ht="31.2" x14ac:dyDescent="0.3">
      <c r="B17" s="15" t="s">
        <v>86</v>
      </c>
    </row>
    <row r="18" spans="1:2" ht="4.2" customHeight="1" x14ac:dyDescent="0.3"/>
    <row r="19" spans="1:2" x14ac:dyDescent="0.3">
      <c r="B19" s="15" t="s">
        <v>88</v>
      </c>
    </row>
    <row r="20" spans="1:2" ht="4.2" customHeight="1" x14ac:dyDescent="0.3"/>
    <row r="21" spans="1:2" ht="29.4" customHeight="1" x14ac:dyDescent="0.3">
      <c r="B21" s="15" t="s">
        <v>87</v>
      </c>
    </row>
    <row r="23" spans="1:2" x14ac:dyDescent="0.3">
      <c r="B23" s="13" t="s">
        <v>19</v>
      </c>
    </row>
    <row r="24" spans="1:2" x14ac:dyDescent="0.3">
      <c r="A24" s="12">
        <v>5.0999999999999996</v>
      </c>
      <c r="B24" s="15" t="s">
        <v>74</v>
      </c>
    </row>
    <row r="25" spans="1:2" x14ac:dyDescent="0.3">
      <c r="A25" s="12">
        <v>5.2</v>
      </c>
      <c r="B25" s="15" t="s">
        <v>20</v>
      </c>
    </row>
    <row r="27" spans="1:2" x14ac:dyDescent="0.3">
      <c r="B27" s="16" t="s">
        <v>83</v>
      </c>
    </row>
    <row r="28" spans="1:2" x14ac:dyDescent="0.3">
      <c r="B28" s="17" t="s">
        <v>84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9</vt:i4>
      </vt:variant>
    </vt:vector>
  </HeadingPairs>
  <TitlesOfParts>
    <vt:vector size="14" baseType="lpstr">
      <vt:lpstr>Sequence description</vt:lpstr>
      <vt:lpstr>Notes</vt:lpstr>
      <vt:lpstr>Equipment</vt:lpstr>
      <vt:lpstr>Categories definitions</vt:lpstr>
      <vt:lpstr>Usage</vt:lpstr>
      <vt:lpstr>Controlled_VarNames</vt:lpstr>
      <vt:lpstr>Equipment</vt:lpstr>
      <vt:lpstr>Header_VarNames</vt:lpstr>
      <vt:lpstr>Header_VarUnits</vt:lpstr>
      <vt:lpstr>Measured_VarNames</vt:lpstr>
      <vt:lpstr>Notes</vt:lpstr>
      <vt:lpstr>Notes!Print_Titles</vt:lpstr>
      <vt:lpstr>Sequence_General_Info</vt:lpstr>
      <vt:lpstr>Sequence_Part_Descriptions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2020-03-27T16:13:12Z</dcterms:modified>
</cp:coreProperties>
</file>