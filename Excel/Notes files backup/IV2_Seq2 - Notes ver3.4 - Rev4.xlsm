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2 - Water simulated HVAD thrombosis - Pre-pump - Pilot\Noted\"/>
    </mc:Choice>
  </mc:AlternateContent>
  <xr:revisionPtr revIDLastSave="0" documentId="13_ncr:1_{913BF20C-0B6F-4076-80E8-5AF9C99AA3F4}" xr6:coauthVersionLast="44" xr6:coauthVersionMax="44" xr10:uidLastSave="{00000000-0000-0000-0000-000000000000}"/>
  <bookViews>
    <workbookView xWindow="-108" yWindow="-108" windowWidth="23256" windowHeight="12720" activeTab="1" xr2:uid="{00000000-000D-0000-FFFF-FFFF00000000}"/>
  </bookViews>
  <sheets>
    <sheet name="Sequence description" sheetId="5" r:id="rId1"/>
    <sheet name="Notes" sheetId="1" r:id="rId2"/>
    <sheet name="Equipment" sheetId="8" r:id="rId3"/>
    <sheet name="Categories definitions" sheetId="7" r:id="rId4"/>
    <sheet name="Usage" sheetId="2" r:id="rId5"/>
  </sheets>
  <definedNames>
    <definedName name="Controlled_VarNames">Notes!$H$2:$O$2</definedName>
    <definedName name="Equipment">Equipment!$B$3:$F$16</definedName>
    <definedName name="Header_VarNames" comment="Define which row that contains header info. The whole row is used, due to flexibility purposes">Notes!$A$2:$U$2</definedName>
    <definedName name="Header_VarUnits">Notes!$A$3:$U$3</definedName>
    <definedName name="Measured_VarNames">Notes!$P$2:$T$2</definedName>
    <definedName name="Notes" comment="Rectangular area for the notes made, to make it easy and robust for importing notes to e.g. Matlab">Notes!$A$4:$U$276</definedName>
    <definedName name="_xlnm.Print_Titles" localSheetId="1">Notes!$2:$3</definedName>
    <definedName name="Sequence_General_Info">'Sequence description'!$B$3:$C$7</definedName>
    <definedName name="Sequence_Part_Descriptions">'Sequence description'!$B$10:$C$17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T10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T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<sst xmlns="http://schemas.openxmlformats.org/spreadsheetml/2006/main" count="1570" uniqueCount="200">
  <si>
    <t>Intervention</t>
  </si>
  <si>
    <t>Comment</t>
  </si>
  <si>
    <t>-</t>
  </si>
  <si>
    <t>Baseline</t>
  </si>
  <si>
    <t>Pump speed change</t>
  </si>
  <si>
    <t>In-vivo, human</t>
  </si>
  <si>
    <t>Unknown</t>
  </si>
  <si>
    <t>Pause</t>
  </si>
  <si>
    <t>Cardiaccs CARDIBOX V3, DEV02D, 520-540 Hz</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</si>
  <si>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</si>
  <si>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</si>
  <si>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</si>
  <si>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</si>
  <si>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</si>
  <si>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</si>
  <si>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</si>
  <si>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</si>
  <si>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</si>
  <si>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</si>
  <si>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</si>
  <si>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</si>
  <si>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</si>
  <si>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</si>
  <si>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</si>
  <si>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</si>
  <si>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</si>
  <si>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</si>
  <si>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Experiment sub-part</t>
  </si>
  <si>
    <t>Experiment</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</si>
  <si>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</si>
  <si>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</si>
  <si>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</si>
  <si>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</si>
  <si>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</si>
  <si>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</si>
  <si>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</si>
  <si>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</si>
  <si>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</si>
  <si>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</si>
  <si>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</si>
  <si>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</si>
  <si>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</si>
  <si>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</si>
  <si>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</si>
  <si>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</si>
  <si>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</si>
  <si>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</si>
  <si>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</si>
  <si>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</si>
  <si>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</si>
  <si>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</si>
  <si>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</si>
  <si>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</si>
  <si>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</si>
  <si>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</si>
  <si>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</si>
  <si>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</si>
  <si>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</si>
  <si>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</si>
  <si>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</si>
  <si>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</si>
  <si>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</si>
  <si>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</si>
  <si>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</si>
  <si>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Sampling equipment</t>
  </si>
  <si>
    <t>Main parts</t>
  </si>
  <si>
    <t>Vendor</t>
  </si>
  <si>
    <t>Cardiaccs</t>
  </si>
  <si>
    <t>M3 ultrasound</t>
  </si>
  <si>
    <t>Spectrum medical</t>
  </si>
  <si>
    <t>Spectrum medical M3 monitor</t>
  </si>
  <si>
    <t>Driveline</t>
  </si>
  <si>
    <t>LVAD</t>
  </si>
  <si>
    <t>Pressure transducer</t>
  </si>
  <si>
    <t>?</t>
  </si>
  <si>
    <t>Afferent</t>
  </si>
  <si>
    <t>Efferent</t>
  </si>
  <si>
    <t>PowerLab</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</si>
  <si>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</si>
  <si>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</si>
  <si>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</si>
  <si>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</si>
  <si>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</si>
  <si>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</si>
  <si>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</si>
  <si>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</si>
  <si>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</si>
  <si>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</si>
  <si>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</si>
  <si>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</si>
  <si>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</si>
  <si>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</si>
  <si>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</si>
  <si>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</si>
  <si>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</si>
  <si>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</si>
  <si>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</si>
  <si>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</si>
  <si>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</si>
  <si>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</si>
  <si>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</si>
  <si>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</si>
  <si>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</si>
  <si>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</si>
  <si>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</si>
  <si>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Baseline med klemme uten at den klemmer</t>
  </si>
  <si>
    <t>Water simulated pre-pump and post-pump thrombosis - Pilot</t>
  </si>
  <si>
    <t>Efferent clamp change</t>
  </si>
  <si>
    <t>Hands on</t>
  </si>
  <si>
    <t xml:space="preserve">0.5 atm; </t>
  </si>
  <si>
    <t xml:space="preserve">0 atm; </t>
  </si>
  <si>
    <t>0.8 atm</t>
  </si>
  <si>
    <t>Hands off</t>
  </si>
  <si>
    <t>Afferent clamp change</t>
  </si>
  <si>
    <t>Steady-state</t>
  </si>
  <si>
    <t>Pause to introduce catheter with Avanti introducer</t>
  </si>
  <si>
    <t>Catherter drawn out from inlet flow</t>
  </si>
  <si>
    <t>Timestamp should be revised</t>
  </si>
  <si>
    <t>Pause to move clamp to after pressure sensor at blue marking</t>
  </si>
  <si>
    <t>Pause to move clamp to blue marking after pressure sensor</t>
  </si>
  <si>
    <t>Catheter spec</t>
  </si>
  <si>
    <t>Pause to move catheter to inner position, closest to LVAD impellers (as possible).</t>
  </si>
  <si>
    <t>Clamp is still on the tubes, but not clamping</t>
  </si>
  <si>
    <t>Sequence start</t>
  </si>
  <si>
    <t>Sequence end</t>
  </si>
  <si>
    <t>Unintentional</t>
  </si>
  <si>
    <t>Occlusion end</t>
  </si>
  <si>
    <t>Occlusion start</t>
  </si>
  <si>
    <t>Balloon volume change</t>
  </si>
  <si>
    <t>Reducing flow by 50% wrt. 2600 RPM: 5.85*0.5 =2.925 l/min</t>
  </si>
  <si>
    <t>Reducing flow by 25 % wrt. 2600 RPM: 5.85*0.75 = 4.3875 l/min</t>
  </si>
  <si>
    <t>Reducing flow by 25 % wrt. 2000 RPM: 4.42*0.75 = 3.32 l/mim; Unknown no clamp screw revolutions</t>
  </si>
  <si>
    <t>Reducing flow by 25 % wrt. 2000 RPM: 4.42*0.75 = 3.32 l/min =&gt; 7.25 clamp screw revolutions</t>
  </si>
  <si>
    <t>Without Itai's clamp attached and no catheter. Clamp baseline flow = 'Ven flow' by ultrasound</t>
  </si>
  <si>
    <t>Reducing flow by 75 % wrt. 2600 RPM: 5.85*0.25 = 1.4625 l/min</t>
  </si>
  <si>
    <t>Just to also include 3200 RPM: Reducing flow by 25 % wrt. 2600 RPM: 5.85*0.75 = 4.3875 l/min</t>
  </si>
  <si>
    <t>Control baseline</t>
  </si>
  <si>
    <t>Baseline with clamp attached, but without clamping load imposed</t>
  </si>
  <si>
    <t>New PowerLab data block file: B2</t>
  </si>
  <si>
    <t>New PowerLab data block file: B3</t>
  </si>
  <si>
    <t>Occlution in LVAD monitor</t>
  </si>
  <si>
    <t xml:space="preserve">0 atm </t>
  </si>
  <si>
    <t>0 atm</t>
  </si>
  <si>
    <t>(mm)</t>
  </si>
  <si>
    <t>Clamp flow reduction</t>
  </si>
  <si>
    <t>Controlled</t>
  </si>
  <si>
    <t>Approx. 0.8 atm; Occlution in ultrasound</t>
  </si>
  <si>
    <t>Balloon position change</t>
  </si>
  <si>
    <t>New PowerLab data block file: B4</t>
  </si>
  <si>
    <t>Litt usikkert om kateteret var dratt tilbake. Sjekk også med vibrasjonsdata</t>
  </si>
  <si>
    <t>Balloon level</t>
  </si>
  <si>
    <t>Switching to driveline accelerometer input and doing a new baseline without catheter inserted</t>
  </si>
  <si>
    <t>Pause to insert arrow angio catheter</t>
  </si>
  <si>
    <t>Baseline for driveline accelerometer recording</t>
  </si>
  <si>
    <t>IV2_Seq2</t>
  </si>
  <si>
    <t>Interventions are not randomized since we only use water. Control intervention will confirm that the sequence order is irrelevant.</t>
  </si>
  <si>
    <t>Pilot experiment for closed circuit: 
1) Primarily to simulate pre-pump thrombosis using catheter 
2) Secondarly to simulate post-pump thrombosis, to see if it can be distinguished from pre-pump thrombosis
3) To look at vibrations on driveline</t>
  </si>
  <si>
    <t>Baselines at different pump speeds, before use inserting catheter and before attaching clamp</t>
  </si>
  <si>
    <t>Control interventions with clamping with C-clamp, on outlet tube, before pressure sensor.</t>
  </si>
  <si>
    <t>Control interventions with clamping with hose clamp, on outlet tube, before pressure sensor.</t>
  </si>
  <si>
    <t xml:space="preserve">Loosening up the hose clamp, and changing to C-clamp at the same location </t>
  </si>
  <si>
    <t>Efferent C-clamp bef p start</t>
  </si>
  <si>
    <t>Efferent hose clamp start</t>
  </si>
  <si>
    <t>Afferent C-clamp start</t>
  </si>
  <si>
    <t>Efferent C-clamp aft p start</t>
  </si>
  <si>
    <t>Efferent hose clamp end</t>
  </si>
  <si>
    <t>Afferent C-clamp end</t>
  </si>
  <si>
    <t>Efferent C-clamp aft p end</t>
  </si>
  <si>
    <t>Efferent C-clamp bef p end</t>
  </si>
  <si>
    <t>Control interventions with clamping with C-clamp, on outlet tube, after pressure sensor.</t>
  </si>
  <si>
    <t>Interventions with Arrow angio catheter balloon inflations, and no clamping (but with C-clamp attached)</t>
  </si>
  <si>
    <t>Same as with part 6, but less organized. Will perhaps be included into the pause.</t>
  </si>
  <si>
    <t>HVAD</t>
  </si>
  <si>
    <t>Arrow</t>
  </si>
  <si>
    <t>Angio catheter, X mm Y ml</t>
  </si>
  <si>
    <t>Urine catheter, X mm Y ml</t>
  </si>
  <si>
    <t>Medisinteknisk avd.,Rikshospitalet</t>
  </si>
  <si>
    <t>Unclamped baseline flow</t>
  </si>
  <si>
    <t>Measured</t>
  </si>
  <si>
    <t>Catheter type</t>
  </si>
  <si>
    <t>Balloon offset</t>
  </si>
  <si>
    <t>No</t>
  </si>
  <si>
    <t>HeartWare, MedtronicE</t>
  </si>
  <si>
    <t>Equipment</t>
  </si>
  <si>
    <t>Driveline as SensorA</t>
  </si>
  <si>
    <t>Switching to LVAD accelerometer as input</t>
  </si>
  <si>
    <t>Level 1 = 0 atm</t>
  </si>
  <si>
    <t>New PowerLab data block file: B6</t>
  </si>
  <si>
    <t>New baselines since there has been several days since start of sequence</t>
  </si>
  <si>
    <t>Level 2 =&gt; 2 atm =&gt; 3.69 mm</t>
  </si>
  <si>
    <t xml:space="preserve">Level 3 = 12 atm =&gt; 4.73 mm </t>
  </si>
  <si>
    <t>Pause to insert Neon PCI 3.5mm catheter, with wire inserted into wall of inlet tube</t>
  </si>
  <si>
    <t>No wire stiffening</t>
  </si>
  <si>
    <t>With wire stiffening</t>
  </si>
  <si>
    <t>RHC, 11.0mm</t>
  </si>
  <si>
    <t>RHC, 6.0mm</t>
  </si>
  <si>
    <t>Urine, …mm</t>
  </si>
  <si>
    <t xml:space="preserve">PCI, 6.0mm x …mm </t>
  </si>
  <si>
    <t>PCI, 4.5mm x 12mm</t>
  </si>
  <si>
    <t>PCI, 12.0mm x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</si>
</sst>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h]:mm:ss;@"/>
  </numFmts>
  <fonts count="17"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s>
  <fills count="14">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bgColor indexed="64"/>
      </patternFill>
    </fill>
  </fills>
  <borders count="1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s>
  <cellStyleXfs count="1">
    <xf numFmtId="0" fontId="0" fillId="0" borderId="0"/>
  </cellStyleXfs>
  <cellXfs count="106">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5" borderId="0" xfId="0" applyFont="1" applyFill="1" applyAlignment="1">
      <alignment wrapText="1"/>
    </xf>
    <xf numFmtId="0" fontId="2" fillId="5" borderId="0" xfId="0" applyFont="1" applyFill="1" applyAlignment="1">
      <alignment wrapText="1"/>
    </xf>
    <xf numFmtId="165" fontId="7" fillId="0" borderId="9" xfId="0" applyNumberFormat="1" applyFont="1" applyBorder="1" applyAlignment="1">
      <alignment horizontal="center" vertical="center"/>
    </xf>
    <xf numFmtId="166" fontId="7" fillId="0" borderId="1"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6"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6"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9" fontId="7" fillId="6" borderId="1" xfId="0" applyNumberFormat="1" applyFont="1" applyFill="1" applyBorder="1" applyAlignment="1">
      <alignment horizontal="center" vertical="center"/>
    </xf>
    <xf numFmtId="1" fontId="7" fillId="7" borderId="1" xfId="0" applyNumberFormat="1" applyFont="1" applyFill="1" applyBorder="1" applyAlignment="1">
      <alignment horizontal="center" vertical="center"/>
    </xf>
    <xf numFmtId="9" fontId="8" fillId="6" borderId="1" xfId="0" applyNumberFormat="1" applyFont="1" applyFill="1" applyBorder="1" applyAlignment="1">
      <alignment horizontal="center" vertical="center"/>
    </xf>
    <xf numFmtId="1" fontId="7" fillId="4"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164" fontId="7" fillId="0" borderId="0" xfId="0" applyNumberFormat="1" applyFont="1" applyAlignment="1">
      <alignment horizontal="center" vertical="center"/>
    </xf>
    <xf numFmtId="164"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21" fontId="7" fillId="8" borderId="1" xfId="0" applyNumberFormat="1" applyFont="1" applyFill="1" applyBorder="1" applyAlignment="1">
      <alignment horizontal="center" vertical="center"/>
    </xf>
    <xf numFmtId="21" fontId="7" fillId="8" borderId="1" xfId="0" applyNumberFormat="1" applyFont="1" applyFill="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2" borderId="6" xfId="0"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0" borderId="0" xfId="0" applyFont="1" applyBorder="1" applyAlignment="1">
      <alignment horizontal="center" vertical="center" wrapText="1"/>
    </xf>
    <xf numFmtId="164" fontId="7" fillId="6" borderId="1" xfId="0" applyNumberFormat="1" applyFont="1" applyFill="1" applyBorder="1" applyAlignment="1">
      <alignment horizontal="center" vertical="center"/>
    </xf>
    <xf numFmtId="2" fontId="7" fillId="6" borderId="13" xfId="0" applyNumberFormat="1" applyFont="1" applyFill="1" applyBorder="1" applyAlignment="1">
      <alignment horizontal="center" vertical="center"/>
    </xf>
    <xf numFmtId="166" fontId="7" fillId="6" borderId="1" xfId="0" applyNumberFormat="1" applyFont="1" applyFill="1" applyBorder="1" applyAlignment="1">
      <alignment horizontal="center" vertical="center"/>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0" fontId="12" fillId="0" borderId="10" xfId="0" applyFont="1" applyBorder="1" applyAlignment="1">
      <alignment horizontal="left" vertical="center" wrapText="1" indent="1"/>
    </xf>
    <xf numFmtId="0" fontId="13" fillId="0" borderId="10" xfId="0" applyFont="1" applyBorder="1" applyAlignment="1">
      <alignment horizontal="left" vertical="center" wrapText="1" indent="1"/>
    </xf>
    <xf numFmtId="0" fontId="12" fillId="6" borderId="10" xfId="0" applyFont="1" applyFill="1" applyBorder="1" applyAlignment="1">
      <alignment horizontal="left" vertical="center" wrapText="1" indent="1"/>
    </xf>
    <xf numFmtId="0" fontId="12" fillId="8" borderId="10" xfId="0" applyFont="1" applyFill="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6" borderId="1" xfId="0" applyFont="1" applyFill="1" applyBorder="1" applyAlignment="1">
      <alignment horizontal="left" vertical="center" wrapText="1" indent="1"/>
    </xf>
    <xf numFmtId="0" fontId="11" fillId="11" borderId="5" xfId="0" applyFont="1" applyFill="1" applyBorder="1" applyAlignment="1">
      <alignment horizontal="center" wrapText="1"/>
    </xf>
    <xf numFmtId="1" fontId="11" fillId="11" borderId="11" xfId="0" applyNumberFormat="1" applyFont="1" applyFill="1" applyBorder="1" applyAlignment="1">
      <alignment horizontal="center" wrapText="1"/>
    </xf>
    <xf numFmtId="9" fontId="11" fillId="11" borderId="5" xfId="0" applyNumberFormat="1" applyFont="1" applyFill="1" applyBorder="1" applyAlignment="1">
      <alignment horizontal="center" wrapText="1"/>
    </xf>
    <xf numFmtId="0" fontId="11" fillId="11" borderId="3" xfId="0" applyFont="1" applyFill="1" applyBorder="1" applyAlignment="1">
      <alignment horizontal="center" vertical="center" wrapText="1"/>
    </xf>
    <xf numFmtId="1" fontId="11" fillId="11" borderId="12" xfId="0" applyNumberFormat="1" applyFont="1" applyFill="1" applyBorder="1" applyAlignment="1">
      <alignment horizontal="center" vertical="center" wrapText="1"/>
    </xf>
    <xf numFmtId="9" fontId="11" fillId="11" borderId="3" xfId="0" applyNumberFormat="1" applyFont="1" applyFill="1" applyBorder="1" applyAlignment="1">
      <alignment horizontal="center" vertical="center" wrapText="1"/>
    </xf>
    <xf numFmtId="164" fontId="11" fillId="12" borderId="3" xfId="0" applyNumberFormat="1" applyFont="1" applyFill="1" applyBorder="1" applyAlignment="1">
      <alignment horizontal="center" vertical="center" wrapText="1"/>
    </xf>
    <xf numFmtId="2" fontId="11" fillId="12" borderId="12" xfId="0" applyNumberFormat="1" applyFont="1" applyFill="1" applyBorder="1" applyAlignment="1">
      <alignment horizontal="center" vertical="center" wrapText="1"/>
    </xf>
    <xf numFmtId="0" fontId="12" fillId="13" borderId="10" xfId="0" applyFont="1" applyFill="1" applyBorder="1" applyAlignment="1">
      <alignment horizontal="left" vertical="center" wrapText="1" indent="1"/>
    </xf>
    <xf numFmtId="1" fontId="8" fillId="0" borderId="13" xfId="0" applyNumberFormat="1" applyFont="1" applyBorder="1" applyAlignment="1">
      <alignment horizontal="center" vertical="center"/>
    </xf>
    <xf numFmtId="3" fontId="7" fillId="6" borderId="1" xfId="0" applyNumberFormat="1" applyFont="1" applyFill="1" applyBorder="1" applyAlignment="1">
      <alignment horizontal="center" vertical="center"/>
    </xf>
    <xf numFmtId="164" fontId="11" fillId="5" borderId="5" xfId="0" applyNumberFormat="1" applyFont="1" applyFill="1" applyBorder="1" applyAlignment="1">
      <alignment horizontal="center" wrapText="1"/>
    </xf>
    <xf numFmtId="2" fontId="11" fillId="5" borderId="11" xfId="0" applyNumberFormat="1" applyFont="1" applyFill="1" applyBorder="1" applyAlignment="1">
      <alignment horizontal="center" wrapText="1"/>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166" fontId="7" fillId="8" borderId="1" xfId="0" applyNumberFormat="1" applyFont="1" applyFill="1" applyBorder="1" applyAlignment="1">
      <alignment horizontal="center" vertical="center"/>
    </xf>
    <xf numFmtId="0" fontId="1" fillId="0" borderId="1" xfId="0" applyFont="1" applyBorder="1" applyAlignment="1">
      <alignment horizontal="center" vertical="center" wrapText="1"/>
    </xf>
    <xf numFmtId="0" fontId="12" fillId="8" borderId="1" xfId="0" applyFont="1" applyFill="1" applyBorder="1" applyAlignment="1">
      <alignment horizontal="left" vertical="center" wrapText="1" indent="1"/>
    </xf>
    <xf numFmtId="2" fontId="16" fillId="5" borderId="11" xfId="0" applyNumberFormat="1" applyFont="1" applyFill="1" applyBorder="1" applyAlignment="1">
      <alignment horizontal="center" wrapText="1"/>
    </xf>
    <xf numFmtId="2" fontId="16" fillId="5"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21" fontId="7" fillId="6" borderId="1"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21" fontId="7" fillId="8" borderId="1" xfId="0" applyNumberFormat="1" applyFont="1" applyFill="1" applyBorder="1" applyAlignment="1">
      <alignment horizontal="center" vertical="center"/>
    </xf>
    <xf numFmtId="2" fontId="13" fillId="0" borderId="13" xfId="0" applyNumberFormat="1" applyFont="1" applyBorder="1" applyAlignment="1">
      <alignment horizontal="left" vertical="center" wrapText="1" indent="1"/>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1" fontId="7" fillId="8" borderId="13" xfId="0" applyNumberFormat="1" applyFont="1" applyFill="1" applyBorder="1" applyAlignment="1">
      <alignment horizontal="center" vertical="center"/>
    </xf>
    <xf numFmtId="164" fontId="15" fillId="10" borderId="14" xfId="0" applyNumberFormat="1" applyFont="1" applyFill="1" applyBorder="1" applyAlignment="1">
      <alignment horizontal="center" vertical="center"/>
    </xf>
    <xf numFmtId="1" fontId="14" fillId="9" borderId="14" xfId="0" applyNumberFormat="1" applyFont="1" applyFill="1" applyBorder="1" applyAlignment="1">
      <alignment horizontal="center" vertical="center"/>
    </xf>
    <xf numFmtId="164" fontId="14" fillId="10" borderId="14"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T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1"/>
  <sheetViews>
    <sheetView showGridLines="0" topLeftCell="A2" workbookViewId="0">
      <selection activeCell="B9" sqref="B9:C9"/>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03" t="s">
        <v>18</v>
      </c>
      <c r="C2" s="103"/>
      <c r="D2" s="7"/>
      <c r="E2" s="7"/>
      <c r="F2" s="7"/>
    </row>
    <row r="3" spans="2:9" s="1" customFormat="1" ht="15.6" x14ac:dyDescent="0.3">
      <c r="B3" s="8" t="s">
        <v>9</v>
      </c>
      <c r="C3" s="4" t="s">
        <v>106</v>
      </c>
      <c r="D3" s="7"/>
      <c r="E3" s="7"/>
      <c r="F3" s="7"/>
    </row>
    <row r="4" spans="2:9" s="1" customFormat="1" ht="15.6" x14ac:dyDescent="0.3">
      <c r="B4" s="8" t="s">
        <v>19</v>
      </c>
      <c r="C4" s="6" t="s">
        <v>154</v>
      </c>
      <c r="D4" s="7"/>
      <c r="E4" s="7"/>
      <c r="F4" s="7"/>
    </row>
    <row r="5" spans="2:9" s="2" customFormat="1" ht="78" x14ac:dyDescent="0.3">
      <c r="B5" s="8" t="s">
        <v>10</v>
      </c>
      <c r="C5" s="4" t="s">
        <v>156</v>
      </c>
      <c r="D5" s="3"/>
      <c r="E5" s="3"/>
      <c r="F5" s="3"/>
    </row>
    <row r="6" spans="2:9" s="2" customFormat="1" ht="15.6" x14ac:dyDescent="0.3">
      <c r="B6" s="8" t="s">
        <v>13</v>
      </c>
      <c r="C6" s="4" t="s">
        <v>61</v>
      </c>
      <c r="D6" s="3"/>
      <c r="E6" s="3"/>
      <c r="F6" s="3"/>
    </row>
    <row r="7" spans="2:9" s="2" customFormat="1" ht="31.2" x14ac:dyDescent="0.3">
      <c r="B7" s="8" t="s">
        <v>88</v>
      </c>
      <c r="C7" s="4" t="s">
        <v>155</v>
      </c>
      <c r="D7" s="3"/>
      <c r="E7" s="3"/>
      <c r="F7" s="3"/>
    </row>
    <row r="8" spans="2:9" s="2" customFormat="1" ht="15.6" x14ac:dyDescent="0.3">
      <c r="B8" s="9"/>
      <c r="C8" s="10"/>
      <c r="D8" s="3"/>
      <c r="E8" s="3"/>
      <c r="F8" s="3"/>
    </row>
    <row r="9" spans="2:9" s="2" customFormat="1" ht="15.6" x14ac:dyDescent="0.3">
      <c r="B9" s="103" t="s">
        <v>65</v>
      </c>
      <c r="C9" s="103"/>
      <c r="D9" s="3"/>
      <c r="E9" s="3"/>
      <c r="F9" s="3"/>
    </row>
    <row r="10" spans="2:9" s="2" customFormat="1" ht="15.6" x14ac:dyDescent="0.3">
      <c r="B10" s="91" t="s">
        <v>181</v>
      </c>
      <c r="C10" s="92" t="s">
        <v>10</v>
      </c>
      <c r="D10" s="3"/>
      <c r="E10" s="3"/>
      <c r="F10" s="3"/>
    </row>
    <row r="11" spans="2:9" s="2" customFormat="1" ht="31.2" x14ac:dyDescent="0.3">
      <c r="B11" s="89">
        <v>1</v>
      </c>
      <c r="C11" s="4" t="s">
        <v>157</v>
      </c>
      <c r="D11" s="3"/>
      <c r="E11" s="3"/>
      <c r="F11" s="3"/>
      <c r="G11" s="3"/>
      <c r="H11" s="3"/>
      <c r="I11" s="3"/>
    </row>
    <row r="12" spans="2:9" s="2" customFormat="1" ht="31.2" x14ac:dyDescent="0.3">
      <c r="B12" s="89">
        <v>2</v>
      </c>
      <c r="C12" s="4" t="s">
        <v>159</v>
      </c>
      <c r="D12" s="3"/>
      <c r="E12" s="3"/>
      <c r="F12" s="3"/>
      <c r="G12" s="3"/>
      <c r="H12" s="3"/>
      <c r="I12" s="3"/>
    </row>
    <row r="13" spans="2:9" s="2" customFormat="1" ht="31.2" x14ac:dyDescent="0.3">
      <c r="B13" s="89">
        <v>3</v>
      </c>
      <c r="C13" s="4" t="s">
        <v>158</v>
      </c>
      <c r="D13" s="3"/>
      <c r="E13" s="3"/>
      <c r="F13" s="3"/>
      <c r="G13" s="3"/>
      <c r="H13" s="3"/>
      <c r="I13" s="3"/>
    </row>
    <row r="14" spans="2:9" s="2" customFormat="1" ht="13.2" customHeight="1" x14ac:dyDescent="0.3">
      <c r="B14" s="89">
        <v>4</v>
      </c>
      <c r="C14" s="4" t="s">
        <v>169</v>
      </c>
      <c r="D14" s="3"/>
      <c r="E14" s="3"/>
      <c r="F14" s="3"/>
      <c r="G14" s="3"/>
      <c r="H14" s="3"/>
      <c r="I14" s="3"/>
    </row>
    <row r="15" spans="2:9" s="2" customFormat="1" ht="31.2" x14ac:dyDescent="0.3">
      <c r="B15" s="89">
        <v>5</v>
      </c>
      <c r="C15" s="4" t="s">
        <v>171</v>
      </c>
      <c r="D15" s="3"/>
      <c r="E15" s="3"/>
      <c r="F15" s="3"/>
      <c r="G15" s="3"/>
      <c r="H15" s="3"/>
      <c r="I15" s="3"/>
    </row>
    <row r="16" spans="2:9" s="2" customFormat="1" ht="31.2" x14ac:dyDescent="0.3">
      <c r="B16" s="89">
        <v>6</v>
      </c>
      <c r="C16" s="4" t="s">
        <v>170</v>
      </c>
      <c r="D16" s="3"/>
      <c r="E16" s="3"/>
      <c r="F16" s="3"/>
      <c r="G16" s="3"/>
      <c r="H16" s="3"/>
      <c r="I16" s="3"/>
    </row>
    <row r="17" spans="2:9" s="2" customFormat="1" ht="15.6" x14ac:dyDescent="0.3">
      <c r="B17" s="89">
        <v>7</v>
      </c>
      <c r="C17" s="4" t="s">
        <v>153</v>
      </c>
      <c r="D17" s="3"/>
      <c r="E17" s="3"/>
      <c r="F17" s="3"/>
      <c r="G17" s="3"/>
      <c r="H17" s="3"/>
      <c r="I17" s="3"/>
    </row>
    <row r="18" spans="2:9" s="2" customFormat="1" ht="15.6" x14ac:dyDescent="0.3">
      <c r="B18" s="9"/>
      <c r="C18" s="10"/>
      <c r="D18" s="3"/>
      <c r="E18" s="3"/>
      <c r="F18" s="3"/>
      <c r="G18" s="3"/>
      <c r="H18" s="3"/>
      <c r="I18" s="3"/>
    </row>
    <row r="19" spans="2:9" s="2" customFormat="1" ht="15.6" x14ac:dyDescent="0.3">
      <c r="B19" s="9"/>
      <c r="C19" s="10"/>
      <c r="D19" s="3"/>
      <c r="E19" s="3"/>
      <c r="F19" s="3"/>
      <c r="G19" s="3"/>
      <c r="H19" s="3"/>
      <c r="I19" s="3"/>
    </row>
    <row r="20" spans="2:9" s="2" customFormat="1" ht="15.6" x14ac:dyDescent="0.3">
      <c r="E20" s="3"/>
      <c r="F20" s="3"/>
      <c r="G20" s="3"/>
      <c r="H20" s="3"/>
      <c r="I20" s="3"/>
    </row>
    <row r="21" spans="2:9" s="2" customFormat="1" ht="15.6" x14ac:dyDescent="0.3">
      <c r="E21" s="11"/>
      <c r="F21" s="3"/>
      <c r="G21" s="3"/>
      <c r="H21" s="3"/>
      <c r="I21"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276"/>
  <sheetViews>
    <sheetView showGridLines="0" tabSelected="1" topLeftCell="A252" zoomScale="70" zoomScaleNormal="70" workbookViewId="0">
      <selection activeCell="L259" sqref="L259"/>
    </sheetView>
  </sheetViews>
  <sheetFormatPr defaultColWidth="8.88671875" defaultRowHeight="38.25" customHeight="1" x14ac:dyDescent="0.3"/>
  <cols>
    <col min="1" max="1" width="16.109375" style="33" bestFit="1" customWidth="1"/>
    <col min="2" max="2" width="12.5546875" style="33" bestFit="1" customWidth="1"/>
    <col min="3" max="3" width="12.44140625" style="34" hidden="1" customWidth="1"/>
    <col min="4" max="4" width="6.5546875" style="34" hidden="1" customWidth="1"/>
    <col min="5" max="5" width="5.88671875" style="35" customWidth="1"/>
    <col min="6" max="6" width="28.33203125" style="70" bestFit="1" customWidth="1"/>
    <col min="7" max="7" width="26" style="70" bestFit="1" customWidth="1"/>
    <col min="8" max="8" width="14.109375" style="36" hidden="1" customWidth="1"/>
    <col min="9" max="9" width="13.109375" style="36" hidden="1" customWidth="1"/>
    <col min="10" max="10" width="6.109375" style="36" hidden="1" customWidth="1"/>
    <col min="11" max="11" width="9.5546875" style="35" customWidth="1"/>
    <col min="12" max="12" width="10.21875" style="63" customWidth="1"/>
    <col min="13" max="13" width="11.21875" style="63" customWidth="1"/>
    <col min="14" max="14" width="18.109375" style="69" customWidth="1"/>
    <col min="15" max="15" width="12.44140625" style="37" customWidth="1"/>
    <col min="16" max="16" width="9.88671875" style="35" hidden="1" customWidth="1"/>
    <col min="17" max="17" width="10.6640625" style="35" hidden="1" customWidth="1"/>
    <col min="18" max="18" width="14.21875" style="38" customWidth="1"/>
    <col min="19" max="19" width="13.44140625" style="38" customWidth="1"/>
    <col min="20" max="20" width="14.5546875" style="36" bestFit="1" customWidth="1"/>
    <col min="21" max="21" width="63.21875" style="70" customWidth="1"/>
    <col min="22" max="23" width="17.77734375" style="26" bestFit="1" customWidth="1"/>
    <col min="24" max="24" width="17.6640625" style="26" customWidth="1"/>
    <col min="25" max="16384" width="8.88671875" style="26"/>
  </cols>
  <sheetData>
    <row r="1" spans="1:21" ht="17.399999999999999" customHeight="1" x14ac:dyDescent="0.3">
      <c r="H1" s="104" t="s">
        <v>145</v>
      </c>
      <c r="I1" s="104"/>
      <c r="J1" s="104"/>
      <c r="K1" s="104"/>
      <c r="L1" s="104"/>
      <c r="M1" s="104"/>
      <c r="N1" s="104"/>
      <c r="O1" s="104"/>
      <c r="P1" s="105" t="s">
        <v>178</v>
      </c>
      <c r="Q1" s="105"/>
      <c r="R1" s="105"/>
      <c r="S1" s="105"/>
      <c r="T1" s="105"/>
    </row>
    <row r="2" spans="1:21" s="52" customFormat="1" ht="35.25" customHeight="1" x14ac:dyDescent="0.35">
      <c r="A2" s="48" t="s">
        <v>46</v>
      </c>
      <c r="B2" s="49" t="s">
        <v>48</v>
      </c>
      <c r="C2" s="50" t="s">
        <v>51</v>
      </c>
      <c r="D2" s="50" t="s">
        <v>104</v>
      </c>
      <c r="E2" s="49" t="s">
        <v>98</v>
      </c>
      <c r="F2" s="49" t="s">
        <v>97</v>
      </c>
      <c r="G2" s="49" t="s">
        <v>33</v>
      </c>
      <c r="H2" s="73" t="s">
        <v>99</v>
      </c>
      <c r="I2" s="73" t="s">
        <v>34</v>
      </c>
      <c r="J2" s="73" t="s">
        <v>42</v>
      </c>
      <c r="K2" s="73" t="s">
        <v>43</v>
      </c>
      <c r="L2" s="74" t="s">
        <v>150</v>
      </c>
      <c r="M2" s="74" t="s">
        <v>180</v>
      </c>
      <c r="N2" s="74" t="s">
        <v>179</v>
      </c>
      <c r="O2" s="75" t="s">
        <v>144</v>
      </c>
      <c r="P2" s="84" t="s">
        <v>44</v>
      </c>
      <c r="Q2" s="84" t="s">
        <v>45</v>
      </c>
      <c r="R2" s="84" t="s">
        <v>85</v>
      </c>
      <c r="S2" s="84" t="s">
        <v>41</v>
      </c>
      <c r="T2" s="85" t="s">
        <v>177</v>
      </c>
      <c r="U2" s="51" t="s">
        <v>1</v>
      </c>
    </row>
    <row r="3" spans="1:21" s="58" customFormat="1" ht="18.75" customHeight="1" thickBot="1" x14ac:dyDescent="0.35">
      <c r="A3" s="53" t="s">
        <v>47</v>
      </c>
      <c r="B3" s="54" t="s">
        <v>49</v>
      </c>
      <c r="C3" s="55" t="s">
        <v>52</v>
      </c>
      <c r="D3" s="55" t="s">
        <v>52</v>
      </c>
      <c r="E3" s="56"/>
      <c r="F3" s="54"/>
      <c r="G3" s="54"/>
      <c r="H3" s="76" t="s">
        <v>50</v>
      </c>
      <c r="I3" s="76" t="s">
        <v>35</v>
      </c>
      <c r="J3" s="76" t="s">
        <v>36</v>
      </c>
      <c r="K3" s="76" t="s">
        <v>37</v>
      </c>
      <c r="L3" s="77"/>
      <c r="M3" s="77" t="s">
        <v>143</v>
      </c>
      <c r="N3" s="77"/>
      <c r="O3" s="78" t="s">
        <v>89</v>
      </c>
      <c r="P3" s="79" t="s">
        <v>38</v>
      </c>
      <c r="Q3" s="79" t="s">
        <v>38</v>
      </c>
      <c r="R3" s="79" t="s">
        <v>39</v>
      </c>
      <c r="S3" s="79" t="s">
        <v>40</v>
      </c>
      <c r="T3" s="80" t="s">
        <v>39</v>
      </c>
      <c r="U3" s="57"/>
    </row>
    <row r="4" spans="1:21" ht="38.25" customHeight="1" x14ac:dyDescent="0.3">
      <c r="A4" s="18">
        <v>43838</v>
      </c>
      <c r="B4" s="42">
        <v>0.47222222222222227</v>
      </c>
      <c r="C4" s="20"/>
      <c r="D4" s="20" t="s">
        <v>2</v>
      </c>
      <c r="E4" s="30" t="s">
        <v>2</v>
      </c>
      <c r="F4" s="71" t="s">
        <v>123</v>
      </c>
      <c r="G4" s="71" t="s">
        <v>2</v>
      </c>
      <c r="H4" s="27"/>
      <c r="I4" s="22"/>
      <c r="J4" s="22"/>
      <c r="K4" s="28">
        <v>2000</v>
      </c>
      <c r="L4" s="62" t="s">
        <v>2</v>
      </c>
      <c r="M4" s="62" t="s">
        <v>2</v>
      </c>
      <c r="N4" s="64" t="s">
        <v>2</v>
      </c>
      <c r="O4" s="24" t="s">
        <v>2</v>
      </c>
      <c r="P4" s="25" t="s">
        <v>2</v>
      </c>
      <c r="Q4" s="25" t="s">
        <v>2</v>
      </c>
      <c r="R4" s="39"/>
      <c r="S4" s="39"/>
      <c r="T4" s="44"/>
      <c r="U4" s="65"/>
    </row>
    <row r="5" spans="1:21" ht="38.25" customHeight="1" x14ac:dyDescent="0.3">
      <c r="A5" s="18">
        <v>43838</v>
      </c>
      <c r="B5" s="40">
        <v>0.47228009259259257</v>
      </c>
      <c r="C5" s="20"/>
      <c r="D5" s="20">
        <v>20</v>
      </c>
      <c r="E5" s="30" t="s">
        <v>2</v>
      </c>
      <c r="F5" s="71" t="s">
        <v>15</v>
      </c>
      <c r="G5" s="71" t="s">
        <v>127</v>
      </c>
      <c r="H5" s="27"/>
      <c r="I5" s="22"/>
      <c r="J5" s="22"/>
      <c r="K5" s="28">
        <v>2000</v>
      </c>
      <c r="L5" s="62" t="s">
        <v>2</v>
      </c>
      <c r="M5" s="62" t="s">
        <v>2</v>
      </c>
      <c r="N5" s="64" t="s">
        <v>2</v>
      </c>
      <c r="O5" s="24" t="s">
        <v>2</v>
      </c>
      <c r="P5" s="25" t="s">
        <v>2</v>
      </c>
      <c r="Q5" s="25" t="s">
        <v>2</v>
      </c>
      <c r="R5" s="39"/>
      <c r="S5" s="39"/>
      <c r="T5" s="44"/>
      <c r="U5" s="65"/>
    </row>
    <row r="6" spans="1:21" ht="38.25" customHeight="1" x14ac:dyDescent="0.3">
      <c r="A6" s="18">
        <v>43838</v>
      </c>
      <c r="B6" s="40">
        <v>0.47251157407407413</v>
      </c>
      <c r="C6" s="20"/>
      <c r="D6" s="20">
        <v>0</v>
      </c>
      <c r="E6" s="30" t="s">
        <v>2</v>
      </c>
      <c r="F6" s="72" t="s">
        <v>15</v>
      </c>
      <c r="G6" s="72" t="s">
        <v>126</v>
      </c>
      <c r="H6" s="27"/>
      <c r="I6" s="27"/>
      <c r="J6" s="27"/>
      <c r="K6" s="28">
        <v>2000</v>
      </c>
      <c r="L6" s="62" t="s">
        <v>2</v>
      </c>
      <c r="M6" s="62" t="s">
        <v>2</v>
      </c>
      <c r="N6" s="64" t="s">
        <v>2</v>
      </c>
      <c r="O6" s="24" t="s">
        <v>2</v>
      </c>
      <c r="P6" s="25"/>
      <c r="Q6" s="25"/>
      <c r="R6" s="39"/>
      <c r="S6" s="39"/>
      <c r="T6" s="44"/>
      <c r="U6" s="65"/>
    </row>
    <row r="7" spans="1:21" ht="38.25" customHeight="1" x14ac:dyDescent="0.3">
      <c r="A7" s="18">
        <v>43838</v>
      </c>
      <c r="B7" s="42">
        <v>0.47256944444444443</v>
      </c>
      <c r="C7" s="20"/>
      <c r="D7" s="20" t="s">
        <v>2</v>
      </c>
      <c r="E7" s="30" t="s">
        <v>2</v>
      </c>
      <c r="F7" s="72" t="s">
        <v>7</v>
      </c>
      <c r="G7" s="72" t="s">
        <v>2</v>
      </c>
      <c r="H7" s="27"/>
      <c r="I7" s="27"/>
      <c r="J7" s="27"/>
      <c r="K7" s="28">
        <v>2000</v>
      </c>
      <c r="L7" s="62" t="s">
        <v>2</v>
      </c>
      <c r="M7" s="62" t="s">
        <v>2</v>
      </c>
      <c r="N7" s="64" t="s">
        <v>2</v>
      </c>
      <c r="O7" s="24" t="s">
        <v>2</v>
      </c>
      <c r="P7" s="25" t="s">
        <v>2</v>
      </c>
      <c r="Q7" s="25" t="s">
        <v>2</v>
      </c>
      <c r="R7" s="39"/>
      <c r="S7" s="39"/>
      <c r="T7" s="44"/>
      <c r="U7" s="65"/>
    </row>
    <row r="8" spans="1:21" ht="38.25" customHeight="1" x14ac:dyDescent="0.3">
      <c r="A8" s="18">
        <v>43838</v>
      </c>
      <c r="B8" s="42">
        <v>0.47743055555555558</v>
      </c>
      <c r="C8" s="20"/>
      <c r="D8" s="20" t="s">
        <v>2</v>
      </c>
      <c r="E8" s="21">
        <v>1</v>
      </c>
      <c r="F8" s="72" t="s">
        <v>14</v>
      </c>
      <c r="G8" s="72" t="s">
        <v>2</v>
      </c>
      <c r="H8" s="27"/>
      <c r="I8" s="27"/>
      <c r="J8" s="27"/>
      <c r="K8" s="28">
        <v>2000</v>
      </c>
      <c r="L8" s="62" t="s">
        <v>2</v>
      </c>
      <c r="M8" s="62" t="s">
        <v>2</v>
      </c>
      <c r="N8" s="64" t="s">
        <v>2</v>
      </c>
      <c r="O8" s="29" t="s">
        <v>2</v>
      </c>
      <c r="P8" s="25" t="s">
        <v>2</v>
      </c>
      <c r="Q8" s="25" t="s">
        <v>2</v>
      </c>
      <c r="R8" s="39"/>
      <c r="S8" s="39"/>
      <c r="T8" s="44"/>
      <c r="U8" s="65"/>
    </row>
    <row r="9" spans="1:21" ht="38.25" customHeight="1" x14ac:dyDescent="0.3">
      <c r="A9" s="18">
        <v>43838</v>
      </c>
      <c r="B9" s="40">
        <v>0.4777777777777778</v>
      </c>
      <c r="C9" s="20"/>
      <c r="D9" s="20">
        <v>0</v>
      </c>
      <c r="E9" s="21">
        <v>1</v>
      </c>
      <c r="F9" s="72" t="s">
        <v>3</v>
      </c>
      <c r="G9" s="72" t="s">
        <v>2</v>
      </c>
      <c r="H9" s="27"/>
      <c r="I9" s="95"/>
      <c r="J9" s="27"/>
      <c r="K9" s="28">
        <v>2000</v>
      </c>
      <c r="L9" s="62" t="s">
        <v>2</v>
      </c>
      <c r="M9" s="62" t="s">
        <v>2</v>
      </c>
      <c r="N9" s="64" t="s">
        <v>2</v>
      </c>
      <c r="O9" s="24" t="s">
        <v>2</v>
      </c>
      <c r="P9" s="25"/>
      <c r="Q9" s="25"/>
      <c r="R9" s="39">
        <v>3.1</v>
      </c>
      <c r="S9" s="39">
        <v>1.6</v>
      </c>
      <c r="T9" s="44">
        <v>4.42</v>
      </c>
      <c r="U9" s="65" t="s">
        <v>133</v>
      </c>
    </row>
    <row r="10" spans="1:21" ht="38.25" customHeight="1" x14ac:dyDescent="0.3">
      <c r="A10" s="18">
        <v>43838</v>
      </c>
      <c r="B10" s="41">
        <v>0.47810185185185183</v>
      </c>
      <c r="C10" s="20"/>
      <c r="D10" s="20">
        <v>30</v>
      </c>
      <c r="E10" s="21">
        <v>1</v>
      </c>
      <c r="F10" s="72" t="s">
        <v>0</v>
      </c>
      <c r="G10" s="72" t="s">
        <v>4</v>
      </c>
      <c r="H10" s="27"/>
      <c r="I10" s="27"/>
      <c r="J10" s="27"/>
      <c r="K10" s="23">
        <v>2300</v>
      </c>
      <c r="L10" s="62" t="s">
        <v>2</v>
      </c>
      <c r="M10" s="62" t="s">
        <v>2</v>
      </c>
      <c r="N10" s="64" t="s">
        <v>2</v>
      </c>
      <c r="O10" s="24" t="s">
        <v>2</v>
      </c>
      <c r="P10" s="25" t="s">
        <v>2</v>
      </c>
      <c r="Q10" s="25" t="s">
        <v>2</v>
      </c>
      <c r="R10" s="39"/>
      <c r="S10" s="39"/>
      <c r="T10" s="44"/>
      <c r="U10" s="65"/>
    </row>
    <row r="11" spans="1:21" ht="38.25" customHeight="1" x14ac:dyDescent="0.3">
      <c r="A11" s="18">
        <v>43838</v>
      </c>
      <c r="B11" s="40">
        <v>0.47850694444444447</v>
      </c>
      <c r="C11" s="20"/>
      <c r="D11" s="20">
        <v>0</v>
      </c>
      <c r="E11" s="21">
        <v>1</v>
      </c>
      <c r="F11" s="72" t="s">
        <v>3</v>
      </c>
      <c r="G11" s="72" t="s">
        <v>2</v>
      </c>
      <c r="H11" s="27"/>
      <c r="I11" s="27"/>
      <c r="J11" s="27"/>
      <c r="K11" s="28">
        <v>2300</v>
      </c>
      <c r="L11" s="62" t="s">
        <v>2</v>
      </c>
      <c r="M11" s="62" t="s">
        <v>2</v>
      </c>
      <c r="N11" s="64" t="s">
        <v>2</v>
      </c>
      <c r="O11" s="24" t="s">
        <v>2</v>
      </c>
      <c r="P11" s="25"/>
      <c r="Q11" s="25"/>
      <c r="R11" s="39">
        <v>3.6</v>
      </c>
      <c r="S11" s="39">
        <v>2.4</v>
      </c>
      <c r="T11" s="44"/>
      <c r="U11" s="65"/>
    </row>
    <row r="12" spans="1:21" ht="38.25" customHeight="1" x14ac:dyDescent="0.3">
      <c r="A12" s="18">
        <v>43838</v>
      </c>
      <c r="B12" s="40">
        <v>0.47881944444444446</v>
      </c>
      <c r="C12" s="20"/>
      <c r="D12" s="20">
        <v>30</v>
      </c>
      <c r="E12" s="21">
        <v>1</v>
      </c>
      <c r="F12" s="72" t="s">
        <v>0</v>
      </c>
      <c r="G12" s="71" t="s">
        <v>4</v>
      </c>
      <c r="H12" s="27"/>
      <c r="I12" s="22"/>
      <c r="J12" s="22"/>
      <c r="K12" s="23">
        <v>2600</v>
      </c>
      <c r="L12" s="62" t="s">
        <v>2</v>
      </c>
      <c r="M12" s="62" t="s">
        <v>2</v>
      </c>
      <c r="N12" s="64" t="s">
        <v>2</v>
      </c>
      <c r="O12" s="24" t="s">
        <v>2</v>
      </c>
      <c r="P12" s="25" t="s">
        <v>2</v>
      </c>
      <c r="Q12" s="25" t="s">
        <v>2</v>
      </c>
      <c r="R12" s="39"/>
      <c r="S12" s="39"/>
      <c r="T12" s="44"/>
      <c r="U12" s="65"/>
    </row>
    <row r="13" spans="1:21" ht="38.25" customHeight="1" x14ac:dyDescent="0.3">
      <c r="A13" s="18">
        <v>43838</v>
      </c>
      <c r="B13" s="40">
        <v>0.47929398148148145</v>
      </c>
      <c r="C13" s="20"/>
      <c r="D13" s="20">
        <v>0</v>
      </c>
      <c r="E13" s="21">
        <v>1</v>
      </c>
      <c r="F13" s="72" t="s">
        <v>3</v>
      </c>
      <c r="G13" s="72" t="s">
        <v>2</v>
      </c>
      <c r="H13" s="27"/>
      <c r="I13" s="27"/>
      <c r="J13" s="27"/>
      <c r="K13" s="28">
        <v>2600</v>
      </c>
      <c r="L13" s="62" t="s">
        <v>2</v>
      </c>
      <c r="M13" s="62" t="s">
        <v>2</v>
      </c>
      <c r="N13" s="64" t="s">
        <v>2</v>
      </c>
      <c r="O13" s="24" t="s">
        <v>2</v>
      </c>
      <c r="P13" s="25"/>
      <c r="Q13" s="25"/>
      <c r="R13" s="39">
        <v>4.2</v>
      </c>
      <c r="S13" s="39">
        <v>3.3</v>
      </c>
      <c r="T13" s="44"/>
      <c r="U13" s="65"/>
    </row>
    <row r="14" spans="1:21" ht="38.25" customHeight="1" x14ac:dyDescent="0.3">
      <c r="A14" s="18">
        <v>43838</v>
      </c>
      <c r="B14" s="40">
        <v>0.48002314814814812</v>
      </c>
      <c r="C14" s="20"/>
      <c r="D14" s="20">
        <v>30</v>
      </c>
      <c r="E14" s="21">
        <v>1</v>
      </c>
      <c r="F14" s="72" t="s">
        <v>0</v>
      </c>
      <c r="G14" s="72" t="s">
        <v>4</v>
      </c>
      <c r="H14" s="27"/>
      <c r="I14" s="27"/>
      <c r="J14" s="27"/>
      <c r="K14" s="23">
        <v>2900</v>
      </c>
      <c r="L14" s="62" t="s">
        <v>2</v>
      </c>
      <c r="M14" s="62" t="s">
        <v>2</v>
      </c>
      <c r="N14" s="64" t="s">
        <v>2</v>
      </c>
      <c r="O14" s="24" t="s">
        <v>2</v>
      </c>
      <c r="P14" s="25" t="s">
        <v>2</v>
      </c>
      <c r="Q14" s="25" t="s">
        <v>2</v>
      </c>
      <c r="R14" s="39"/>
      <c r="S14" s="39"/>
      <c r="T14" s="44"/>
      <c r="U14" s="65"/>
    </row>
    <row r="15" spans="1:21" ht="38.25" customHeight="1" x14ac:dyDescent="0.3">
      <c r="A15" s="18">
        <v>43838</v>
      </c>
      <c r="B15" s="40">
        <v>0.48032407407407413</v>
      </c>
      <c r="C15" s="20"/>
      <c r="D15" s="20">
        <v>0</v>
      </c>
      <c r="E15" s="21">
        <v>1</v>
      </c>
      <c r="F15" s="72" t="s">
        <v>3</v>
      </c>
      <c r="G15" s="72" t="s">
        <v>2</v>
      </c>
      <c r="H15" s="27"/>
      <c r="I15" s="27"/>
      <c r="J15" s="27"/>
      <c r="K15" s="28">
        <v>2900</v>
      </c>
      <c r="L15" s="62" t="s">
        <v>2</v>
      </c>
      <c r="M15" s="62" t="s">
        <v>2</v>
      </c>
      <c r="N15" s="64" t="s">
        <v>2</v>
      </c>
      <c r="O15" s="24" t="s">
        <v>2</v>
      </c>
      <c r="P15" s="25"/>
      <c r="Q15" s="25"/>
      <c r="R15" s="39">
        <v>5</v>
      </c>
      <c r="S15" s="39">
        <v>4.5999999999999996</v>
      </c>
      <c r="T15" s="44"/>
      <c r="U15" s="65"/>
    </row>
    <row r="16" spans="1:21" ht="38.25" customHeight="1" x14ac:dyDescent="0.3">
      <c r="A16" s="18">
        <v>43838</v>
      </c>
      <c r="B16" s="40">
        <v>0.4808912037037037</v>
      </c>
      <c r="C16" s="20"/>
      <c r="D16" s="20">
        <v>30</v>
      </c>
      <c r="E16" s="21">
        <v>1</v>
      </c>
      <c r="F16" s="72" t="s">
        <v>0</v>
      </c>
      <c r="G16" s="72" t="s">
        <v>4</v>
      </c>
      <c r="H16" s="27"/>
      <c r="I16" s="27"/>
      <c r="J16" s="27"/>
      <c r="K16" s="23">
        <v>3200</v>
      </c>
      <c r="L16" s="62" t="s">
        <v>2</v>
      </c>
      <c r="M16" s="62" t="s">
        <v>2</v>
      </c>
      <c r="N16" s="64" t="s">
        <v>2</v>
      </c>
      <c r="O16" s="24" t="s">
        <v>2</v>
      </c>
      <c r="P16" s="25" t="s">
        <v>2</v>
      </c>
      <c r="Q16" s="25" t="s">
        <v>2</v>
      </c>
      <c r="R16" s="39"/>
      <c r="S16" s="39"/>
      <c r="T16" s="44"/>
      <c r="U16" s="65"/>
    </row>
    <row r="17" spans="1:21" ht="38.25" customHeight="1" x14ac:dyDescent="0.3">
      <c r="A17" s="18">
        <v>43838</v>
      </c>
      <c r="B17" s="40">
        <v>0.48136574074074073</v>
      </c>
      <c r="C17" s="20"/>
      <c r="D17" s="20">
        <v>0</v>
      </c>
      <c r="E17" s="21">
        <v>1</v>
      </c>
      <c r="F17" s="72" t="s">
        <v>3</v>
      </c>
      <c r="G17" s="72" t="s">
        <v>2</v>
      </c>
      <c r="H17" s="27"/>
      <c r="I17" s="27"/>
      <c r="J17" s="27"/>
      <c r="K17" s="28">
        <v>3200</v>
      </c>
      <c r="L17" s="62" t="s">
        <v>2</v>
      </c>
      <c r="M17" s="62" t="s">
        <v>2</v>
      </c>
      <c r="N17" s="64" t="s">
        <v>2</v>
      </c>
      <c r="O17" s="24" t="s">
        <v>2</v>
      </c>
      <c r="P17" s="25"/>
      <c r="Q17" s="25"/>
      <c r="R17" s="39">
        <v>5.7</v>
      </c>
      <c r="S17" s="39">
        <v>6.2</v>
      </c>
      <c r="T17" s="44"/>
      <c r="U17" s="65"/>
    </row>
    <row r="18" spans="1:21" ht="38.25" customHeight="1" x14ac:dyDescent="0.3">
      <c r="A18" s="18">
        <v>43838</v>
      </c>
      <c r="B18" s="40">
        <v>0.48159722222222223</v>
      </c>
      <c r="C18" s="20"/>
      <c r="D18" s="20" t="s">
        <v>2</v>
      </c>
      <c r="E18" s="30" t="s">
        <v>2</v>
      </c>
      <c r="F18" s="72" t="s">
        <v>7</v>
      </c>
      <c r="G18" s="72" t="s">
        <v>2</v>
      </c>
      <c r="H18" s="27"/>
      <c r="I18" s="27"/>
      <c r="J18" s="27"/>
      <c r="K18" s="28">
        <v>2000</v>
      </c>
      <c r="L18" s="62" t="s">
        <v>2</v>
      </c>
      <c r="M18" s="62" t="s">
        <v>2</v>
      </c>
      <c r="N18" s="64" t="s">
        <v>2</v>
      </c>
      <c r="O18" s="29" t="s">
        <v>2</v>
      </c>
      <c r="P18" s="25" t="s">
        <v>2</v>
      </c>
      <c r="Q18" s="25" t="s">
        <v>2</v>
      </c>
      <c r="R18" s="39"/>
      <c r="S18" s="39"/>
      <c r="T18" s="44">
        <v>4.42</v>
      </c>
      <c r="U18" s="65"/>
    </row>
    <row r="19" spans="1:21" ht="38.25" customHeight="1" x14ac:dyDescent="0.3">
      <c r="A19" s="18">
        <v>43838</v>
      </c>
      <c r="B19" s="42">
        <v>0.49328703703703702</v>
      </c>
      <c r="C19" s="20"/>
      <c r="D19" s="20" t="s">
        <v>2</v>
      </c>
      <c r="E19" s="32">
        <v>2</v>
      </c>
      <c r="F19" s="72" t="s">
        <v>14</v>
      </c>
      <c r="G19" s="72" t="s">
        <v>162</v>
      </c>
      <c r="H19" s="27"/>
      <c r="I19" s="27"/>
      <c r="J19" s="27"/>
      <c r="K19" s="23">
        <v>2000</v>
      </c>
      <c r="L19" s="62" t="s">
        <v>2</v>
      </c>
      <c r="M19" s="62" t="s">
        <v>2</v>
      </c>
      <c r="N19" s="64" t="s">
        <v>2</v>
      </c>
      <c r="O19" s="31">
        <v>0.25</v>
      </c>
      <c r="P19" s="25" t="s">
        <v>2</v>
      </c>
      <c r="Q19" s="25" t="s">
        <v>2</v>
      </c>
      <c r="R19" s="39"/>
      <c r="S19" s="39"/>
      <c r="T19" s="44"/>
      <c r="U19" s="65" t="s">
        <v>132</v>
      </c>
    </row>
    <row r="20" spans="1:21" ht="38.25" customHeight="1" x14ac:dyDescent="0.3">
      <c r="A20" s="18">
        <v>43838</v>
      </c>
      <c r="B20" s="40">
        <v>0.49362268518518521</v>
      </c>
      <c r="C20" s="20"/>
      <c r="D20" s="20">
        <v>0</v>
      </c>
      <c r="E20" s="32">
        <v>2</v>
      </c>
      <c r="F20" s="72" t="s">
        <v>114</v>
      </c>
      <c r="G20" s="72" t="s">
        <v>2</v>
      </c>
      <c r="H20" s="27"/>
      <c r="I20" s="27"/>
      <c r="J20" s="27"/>
      <c r="K20" s="28">
        <v>2000</v>
      </c>
      <c r="L20" s="62" t="s">
        <v>2</v>
      </c>
      <c r="M20" s="62" t="s">
        <v>2</v>
      </c>
      <c r="N20" s="64" t="s">
        <v>2</v>
      </c>
      <c r="O20" s="29">
        <v>0.25</v>
      </c>
      <c r="P20" s="25"/>
      <c r="Q20" s="25"/>
      <c r="R20" s="39">
        <v>2.1</v>
      </c>
      <c r="S20" s="39">
        <v>1.4</v>
      </c>
      <c r="T20" s="44"/>
      <c r="U20" s="65"/>
    </row>
    <row r="21" spans="1:21" ht="38.25" customHeight="1" x14ac:dyDescent="0.3">
      <c r="A21" s="18">
        <v>43838</v>
      </c>
      <c r="B21" s="40">
        <v>0.49417824074074074</v>
      </c>
      <c r="C21" s="20"/>
      <c r="D21" s="20">
        <v>30</v>
      </c>
      <c r="E21" s="32">
        <v>2</v>
      </c>
      <c r="F21" s="72" t="s">
        <v>0</v>
      </c>
      <c r="G21" s="72" t="s">
        <v>4</v>
      </c>
      <c r="H21" s="27"/>
      <c r="I21" s="27"/>
      <c r="J21" s="27"/>
      <c r="K21" s="23">
        <v>2300</v>
      </c>
      <c r="L21" s="62" t="s">
        <v>2</v>
      </c>
      <c r="M21" s="62" t="s">
        <v>2</v>
      </c>
      <c r="N21" s="64" t="s">
        <v>2</v>
      </c>
      <c r="O21" s="29">
        <v>0.25</v>
      </c>
      <c r="P21" s="25" t="s">
        <v>2</v>
      </c>
      <c r="Q21" s="25" t="s">
        <v>2</v>
      </c>
      <c r="R21" s="39"/>
      <c r="S21" s="39"/>
      <c r="T21" s="44"/>
      <c r="U21" s="65"/>
    </row>
    <row r="22" spans="1:21" ht="38.25" customHeight="1" x14ac:dyDescent="0.3">
      <c r="A22" s="18">
        <v>43838</v>
      </c>
      <c r="B22" s="45">
        <v>0.49452546296296296</v>
      </c>
      <c r="C22" s="20"/>
      <c r="D22" s="20">
        <v>0</v>
      </c>
      <c r="E22" s="32">
        <v>2</v>
      </c>
      <c r="F22" s="72" t="s">
        <v>114</v>
      </c>
      <c r="G22" s="72" t="s">
        <v>2</v>
      </c>
      <c r="H22" s="27"/>
      <c r="I22" s="27"/>
      <c r="J22" s="27"/>
      <c r="K22" s="28">
        <v>2300</v>
      </c>
      <c r="L22" s="62" t="s">
        <v>2</v>
      </c>
      <c r="M22" s="62" t="s">
        <v>2</v>
      </c>
      <c r="N22" s="64" t="s">
        <v>2</v>
      </c>
      <c r="O22" s="29">
        <v>0.25</v>
      </c>
      <c r="P22" s="25"/>
      <c r="Q22" s="25"/>
      <c r="R22" s="39">
        <v>2.4</v>
      </c>
      <c r="S22" s="39">
        <v>2</v>
      </c>
      <c r="T22" s="44"/>
      <c r="U22" s="65" t="s">
        <v>117</v>
      </c>
    </row>
    <row r="23" spans="1:21" ht="38.25" customHeight="1" x14ac:dyDescent="0.3">
      <c r="A23" s="18">
        <v>43838</v>
      </c>
      <c r="B23" s="40">
        <v>0.49480324074074072</v>
      </c>
      <c r="C23" s="20"/>
      <c r="D23" s="20">
        <v>30</v>
      </c>
      <c r="E23" s="32">
        <v>2</v>
      </c>
      <c r="F23" s="72" t="s">
        <v>0</v>
      </c>
      <c r="G23" s="72" t="s">
        <v>4</v>
      </c>
      <c r="H23" s="27"/>
      <c r="I23" s="27"/>
      <c r="J23" s="27"/>
      <c r="K23" s="23">
        <v>2600</v>
      </c>
      <c r="L23" s="62" t="s">
        <v>2</v>
      </c>
      <c r="M23" s="62" t="s">
        <v>2</v>
      </c>
      <c r="N23" s="64" t="s">
        <v>2</v>
      </c>
      <c r="O23" s="29">
        <v>0.25</v>
      </c>
      <c r="P23" s="25" t="s">
        <v>2</v>
      </c>
      <c r="Q23" s="25" t="s">
        <v>2</v>
      </c>
      <c r="R23" s="39"/>
      <c r="S23" s="39"/>
      <c r="T23" s="44"/>
      <c r="U23" s="65"/>
    </row>
    <row r="24" spans="1:21" ht="38.25" customHeight="1" x14ac:dyDescent="0.3">
      <c r="A24" s="18">
        <v>43838</v>
      </c>
      <c r="B24" s="40">
        <v>0.495150462962963</v>
      </c>
      <c r="C24" s="20"/>
      <c r="D24" s="20">
        <v>0</v>
      </c>
      <c r="E24" s="32">
        <v>2</v>
      </c>
      <c r="F24" s="72" t="s">
        <v>114</v>
      </c>
      <c r="G24" s="72" t="s">
        <v>2</v>
      </c>
      <c r="H24" s="27"/>
      <c r="I24" s="27"/>
      <c r="J24" s="27"/>
      <c r="K24" s="28">
        <v>2600</v>
      </c>
      <c r="L24" s="62" t="s">
        <v>2</v>
      </c>
      <c r="M24" s="62" t="s">
        <v>2</v>
      </c>
      <c r="N24" s="64" t="s">
        <v>2</v>
      </c>
      <c r="O24" s="29">
        <v>0.25</v>
      </c>
      <c r="P24" s="25"/>
      <c r="Q24" s="25"/>
      <c r="R24" s="39">
        <v>2.9</v>
      </c>
      <c r="S24" s="39">
        <v>2.9</v>
      </c>
      <c r="T24" s="44"/>
      <c r="U24" s="65" t="s">
        <v>117</v>
      </c>
    </row>
    <row r="25" spans="1:21" ht="38.25" customHeight="1" x14ac:dyDescent="0.3">
      <c r="A25" s="18">
        <v>43838</v>
      </c>
      <c r="B25" s="40">
        <v>0.49563657407407408</v>
      </c>
      <c r="C25" s="20"/>
      <c r="D25" s="20">
        <v>30</v>
      </c>
      <c r="E25" s="32">
        <v>2</v>
      </c>
      <c r="F25" s="72" t="s">
        <v>0</v>
      </c>
      <c r="G25" s="72" t="s">
        <v>4</v>
      </c>
      <c r="H25" s="27"/>
      <c r="I25" s="27"/>
      <c r="J25" s="27"/>
      <c r="K25" s="23">
        <v>2900</v>
      </c>
      <c r="L25" s="62" t="s">
        <v>2</v>
      </c>
      <c r="M25" s="62" t="s">
        <v>2</v>
      </c>
      <c r="N25" s="64" t="s">
        <v>2</v>
      </c>
      <c r="O25" s="29">
        <v>0.25</v>
      </c>
      <c r="P25" s="25" t="s">
        <v>2</v>
      </c>
      <c r="Q25" s="25" t="s">
        <v>2</v>
      </c>
      <c r="R25" s="39"/>
      <c r="S25" s="39"/>
      <c r="T25" s="44"/>
      <c r="U25" s="65"/>
    </row>
    <row r="26" spans="1:21" ht="38.25" customHeight="1" x14ac:dyDescent="0.3">
      <c r="A26" s="18">
        <v>43838</v>
      </c>
      <c r="B26" s="40">
        <v>0.49608796296296293</v>
      </c>
      <c r="C26" s="20"/>
      <c r="D26" s="20">
        <v>0</v>
      </c>
      <c r="E26" s="32">
        <v>2</v>
      </c>
      <c r="F26" s="72" t="s">
        <v>114</v>
      </c>
      <c r="G26" s="72" t="s">
        <v>2</v>
      </c>
      <c r="H26" s="27"/>
      <c r="I26" s="27"/>
      <c r="J26" s="27"/>
      <c r="K26" s="28">
        <v>2900</v>
      </c>
      <c r="L26" s="62" t="s">
        <v>2</v>
      </c>
      <c r="M26" s="62" t="s">
        <v>2</v>
      </c>
      <c r="N26" s="64" t="s">
        <v>2</v>
      </c>
      <c r="O26" s="29">
        <v>0.25</v>
      </c>
      <c r="P26" s="25"/>
      <c r="Q26" s="25"/>
      <c r="R26" s="39">
        <v>3.3</v>
      </c>
      <c r="S26" s="39">
        <v>3.9</v>
      </c>
      <c r="T26" s="44"/>
      <c r="U26" s="65"/>
    </row>
    <row r="27" spans="1:21" ht="38.25" customHeight="1" x14ac:dyDescent="0.3">
      <c r="A27" s="18">
        <v>43838</v>
      </c>
      <c r="B27" s="40">
        <v>0.49634259259259261</v>
      </c>
      <c r="C27" s="20"/>
      <c r="D27" s="20" t="s">
        <v>2</v>
      </c>
      <c r="E27" s="30" t="s">
        <v>2</v>
      </c>
      <c r="F27" s="72" t="s">
        <v>7</v>
      </c>
      <c r="G27" s="72" t="s">
        <v>2</v>
      </c>
      <c r="H27" s="27"/>
      <c r="I27" s="27"/>
      <c r="J27" s="27"/>
      <c r="K27" s="28" t="s">
        <v>2</v>
      </c>
      <c r="L27" s="62" t="s">
        <v>2</v>
      </c>
      <c r="M27" s="62" t="s">
        <v>2</v>
      </c>
      <c r="N27" s="64" t="s">
        <v>2</v>
      </c>
      <c r="O27" s="29" t="s">
        <v>2</v>
      </c>
      <c r="P27" s="25" t="s">
        <v>2</v>
      </c>
      <c r="Q27" s="25" t="s">
        <v>2</v>
      </c>
      <c r="R27" s="39"/>
      <c r="S27" s="39"/>
      <c r="U27" s="65" t="s">
        <v>160</v>
      </c>
    </row>
    <row r="28" spans="1:21" ht="38.25" customHeight="1" x14ac:dyDescent="0.3">
      <c r="A28" s="18">
        <v>43838</v>
      </c>
      <c r="B28" s="42">
        <v>0.50844907407407403</v>
      </c>
      <c r="C28" s="20"/>
      <c r="D28" s="20" t="s">
        <v>2</v>
      </c>
      <c r="E28" s="21">
        <v>3</v>
      </c>
      <c r="F28" s="72" t="s">
        <v>14</v>
      </c>
      <c r="G28" s="72" t="s">
        <v>161</v>
      </c>
      <c r="H28" s="27"/>
      <c r="I28" s="27"/>
      <c r="J28" s="27"/>
      <c r="K28" s="23">
        <v>2000</v>
      </c>
      <c r="L28" s="62" t="s">
        <v>2</v>
      </c>
      <c r="M28" s="62" t="s">
        <v>2</v>
      </c>
      <c r="N28" s="64" t="s">
        <v>2</v>
      </c>
      <c r="O28" s="29">
        <v>0.25</v>
      </c>
      <c r="P28" s="25" t="s">
        <v>2</v>
      </c>
      <c r="Q28" s="25" t="s">
        <v>2</v>
      </c>
      <c r="R28" s="39"/>
      <c r="S28" s="39"/>
      <c r="T28" s="44"/>
      <c r="U28" s="65" t="s">
        <v>131</v>
      </c>
    </row>
    <row r="29" spans="1:21" ht="38.25" customHeight="1" x14ac:dyDescent="0.3">
      <c r="A29" s="18">
        <v>43838</v>
      </c>
      <c r="B29" s="40">
        <v>0.50871527777777781</v>
      </c>
      <c r="C29" s="20"/>
      <c r="D29" s="20">
        <v>0</v>
      </c>
      <c r="E29" s="21">
        <v>3</v>
      </c>
      <c r="F29" s="72" t="s">
        <v>114</v>
      </c>
      <c r="G29" s="72" t="s">
        <v>2</v>
      </c>
      <c r="H29" s="27"/>
      <c r="I29" s="27"/>
      <c r="J29" s="27"/>
      <c r="K29" s="28">
        <v>2000</v>
      </c>
      <c r="L29" s="62" t="s">
        <v>2</v>
      </c>
      <c r="M29" s="62" t="s">
        <v>2</v>
      </c>
      <c r="N29" s="64" t="s">
        <v>2</v>
      </c>
      <c r="O29" s="29">
        <v>0.25</v>
      </c>
      <c r="P29" s="25"/>
      <c r="Q29" s="25"/>
      <c r="R29" s="39">
        <v>2.1</v>
      </c>
      <c r="S29" s="39">
        <v>1.4</v>
      </c>
      <c r="U29" s="65"/>
    </row>
    <row r="30" spans="1:21" ht="38.25" customHeight="1" x14ac:dyDescent="0.3">
      <c r="A30" s="18">
        <v>43838</v>
      </c>
      <c r="B30" s="40">
        <v>0.50902777777777775</v>
      </c>
      <c r="C30" s="20"/>
      <c r="D30" s="20"/>
      <c r="E30" s="21">
        <v>3</v>
      </c>
      <c r="F30" s="72" t="s">
        <v>108</v>
      </c>
      <c r="G30" s="90" t="s">
        <v>125</v>
      </c>
      <c r="H30" s="27"/>
      <c r="I30" s="27"/>
      <c r="J30" s="27"/>
      <c r="K30" s="28">
        <v>2000</v>
      </c>
      <c r="L30" s="62" t="s">
        <v>2</v>
      </c>
      <c r="M30" s="62" t="s">
        <v>2</v>
      </c>
      <c r="N30" s="64" t="s">
        <v>2</v>
      </c>
      <c r="O30" s="29">
        <v>0.25</v>
      </c>
      <c r="P30" s="25" t="s">
        <v>2</v>
      </c>
      <c r="Q30" s="25" t="s">
        <v>2</v>
      </c>
      <c r="R30" s="39"/>
      <c r="S30" s="39"/>
      <c r="T30" s="44"/>
      <c r="U30" s="81" t="s">
        <v>118</v>
      </c>
    </row>
    <row r="31" spans="1:21" ht="38.25" customHeight="1" x14ac:dyDescent="0.3">
      <c r="A31" s="18">
        <v>43838</v>
      </c>
      <c r="B31" s="40">
        <v>0.5151041666666667</v>
      </c>
      <c r="C31" s="20"/>
      <c r="D31" s="20"/>
      <c r="E31" s="21">
        <v>3</v>
      </c>
      <c r="F31" s="72" t="s">
        <v>112</v>
      </c>
      <c r="G31" s="72" t="s">
        <v>2</v>
      </c>
      <c r="H31" s="27"/>
      <c r="I31" s="27"/>
      <c r="J31" s="27"/>
      <c r="K31" s="28">
        <v>2000</v>
      </c>
      <c r="L31" s="62" t="s">
        <v>2</v>
      </c>
      <c r="M31" s="62" t="s">
        <v>2</v>
      </c>
      <c r="N31" s="64" t="s">
        <v>2</v>
      </c>
      <c r="O31" s="29">
        <v>0.25</v>
      </c>
      <c r="P31" s="25" t="s">
        <v>2</v>
      </c>
      <c r="Q31" s="25" t="s">
        <v>2</v>
      </c>
      <c r="R31" s="39"/>
      <c r="S31" s="39"/>
      <c r="T31" s="44"/>
      <c r="U31" s="65"/>
    </row>
    <row r="32" spans="1:21" ht="38.25" customHeight="1" x14ac:dyDescent="0.3">
      <c r="A32" s="18">
        <v>43838</v>
      </c>
      <c r="B32" s="42">
        <v>0.51718750000000002</v>
      </c>
      <c r="C32" s="20"/>
      <c r="D32" s="20">
        <v>0</v>
      </c>
      <c r="E32" s="21">
        <v>3</v>
      </c>
      <c r="F32" s="72" t="s">
        <v>114</v>
      </c>
      <c r="G32" s="72" t="s">
        <v>2</v>
      </c>
      <c r="H32" s="27"/>
      <c r="I32" s="27"/>
      <c r="J32" s="27"/>
      <c r="K32" s="28">
        <v>2000</v>
      </c>
      <c r="L32" s="62" t="s">
        <v>2</v>
      </c>
      <c r="M32" s="62" t="s">
        <v>2</v>
      </c>
      <c r="N32" s="64" t="s">
        <v>2</v>
      </c>
      <c r="O32" s="29">
        <v>0.25</v>
      </c>
      <c r="P32" s="25"/>
      <c r="Q32" s="25"/>
      <c r="R32" s="39">
        <v>2</v>
      </c>
      <c r="S32" s="39">
        <v>1.4</v>
      </c>
      <c r="T32" s="44"/>
      <c r="U32" s="65"/>
    </row>
    <row r="33" spans="1:21" ht="38.25" customHeight="1" x14ac:dyDescent="0.3">
      <c r="A33" s="18">
        <v>43838</v>
      </c>
      <c r="B33" s="40">
        <v>0.51753472222222219</v>
      </c>
      <c r="C33" s="20"/>
      <c r="D33" s="20">
        <v>30</v>
      </c>
      <c r="E33" s="21">
        <v>3</v>
      </c>
      <c r="F33" s="72" t="s">
        <v>0</v>
      </c>
      <c r="G33" s="72" t="s">
        <v>4</v>
      </c>
      <c r="H33" s="27"/>
      <c r="I33" s="27"/>
      <c r="J33" s="27"/>
      <c r="K33" s="23">
        <v>2300</v>
      </c>
      <c r="L33" s="62" t="s">
        <v>2</v>
      </c>
      <c r="M33" s="62" t="s">
        <v>2</v>
      </c>
      <c r="N33" s="64" t="s">
        <v>2</v>
      </c>
      <c r="O33" s="29">
        <v>0.25</v>
      </c>
      <c r="P33" s="25" t="s">
        <v>2</v>
      </c>
      <c r="Q33" s="25" t="s">
        <v>2</v>
      </c>
      <c r="R33" s="39"/>
      <c r="S33" s="39"/>
      <c r="T33" s="44"/>
      <c r="U33" s="65"/>
    </row>
    <row r="34" spans="1:21" ht="38.25" customHeight="1" x14ac:dyDescent="0.3">
      <c r="A34" s="18">
        <v>43838</v>
      </c>
      <c r="B34" s="46">
        <v>0.51788194444444446</v>
      </c>
      <c r="C34" s="20"/>
      <c r="D34" s="20">
        <v>0</v>
      </c>
      <c r="E34" s="21">
        <v>3</v>
      </c>
      <c r="F34" s="72" t="s">
        <v>114</v>
      </c>
      <c r="G34" s="72" t="s">
        <v>2</v>
      </c>
      <c r="H34" s="27"/>
      <c r="I34" s="27"/>
      <c r="J34" s="27"/>
      <c r="K34" s="28">
        <v>2300</v>
      </c>
      <c r="L34" s="62" t="s">
        <v>2</v>
      </c>
      <c r="M34" s="62" t="s">
        <v>2</v>
      </c>
      <c r="N34" s="64" t="s">
        <v>2</v>
      </c>
      <c r="O34" s="29">
        <v>0.25</v>
      </c>
      <c r="P34" s="25"/>
      <c r="Q34" s="25"/>
      <c r="R34" s="39">
        <v>2.2999999999999998</v>
      </c>
      <c r="S34" s="39">
        <v>2</v>
      </c>
      <c r="T34" s="44"/>
      <c r="U34" s="65"/>
    </row>
    <row r="35" spans="1:21" ht="38.25" customHeight="1" x14ac:dyDescent="0.3">
      <c r="A35" s="18">
        <v>43838</v>
      </c>
      <c r="B35" s="40">
        <v>0.51811342592592591</v>
      </c>
      <c r="C35" s="20"/>
      <c r="D35" s="20">
        <v>30</v>
      </c>
      <c r="E35" s="21">
        <v>3</v>
      </c>
      <c r="F35" s="72" t="s">
        <v>0</v>
      </c>
      <c r="G35" s="72" t="s">
        <v>4</v>
      </c>
      <c r="H35" s="27"/>
      <c r="I35" s="27"/>
      <c r="J35" s="27"/>
      <c r="K35" s="23">
        <v>2600</v>
      </c>
      <c r="L35" s="62" t="s">
        <v>2</v>
      </c>
      <c r="M35" s="62" t="s">
        <v>2</v>
      </c>
      <c r="N35" s="64" t="s">
        <v>2</v>
      </c>
      <c r="O35" s="29">
        <v>0.25</v>
      </c>
      <c r="P35" s="25" t="s">
        <v>2</v>
      </c>
      <c r="Q35" s="25" t="s">
        <v>2</v>
      </c>
      <c r="R35" s="39"/>
      <c r="S35" s="39"/>
      <c r="T35" s="44"/>
      <c r="U35" s="65"/>
    </row>
    <row r="36" spans="1:21" ht="38.25" customHeight="1" x14ac:dyDescent="0.3">
      <c r="A36" s="18">
        <v>43838</v>
      </c>
      <c r="B36" s="40">
        <v>0.51872685185185186</v>
      </c>
      <c r="C36" s="20"/>
      <c r="D36" s="20">
        <v>0</v>
      </c>
      <c r="E36" s="21">
        <v>3</v>
      </c>
      <c r="F36" s="72" t="s">
        <v>114</v>
      </c>
      <c r="G36" s="72" t="s">
        <v>2</v>
      </c>
      <c r="H36" s="27"/>
      <c r="I36" s="27"/>
      <c r="J36" s="27"/>
      <c r="K36" s="28">
        <v>2600</v>
      </c>
      <c r="L36" s="62" t="s">
        <v>2</v>
      </c>
      <c r="M36" s="62" t="s">
        <v>2</v>
      </c>
      <c r="N36" s="64" t="s">
        <v>2</v>
      </c>
      <c r="O36" s="29">
        <v>0.25</v>
      </c>
      <c r="P36" s="25"/>
      <c r="Q36" s="25"/>
      <c r="R36" s="39">
        <v>2.8</v>
      </c>
      <c r="S36" s="39">
        <v>2.8</v>
      </c>
      <c r="T36" s="44"/>
      <c r="U36" s="65"/>
    </row>
    <row r="37" spans="1:21" ht="38.25" customHeight="1" x14ac:dyDescent="0.3">
      <c r="A37" s="18">
        <v>43838</v>
      </c>
      <c r="B37" s="40">
        <v>0.51913194444444444</v>
      </c>
      <c r="C37" s="20"/>
      <c r="D37" s="20">
        <v>30</v>
      </c>
      <c r="E37" s="21">
        <v>3</v>
      </c>
      <c r="F37" s="72" t="s">
        <v>0</v>
      </c>
      <c r="G37" s="72" t="s">
        <v>4</v>
      </c>
      <c r="H37" s="27"/>
      <c r="I37" s="27"/>
      <c r="J37" s="27"/>
      <c r="K37" s="23">
        <v>2900</v>
      </c>
      <c r="L37" s="62" t="s">
        <v>2</v>
      </c>
      <c r="M37" s="62" t="s">
        <v>2</v>
      </c>
      <c r="N37" s="64" t="s">
        <v>2</v>
      </c>
      <c r="O37" s="29">
        <v>0.25</v>
      </c>
      <c r="P37" s="25" t="s">
        <v>2</v>
      </c>
      <c r="Q37" s="25" t="s">
        <v>2</v>
      </c>
      <c r="R37" s="39"/>
      <c r="S37" s="39"/>
      <c r="T37" s="44"/>
      <c r="U37" s="65"/>
    </row>
    <row r="38" spans="1:21" ht="38.25" customHeight="1" x14ac:dyDescent="0.3">
      <c r="A38" s="18">
        <v>43838</v>
      </c>
      <c r="B38" s="46">
        <v>0.51927083333333335</v>
      </c>
      <c r="C38" s="20"/>
      <c r="D38" s="20">
        <v>0</v>
      </c>
      <c r="E38" s="21">
        <v>3</v>
      </c>
      <c r="F38" s="72" t="s">
        <v>114</v>
      </c>
      <c r="G38" s="72" t="s">
        <v>2</v>
      </c>
      <c r="H38" s="27"/>
      <c r="I38" s="27"/>
      <c r="J38" s="27"/>
      <c r="K38" s="28">
        <v>2900</v>
      </c>
      <c r="L38" s="62" t="s">
        <v>2</v>
      </c>
      <c r="M38" s="62" t="s">
        <v>2</v>
      </c>
      <c r="N38" s="64" t="s">
        <v>2</v>
      </c>
      <c r="O38" s="29">
        <v>0.25</v>
      </c>
      <c r="P38" s="25"/>
      <c r="Q38" s="25"/>
      <c r="R38" s="39">
        <v>3.2</v>
      </c>
      <c r="S38" s="39">
        <v>3.9</v>
      </c>
      <c r="T38" s="44"/>
      <c r="U38" s="65"/>
    </row>
    <row r="39" spans="1:21" ht="38.25" customHeight="1" x14ac:dyDescent="0.3">
      <c r="A39" s="18">
        <v>43838</v>
      </c>
      <c r="B39" s="40">
        <v>0.52053240740740747</v>
      </c>
      <c r="C39" s="20"/>
      <c r="D39" s="20" t="s">
        <v>2</v>
      </c>
      <c r="E39" s="21">
        <v>3</v>
      </c>
      <c r="F39" s="72" t="s">
        <v>7</v>
      </c>
      <c r="G39" s="72" t="s">
        <v>2</v>
      </c>
      <c r="H39" s="27"/>
      <c r="I39" s="27"/>
      <c r="J39" s="27"/>
      <c r="K39" s="28">
        <v>2900</v>
      </c>
      <c r="L39" s="62" t="s">
        <v>2</v>
      </c>
      <c r="M39" s="62" t="s">
        <v>2</v>
      </c>
      <c r="N39" s="64" t="s">
        <v>2</v>
      </c>
      <c r="O39" s="29">
        <v>0.25</v>
      </c>
      <c r="P39" s="25" t="s">
        <v>2</v>
      </c>
      <c r="Q39" s="25" t="s">
        <v>2</v>
      </c>
      <c r="R39" s="39"/>
      <c r="S39" s="39"/>
      <c r="T39" s="44"/>
      <c r="U39" s="65"/>
    </row>
    <row r="40" spans="1:21" ht="38.25" customHeight="1" x14ac:dyDescent="0.3">
      <c r="A40" s="18">
        <v>43838</v>
      </c>
      <c r="B40" s="40">
        <v>0.52326388888888886</v>
      </c>
      <c r="C40" s="20"/>
      <c r="D40" s="20" t="s">
        <v>2</v>
      </c>
      <c r="E40" s="21">
        <v>3</v>
      </c>
      <c r="F40" s="72" t="s">
        <v>14</v>
      </c>
      <c r="G40" s="72" t="s">
        <v>2</v>
      </c>
      <c r="H40" s="27"/>
      <c r="I40" s="27"/>
      <c r="J40" s="27"/>
      <c r="K40" s="28">
        <v>2900</v>
      </c>
      <c r="L40" s="62" t="s">
        <v>2</v>
      </c>
      <c r="M40" s="62" t="s">
        <v>2</v>
      </c>
      <c r="N40" s="64" t="s">
        <v>2</v>
      </c>
      <c r="O40" s="29">
        <v>0.25</v>
      </c>
      <c r="P40" s="25" t="s">
        <v>2</v>
      </c>
      <c r="Q40" s="25" t="s">
        <v>2</v>
      </c>
      <c r="R40" s="19"/>
      <c r="S40" s="19"/>
      <c r="T40" s="44"/>
      <c r="U40" s="65"/>
    </row>
    <row r="41" spans="1:21" ht="38.25" customHeight="1" x14ac:dyDescent="0.3">
      <c r="A41" s="18">
        <v>43838</v>
      </c>
      <c r="B41" s="40">
        <v>0.52337962962962969</v>
      </c>
      <c r="C41" s="20"/>
      <c r="D41" s="20">
        <v>30</v>
      </c>
      <c r="E41" s="21">
        <v>3</v>
      </c>
      <c r="F41" s="72" t="s">
        <v>53</v>
      </c>
      <c r="G41" s="72" t="s">
        <v>4</v>
      </c>
      <c r="H41" s="27"/>
      <c r="I41" s="27"/>
      <c r="J41" s="27"/>
      <c r="K41" s="23">
        <v>3200</v>
      </c>
      <c r="L41" s="62" t="s">
        <v>2</v>
      </c>
      <c r="M41" s="62" t="s">
        <v>2</v>
      </c>
      <c r="N41" s="64" t="s">
        <v>2</v>
      </c>
      <c r="O41" s="29">
        <v>0.25</v>
      </c>
      <c r="P41" s="25" t="s">
        <v>2</v>
      </c>
      <c r="Q41" s="25" t="s">
        <v>2</v>
      </c>
      <c r="R41" s="39"/>
      <c r="S41" s="39"/>
      <c r="T41" s="44"/>
      <c r="U41" s="65"/>
    </row>
    <row r="42" spans="1:21" ht="38.25" customHeight="1" x14ac:dyDescent="0.3">
      <c r="A42" s="18">
        <v>43838</v>
      </c>
      <c r="B42" s="40">
        <v>0.52458333333333329</v>
      </c>
      <c r="C42" s="20"/>
      <c r="D42" s="20">
        <v>0</v>
      </c>
      <c r="E42" s="21">
        <v>3</v>
      </c>
      <c r="F42" s="72" t="s">
        <v>114</v>
      </c>
      <c r="G42" s="72" t="s">
        <v>2</v>
      </c>
      <c r="H42" s="27"/>
      <c r="I42" s="27"/>
      <c r="J42" s="27"/>
      <c r="K42" s="28">
        <v>3200</v>
      </c>
      <c r="L42" s="62" t="s">
        <v>2</v>
      </c>
      <c r="M42" s="62" t="s">
        <v>2</v>
      </c>
      <c r="N42" s="64" t="s">
        <v>2</v>
      </c>
      <c r="O42" s="29">
        <v>0.25</v>
      </c>
      <c r="P42" s="25"/>
      <c r="Q42" s="25"/>
      <c r="R42" s="39">
        <v>3.7</v>
      </c>
      <c r="S42" s="39">
        <v>5.0999999999999996</v>
      </c>
      <c r="T42" s="44"/>
      <c r="U42" s="65"/>
    </row>
    <row r="43" spans="1:21" ht="38.25" customHeight="1" x14ac:dyDescent="0.3">
      <c r="A43" s="18">
        <v>43838</v>
      </c>
      <c r="B43" s="40">
        <v>0.52500000000000002</v>
      </c>
      <c r="C43" s="20"/>
      <c r="D43" s="20" t="s">
        <v>2</v>
      </c>
      <c r="E43" s="30" t="s">
        <v>2</v>
      </c>
      <c r="F43" s="72" t="s">
        <v>7</v>
      </c>
      <c r="G43" s="72" t="s">
        <v>168</v>
      </c>
      <c r="H43" s="27"/>
      <c r="I43" s="27"/>
      <c r="J43" s="27"/>
      <c r="K43" s="23">
        <v>2600</v>
      </c>
      <c r="L43" s="62" t="s">
        <v>2</v>
      </c>
      <c r="M43" s="62" t="s">
        <v>2</v>
      </c>
      <c r="N43" s="64" t="s">
        <v>2</v>
      </c>
      <c r="O43" s="31">
        <v>0</v>
      </c>
      <c r="P43" s="25" t="s">
        <v>2</v>
      </c>
      <c r="Q43" s="25" t="s">
        <v>2</v>
      </c>
      <c r="R43" s="39"/>
      <c r="S43" s="39"/>
      <c r="T43" s="44"/>
      <c r="U43" s="65" t="s">
        <v>119</v>
      </c>
    </row>
    <row r="44" spans="1:21" ht="38.25" customHeight="1" x14ac:dyDescent="0.3">
      <c r="A44" s="18">
        <v>43838</v>
      </c>
      <c r="B44" s="88">
        <v>0.58333333333333337</v>
      </c>
      <c r="C44" s="20"/>
      <c r="D44" s="20" t="s">
        <v>2</v>
      </c>
      <c r="E44" s="32">
        <v>4</v>
      </c>
      <c r="F44" s="72" t="s">
        <v>14</v>
      </c>
      <c r="G44" s="72" t="s">
        <v>164</v>
      </c>
      <c r="H44" s="27"/>
      <c r="I44" s="27"/>
      <c r="J44" s="27"/>
      <c r="K44" s="28">
        <v>2600</v>
      </c>
      <c r="L44" s="62" t="s">
        <v>2</v>
      </c>
      <c r="M44" s="62" t="s">
        <v>2</v>
      </c>
      <c r="N44" s="64" t="s">
        <v>2</v>
      </c>
      <c r="O44" s="29">
        <v>0</v>
      </c>
      <c r="P44" s="25" t="s">
        <v>2</v>
      </c>
      <c r="Q44" s="25" t="s">
        <v>2</v>
      </c>
      <c r="R44" s="19"/>
      <c r="S44" s="19"/>
      <c r="T44" s="44"/>
      <c r="U44" s="66" t="s">
        <v>138</v>
      </c>
    </row>
    <row r="45" spans="1:21" ht="38.25" customHeight="1" x14ac:dyDescent="0.3">
      <c r="A45" s="18">
        <v>43838</v>
      </c>
      <c r="B45" s="40">
        <v>0.58682870370370377</v>
      </c>
      <c r="C45" s="20"/>
      <c r="D45" s="20">
        <v>0</v>
      </c>
      <c r="E45" s="32">
        <v>4</v>
      </c>
      <c r="F45" s="72" t="s">
        <v>3</v>
      </c>
      <c r="G45" s="72" t="s">
        <v>2</v>
      </c>
      <c r="H45" s="27"/>
      <c r="I45" s="27"/>
      <c r="J45" s="27"/>
      <c r="K45" s="28">
        <v>2600</v>
      </c>
      <c r="L45" s="62" t="s">
        <v>2</v>
      </c>
      <c r="M45" s="62" t="s">
        <v>2</v>
      </c>
      <c r="N45" s="64" t="s">
        <v>2</v>
      </c>
      <c r="O45" s="29">
        <v>0</v>
      </c>
      <c r="P45" s="25" t="s">
        <v>2</v>
      </c>
      <c r="Q45" s="25" t="s">
        <v>2</v>
      </c>
      <c r="R45" s="39">
        <v>4.0999999999999996</v>
      </c>
      <c r="S45" s="39">
        <v>3.3</v>
      </c>
      <c r="T45" s="44">
        <v>5.85</v>
      </c>
      <c r="U45" s="65" t="s">
        <v>137</v>
      </c>
    </row>
    <row r="46" spans="1:21" ht="38.25" customHeight="1" x14ac:dyDescent="0.3">
      <c r="A46" s="18">
        <v>43838</v>
      </c>
      <c r="B46" s="40">
        <v>0.5869212962962963</v>
      </c>
      <c r="C46" s="20"/>
      <c r="D46" s="20" t="s">
        <v>2</v>
      </c>
      <c r="E46" s="32">
        <v>4</v>
      </c>
      <c r="F46" s="72" t="s">
        <v>108</v>
      </c>
      <c r="G46" s="72" t="s">
        <v>107</v>
      </c>
      <c r="H46" s="27"/>
      <c r="I46" s="27"/>
      <c r="J46" s="27"/>
      <c r="K46" s="28">
        <v>2600</v>
      </c>
      <c r="L46" s="62" t="s">
        <v>2</v>
      </c>
      <c r="M46" s="62" t="s">
        <v>2</v>
      </c>
      <c r="N46" s="64" t="s">
        <v>2</v>
      </c>
      <c r="O46" s="31">
        <v>0.25</v>
      </c>
      <c r="P46" s="25" t="s">
        <v>2</v>
      </c>
      <c r="Q46" s="25" t="s">
        <v>2</v>
      </c>
      <c r="R46" s="39"/>
      <c r="S46" s="39"/>
      <c r="T46" s="44"/>
      <c r="U46" s="65" t="s">
        <v>130</v>
      </c>
    </row>
    <row r="47" spans="1:21" ht="38.25" customHeight="1" x14ac:dyDescent="0.3">
      <c r="A47" s="18">
        <v>43838</v>
      </c>
      <c r="B47" s="40">
        <v>0.59456018518518516</v>
      </c>
      <c r="C47" s="20"/>
      <c r="D47" s="20" t="s">
        <v>2</v>
      </c>
      <c r="E47" s="32">
        <v>4</v>
      </c>
      <c r="F47" s="72" t="s">
        <v>112</v>
      </c>
      <c r="G47" s="72" t="s">
        <v>2</v>
      </c>
      <c r="H47" s="27"/>
      <c r="I47" s="27"/>
      <c r="J47" s="27"/>
      <c r="K47" s="28">
        <v>2600</v>
      </c>
      <c r="L47" s="62" t="s">
        <v>2</v>
      </c>
      <c r="M47" s="62" t="s">
        <v>2</v>
      </c>
      <c r="N47" s="64" t="s">
        <v>2</v>
      </c>
      <c r="O47" s="29">
        <v>0.25</v>
      </c>
      <c r="P47" s="25" t="s">
        <v>2</v>
      </c>
      <c r="Q47" s="25" t="s">
        <v>2</v>
      </c>
      <c r="R47" s="19"/>
      <c r="S47" s="19"/>
      <c r="T47" s="44"/>
      <c r="U47" s="65"/>
    </row>
    <row r="48" spans="1:21" ht="38.25" customHeight="1" x14ac:dyDescent="0.3">
      <c r="A48" s="18">
        <v>43838</v>
      </c>
      <c r="B48" s="40">
        <v>0.59459490740740739</v>
      </c>
      <c r="C48" s="20"/>
      <c r="D48" s="20">
        <v>0</v>
      </c>
      <c r="E48" s="32">
        <v>4</v>
      </c>
      <c r="F48" s="72" t="s">
        <v>114</v>
      </c>
      <c r="G48" s="72" t="s">
        <v>2</v>
      </c>
      <c r="H48" s="27"/>
      <c r="I48" s="27"/>
      <c r="J48" s="27"/>
      <c r="K48" s="28">
        <v>2600</v>
      </c>
      <c r="L48" s="62" t="s">
        <v>2</v>
      </c>
      <c r="M48" s="62" t="s">
        <v>2</v>
      </c>
      <c r="N48" s="64" t="s">
        <v>2</v>
      </c>
      <c r="O48" s="29">
        <v>0.25</v>
      </c>
      <c r="P48" s="25" t="s">
        <v>2</v>
      </c>
      <c r="Q48" s="25" t="s">
        <v>2</v>
      </c>
      <c r="R48" s="39">
        <v>2.9</v>
      </c>
      <c r="S48" s="39">
        <v>2.8</v>
      </c>
      <c r="T48" s="44"/>
      <c r="U48" s="65"/>
    </row>
    <row r="49" spans="1:21" ht="38.25" customHeight="1" x14ac:dyDescent="0.3">
      <c r="A49" s="18">
        <v>43838</v>
      </c>
      <c r="B49" s="40">
        <v>0.59482638888888884</v>
      </c>
      <c r="C49" s="20"/>
      <c r="D49" s="20">
        <v>30</v>
      </c>
      <c r="E49" s="32">
        <v>4</v>
      </c>
      <c r="F49" s="72" t="s">
        <v>0</v>
      </c>
      <c r="G49" s="72" t="s">
        <v>4</v>
      </c>
      <c r="H49" s="27"/>
      <c r="I49" s="27"/>
      <c r="J49" s="27"/>
      <c r="K49" s="23">
        <v>2000</v>
      </c>
      <c r="L49" s="62" t="s">
        <v>2</v>
      </c>
      <c r="M49" s="62" t="s">
        <v>2</v>
      </c>
      <c r="N49" s="64" t="s">
        <v>2</v>
      </c>
      <c r="O49" s="29">
        <v>0.25</v>
      </c>
      <c r="P49" s="25" t="s">
        <v>2</v>
      </c>
      <c r="Q49" s="25" t="s">
        <v>2</v>
      </c>
      <c r="R49" s="39"/>
      <c r="S49" s="39"/>
      <c r="T49" s="44"/>
      <c r="U49" s="65"/>
    </row>
    <row r="50" spans="1:21" ht="38.25" customHeight="1" x14ac:dyDescent="0.3">
      <c r="A50" s="18">
        <v>43838</v>
      </c>
      <c r="B50" s="40">
        <v>0.5951157407407407</v>
      </c>
      <c r="C50" s="20"/>
      <c r="D50" s="20">
        <v>0</v>
      </c>
      <c r="E50" s="32">
        <v>4</v>
      </c>
      <c r="F50" s="72" t="s">
        <v>114</v>
      </c>
      <c r="G50" s="72" t="s">
        <v>2</v>
      </c>
      <c r="H50" s="27"/>
      <c r="I50" s="27"/>
      <c r="J50" s="27"/>
      <c r="K50" s="28">
        <v>2000</v>
      </c>
      <c r="L50" s="62" t="s">
        <v>2</v>
      </c>
      <c r="M50" s="62" t="s">
        <v>2</v>
      </c>
      <c r="N50" s="64" t="s">
        <v>2</v>
      </c>
      <c r="O50" s="29">
        <v>0.25</v>
      </c>
      <c r="P50" s="25"/>
      <c r="Q50" s="25"/>
      <c r="R50" s="39">
        <v>1.9</v>
      </c>
      <c r="S50" s="39">
        <v>1.4</v>
      </c>
      <c r="T50" s="44"/>
      <c r="U50" s="65"/>
    </row>
    <row r="51" spans="1:21" ht="38.25" customHeight="1" x14ac:dyDescent="0.3">
      <c r="A51" s="18">
        <v>43838</v>
      </c>
      <c r="B51" s="40">
        <v>0.59541666666666659</v>
      </c>
      <c r="C51" s="20"/>
      <c r="D51" s="20">
        <v>30</v>
      </c>
      <c r="E51" s="32">
        <v>4</v>
      </c>
      <c r="F51" s="72" t="s">
        <v>0</v>
      </c>
      <c r="G51" s="72" t="s">
        <v>4</v>
      </c>
      <c r="H51" s="27"/>
      <c r="I51" s="27"/>
      <c r="J51" s="27"/>
      <c r="K51" s="23">
        <v>2300</v>
      </c>
      <c r="L51" s="62" t="s">
        <v>2</v>
      </c>
      <c r="M51" s="62" t="s">
        <v>2</v>
      </c>
      <c r="N51" s="64" t="s">
        <v>2</v>
      </c>
      <c r="O51" s="29">
        <v>0.25</v>
      </c>
      <c r="P51" s="25" t="s">
        <v>2</v>
      </c>
      <c r="Q51" s="25" t="s">
        <v>2</v>
      </c>
      <c r="R51" s="39"/>
      <c r="S51" s="39"/>
      <c r="T51" s="44"/>
      <c r="U51" s="65"/>
    </row>
    <row r="52" spans="1:21" ht="38.25" customHeight="1" x14ac:dyDescent="0.3">
      <c r="A52" s="18">
        <v>43838</v>
      </c>
      <c r="B52" s="40">
        <v>0.59593750000000001</v>
      </c>
      <c r="C52" s="20"/>
      <c r="D52" s="20">
        <v>0</v>
      </c>
      <c r="E52" s="32">
        <v>4</v>
      </c>
      <c r="F52" s="72" t="s">
        <v>114</v>
      </c>
      <c r="G52" s="72" t="s">
        <v>2</v>
      </c>
      <c r="H52" s="27"/>
      <c r="I52" s="27"/>
      <c r="J52" s="27"/>
      <c r="K52" s="28">
        <v>2300</v>
      </c>
      <c r="L52" s="62" t="s">
        <v>2</v>
      </c>
      <c r="M52" s="62" t="s">
        <v>2</v>
      </c>
      <c r="N52" s="64" t="s">
        <v>2</v>
      </c>
      <c r="O52" s="29">
        <v>0.25</v>
      </c>
      <c r="P52" s="25"/>
      <c r="Q52" s="25"/>
      <c r="R52" s="39">
        <v>2.2999999999999998</v>
      </c>
      <c r="S52" s="39">
        <v>2</v>
      </c>
      <c r="T52" s="44"/>
      <c r="U52" s="65"/>
    </row>
    <row r="53" spans="1:21" ht="38.25" customHeight="1" x14ac:dyDescent="0.3">
      <c r="A53" s="18">
        <v>43838</v>
      </c>
      <c r="B53" s="40">
        <v>0.59631944444444451</v>
      </c>
      <c r="C53" s="20"/>
      <c r="D53" s="20">
        <v>30</v>
      </c>
      <c r="E53" s="32">
        <v>4</v>
      </c>
      <c r="F53" s="72" t="s">
        <v>0</v>
      </c>
      <c r="G53" s="72" t="s">
        <v>4</v>
      </c>
      <c r="H53" s="27"/>
      <c r="I53" s="27"/>
      <c r="J53" s="27"/>
      <c r="K53" s="23">
        <v>2600</v>
      </c>
      <c r="L53" s="62" t="s">
        <v>2</v>
      </c>
      <c r="M53" s="62" t="s">
        <v>2</v>
      </c>
      <c r="N53" s="64" t="s">
        <v>2</v>
      </c>
      <c r="O53" s="29">
        <v>0.25</v>
      </c>
      <c r="P53" s="25" t="s">
        <v>2</v>
      </c>
      <c r="Q53" s="25" t="s">
        <v>2</v>
      </c>
      <c r="R53" s="39"/>
      <c r="S53" s="39"/>
      <c r="T53" s="44"/>
      <c r="U53" s="65"/>
    </row>
    <row r="54" spans="1:21" ht="38.25" customHeight="1" x14ac:dyDescent="0.3">
      <c r="A54" s="18">
        <v>43838</v>
      </c>
      <c r="B54" s="40">
        <v>0.59668981481481487</v>
      </c>
      <c r="C54" s="20"/>
      <c r="D54" s="20">
        <v>0</v>
      </c>
      <c r="E54" s="32">
        <v>4</v>
      </c>
      <c r="F54" s="72" t="s">
        <v>114</v>
      </c>
      <c r="G54" s="72" t="s">
        <v>2</v>
      </c>
      <c r="H54" s="27"/>
      <c r="I54" s="27"/>
      <c r="J54" s="27"/>
      <c r="K54" s="28">
        <v>2600</v>
      </c>
      <c r="L54" s="62" t="s">
        <v>2</v>
      </c>
      <c r="M54" s="62" t="s">
        <v>2</v>
      </c>
      <c r="N54" s="64" t="s">
        <v>2</v>
      </c>
      <c r="O54" s="29">
        <v>0.25</v>
      </c>
      <c r="P54" s="25"/>
      <c r="Q54" s="25"/>
      <c r="R54" s="39">
        <v>2.8</v>
      </c>
      <c r="S54" s="39">
        <v>2.8</v>
      </c>
      <c r="T54" s="44"/>
      <c r="U54" s="65"/>
    </row>
    <row r="55" spans="1:21" ht="38.25" customHeight="1" x14ac:dyDescent="0.3">
      <c r="A55" s="18">
        <v>43838</v>
      </c>
      <c r="B55" s="40">
        <v>0.59689814814814812</v>
      </c>
      <c r="C55" s="20"/>
      <c r="D55" s="20">
        <v>30</v>
      </c>
      <c r="E55" s="32">
        <v>4</v>
      </c>
      <c r="F55" s="72" t="s">
        <v>0</v>
      </c>
      <c r="G55" s="72" t="s">
        <v>4</v>
      </c>
      <c r="H55" s="27"/>
      <c r="I55" s="27"/>
      <c r="J55" s="27"/>
      <c r="K55" s="23">
        <v>2900</v>
      </c>
      <c r="L55" s="62" t="s">
        <v>2</v>
      </c>
      <c r="M55" s="62" t="s">
        <v>2</v>
      </c>
      <c r="N55" s="64" t="s">
        <v>2</v>
      </c>
      <c r="O55" s="29">
        <v>0.25</v>
      </c>
      <c r="P55" s="25" t="s">
        <v>2</v>
      </c>
      <c r="Q55" s="25" t="s">
        <v>2</v>
      </c>
      <c r="R55" s="39"/>
      <c r="S55" s="39"/>
      <c r="T55" s="44"/>
      <c r="U55" s="65"/>
    </row>
    <row r="56" spans="1:21" ht="38.25" customHeight="1" x14ac:dyDescent="0.3">
      <c r="A56" s="18">
        <v>43838</v>
      </c>
      <c r="B56" s="40">
        <v>0.59736111111111112</v>
      </c>
      <c r="C56" s="20"/>
      <c r="D56" s="20">
        <v>0</v>
      </c>
      <c r="E56" s="32">
        <v>4</v>
      </c>
      <c r="F56" s="72" t="s">
        <v>114</v>
      </c>
      <c r="G56" s="72" t="s">
        <v>2</v>
      </c>
      <c r="H56" s="27"/>
      <c r="I56" s="27"/>
      <c r="J56" s="27"/>
      <c r="K56" s="28">
        <v>2900</v>
      </c>
      <c r="L56" s="62" t="s">
        <v>2</v>
      </c>
      <c r="M56" s="62" t="s">
        <v>2</v>
      </c>
      <c r="N56" s="64" t="s">
        <v>2</v>
      </c>
      <c r="O56" s="29">
        <v>0.25</v>
      </c>
      <c r="P56" s="25"/>
      <c r="Q56" s="25"/>
      <c r="R56" s="39">
        <v>3.2</v>
      </c>
      <c r="S56" s="39">
        <v>3.9</v>
      </c>
      <c r="T56" s="44"/>
      <c r="U56" s="65"/>
    </row>
    <row r="57" spans="1:21" ht="38.25" customHeight="1" x14ac:dyDescent="0.3">
      <c r="A57" s="18">
        <v>43838</v>
      </c>
      <c r="B57" s="40">
        <v>0.59750000000000003</v>
      </c>
      <c r="C57" s="20"/>
      <c r="D57" s="20" t="s">
        <v>2</v>
      </c>
      <c r="E57" s="30" t="s">
        <v>2</v>
      </c>
      <c r="F57" s="72" t="s">
        <v>7</v>
      </c>
      <c r="G57" s="72" t="s">
        <v>107</v>
      </c>
      <c r="H57" s="27"/>
      <c r="I57" s="27"/>
      <c r="J57" s="27"/>
      <c r="K57" s="23">
        <v>2600</v>
      </c>
      <c r="L57" s="62" t="s">
        <v>2</v>
      </c>
      <c r="M57" s="62" t="s">
        <v>2</v>
      </c>
      <c r="N57" s="64" t="s">
        <v>2</v>
      </c>
      <c r="O57" s="31">
        <v>0.5</v>
      </c>
      <c r="P57" s="25" t="s">
        <v>2</v>
      </c>
      <c r="Q57" s="25" t="s">
        <v>2</v>
      </c>
      <c r="R57" s="59"/>
      <c r="S57" s="59"/>
      <c r="T57" s="27"/>
      <c r="U57" s="65" t="s">
        <v>129</v>
      </c>
    </row>
    <row r="58" spans="1:21" ht="38.25" customHeight="1" x14ac:dyDescent="0.3">
      <c r="A58" s="18">
        <v>43838</v>
      </c>
      <c r="B58" s="40">
        <v>0.61510416666666667</v>
      </c>
      <c r="C58" s="20"/>
      <c r="D58" s="20" t="s">
        <v>2</v>
      </c>
      <c r="E58" s="21">
        <v>5</v>
      </c>
      <c r="F58" s="72" t="s">
        <v>14</v>
      </c>
      <c r="G58" s="72" t="s">
        <v>2</v>
      </c>
      <c r="H58" s="27"/>
      <c r="I58" s="27"/>
      <c r="J58" s="27"/>
      <c r="K58" s="28">
        <v>2600</v>
      </c>
      <c r="L58" s="62" t="s">
        <v>2</v>
      </c>
      <c r="M58" s="62" t="s">
        <v>2</v>
      </c>
      <c r="N58" s="64" t="s">
        <v>2</v>
      </c>
      <c r="O58" s="29">
        <v>0.5</v>
      </c>
      <c r="P58" s="25" t="s">
        <v>2</v>
      </c>
      <c r="Q58" s="25" t="s">
        <v>2</v>
      </c>
      <c r="R58" s="59"/>
      <c r="S58" s="59"/>
      <c r="T58" s="27"/>
      <c r="U58" s="65"/>
    </row>
    <row r="59" spans="1:21" ht="38.25" customHeight="1" x14ac:dyDescent="0.3">
      <c r="A59" s="18">
        <v>43838</v>
      </c>
      <c r="B59" s="43">
        <v>0.61516203703703709</v>
      </c>
      <c r="C59" s="20"/>
      <c r="D59" s="20">
        <v>0</v>
      </c>
      <c r="E59" s="21">
        <v>5</v>
      </c>
      <c r="F59" s="72" t="s">
        <v>114</v>
      </c>
      <c r="G59" s="72" t="s">
        <v>2</v>
      </c>
      <c r="H59" s="27"/>
      <c r="I59" s="27"/>
      <c r="J59" s="27"/>
      <c r="K59" s="28">
        <v>2600</v>
      </c>
      <c r="L59" s="62" t="s">
        <v>2</v>
      </c>
      <c r="M59" s="62" t="s">
        <v>2</v>
      </c>
      <c r="N59" s="64" t="s">
        <v>2</v>
      </c>
      <c r="O59" s="29">
        <v>0.5</v>
      </c>
      <c r="P59" s="25" t="s">
        <v>2</v>
      </c>
      <c r="Q59" s="25" t="s">
        <v>2</v>
      </c>
      <c r="R59" s="59">
        <v>1.7</v>
      </c>
      <c r="S59" s="59">
        <v>2.4</v>
      </c>
      <c r="T59" s="60"/>
      <c r="U59" s="65"/>
    </row>
    <row r="60" spans="1:21" ht="38.25" customHeight="1" x14ac:dyDescent="0.3">
      <c r="A60" s="18">
        <v>43838</v>
      </c>
      <c r="B60" s="46" t="s">
        <v>74</v>
      </c>
      <c r="C60" s="20"/>
      <c r="D60" s="20">
        <v>0</v>
      </c>
      <c r="E60" s="21">
        <v>5</v>
      </c>
      <c r="F60" s="72" t="s">
        <v>108</v>
      </c>
      <c r="G60" s="72" t="s">
        <v>125</v>
      </c>
      <c r="H60" s="27"/>
      <c r="I60" s="27"/>
      <c r="J60" s="27"/>
      <c r="K60" s="28">
        <v>2600</v>
      </c>
      <c r="L60" s="62" t="s">
        <v>2</v>
      </c>
      <c r="M60" s="62" t="s">
        <v>2</v>
      </c>
      <c r="N60" s="64" t="s">
        <v>2</v>
      </c>
      <c r="O60" s="29">
        <v>0.5</v>
      </c>
      <c r="P60" s="25" t="s">
        <v>2</v>
      </c>
      <c r="Q60" s="25" t="s">
        <v>2</v>
      </c>
      <c r="R60" s="59"/>
      <c r="S60" s="59"/>
      <c r="T60" s="27"/>
      <c r="U60" s="67"/>
    </row>
    <row r="61" spans="1:21" ht="38.25" customHeight="1" x14ac:dyDescent="0.3">
      <c r="A61" s="18">
        <v>43838</v>
      </c>
      <c r="B61" s="46" t="s">
        <v>74</v>
      </c>
      <c r="C61" s="20"/>
      <c r="D61" s="20">
        <v>0</v>
      </c>
      <c r="E61" s="21">
        <v>5</v>
      </c>
      <c r="F61" s="72" t="s">
        <v>112</v>
      </c>
      <c r="G61" s="72" t="s">
        <v>2</v>
      </c>
      <c r="H61" s="27"/>
      <c r="I61" s="27"/>
      <c r="J61" s="27"/>
      <c r="K61" s="28">
        <v>2600</v>
      </c>
      <c r="L61" s="62" t="s">
        <v>2</v>
      </c>
      <c r="M61" s="62" t="s">
        <v>2</v>
      </c>
      <c r="N61" s="64" t="s">
        <v>2</v>
      </c>
      <c r="O61" s="29">
        <v>0.5</v>
      </c>
      <c r="P61" s="25" t="s">
        <v>2</v>
      </c>
      <c r="Q61" s="25" t="s">
        <v>2</v>
      </c>
      <c r="R61" s="59"/>
      <c r="S61" s="59"/>
      <c r="T61" s="27"/>
      <c r="U61" s="65"/>
    </row>
    <row r="62" spans="1:21" ht="38.25" customHeight="1" x14ac:dyDescent="0.3">
      <c r="A62" s="18">
        <v>43838</v>
      </c>
      <c r="B62" s="40">
        <v>0.61549768518518522</v>
      </c>
      <c r="C62" s="20"/>
      <c r="D62" s="20">
        <v>30</v>
      </c>
      <c r="E62" s="21">
        <v>5</v>
      </c>
      <c r="F62" s="72" t="s">
        <v>0</v>
      </c>
      <c r="G62" s="72" t="s">
        <v>4</v>
      </c>
      <c r="H62" s="27"/>
      <c r="I62" s="27"/>
      <c r="J62" s="27"/>
      <c r="K62" s="23">
        <v>2000</v>
      </c>
      <c r="L62" s="62" t="s">
        <v>2</v>
      </c>
      <c r="M62" s="62" t="s">
        <v>2</v>
      </c>
      <c r="N62" s="64" t="s">
        <v>2</v>
      </c>
      <c r="O62" s="29">
        <v>0.5</v>
      </c>
      <c r="P62" s="25" t="s">
        <v>2</v>
      </c>
      <c r="Q62" s="25" t="s">
        <v>2</v>
      </c>
      <c r="R62" s="59"/>
      <c r="S62" s="59"/>
      <c r="T62" s="60"/>
      <c r="U62" s="65"/>
    </row>
    <row r="63" spans="1:21" ht="38.25" customHeight="1" x14ac:dyDescent="0.3">
      <c r="A63" s="18">
        <v>43838</v>
      </c>
      <c r="B63" s="40">
        <v>0.61616898148148147</v>
      </c>
      <c r="C63" s="20"/>
      <c r="D63" s="20">
        <v>0</v>
      </c>
      <c r="E63" s="21">
        <v>5</v>
      </c>
      <c r="F63" s="72" t="s">
        <v>114</v>
      </c>
      <c r="G63" s="72" t="s">
        <v>2</v>
      </c>
      <c r="H63" s="27"/>
      <c r="I63" s="27"/>
      <c r="J63" s="27"/>
      <c r="K63" s="28">
        <v>2000</v>
      </c>
      <c r="L63" s="62" t="s">
        <v>2</v>
      </c>
      <c r="M63" s="62" t="s">
        <v>2</v>
      </c>
      <c r="N63" s="64" t="s">
        <v>2</v>
      </c>
      <c r="O63" s="29">
        <v>0.5</v>
      </c>
      <c r="P63" s="25"/>
      <c r="Q63" s="25"/>
      <c r="R63" s="59">
        <v>1.1000000000000001</v>
      </c>
      <c r="S63" s="59">
        <v>1.2</v>
      </c>
      <c r="T63" s="60"/>
      <c r="U63" s="65"/>
    </row>
    <row r="64" spans="1:21" ht="38.25" customHeight="1" x14ac:dyDescent="0.3">
      <c r="A64" s="18">
        <v>43838</v>
      </c>
      <c r="B64" s="40">
        <v>0.61630787037037038</v>
      </c>
      <c r="C64" s="20"/>
      <c r="D64" s="20">
        <v>30</v>
      </c>
      <c r="E64" s="21">
        <v>5</v>
      </c>
      <c r="F64" s="72" t="s">
        <v>0</v>
      </c>
      <c r="G64" s="72" t="s">
        <v>4</v>
      </c>
      <c r="H64" s="27"/>
      <c r="I64" s="27"/>
      <c r="J64" s="27"/>
      <c r="K64" s="23">
        <v>2300</v>
      </c>
      <c r="L64" s="62" t="s">
        <v>2</v>
      </c>
      <c r="M64" s="62" t="s">
        <v>2</v>
      </c>
      <c r="N64" s="64" t="s">
        <v>2</v>
      </c>
      <c r="O64" s="29">
        <v>0.5</v>
      </c>
      <c r="P64" s="25" t="s">
        <v>2</v>
      </c>
      <c r="Q64" s="25" t="s">
        <v>2</v>
      </c>
      <c r="R64" s="59"/>
      <c r="S64" s="59"/>
      <c r="T64" s="60"/>
      <c r="U64" s="65"/>
    </row>
    <row r="65" spans="1:21" ht="38.25" customHeight="1" x14ac:dyDescent="0.3">
      <c r="A65" s="18">
        <v>43838</v>
      </c>
      <c r="B65" s="40">
        <v>0.616724537037037</v>
      </c>
      <c r="C65" s="20"/>
      <c r="D65" s="20">
        <v>0</v>
      </c>
      <c r="E65" s="21">
        <v>5</v>
      </c>
      <c r="F65" s="72" t="s">
        <v>114</v>
      </c>
      <c r="G65" s="72" t="s">
        <v>2</v>
      </c>
      <c r="H65" s="27"/>
      <c r="I65" s="27"/>
      <c r="J65" s="27"/>
      <c r="K65" s="28">
        <v>2300</v>
      </c>
      <c r="L65" s="62" t="s">
        <v>2</v>
      </c>
      <c r="M65" s="62" t="s">
        <v>2</v>
      </c>
      <c r="N65" s="64" t="s">
        <v>2</v>
      </c>
      <c r="O65" s="29">
        <v>0.5</v>
      </c>
      <c r="P65" s="25"/>
      <c r="Q65" s="25"/>
      <c r="R65" s="59">
        <v>1.4</v>
      </c>
      <c r="S65" s="59">
        <v>1.7</v>
      </c>
      <c r="T65" s="60"/>
      <c r="U65" s="65"/>
    </row>
    <row r="66" spans="1:21" ht="38.25" customHeight="1" x14ac:dyDescent="0.3">
      <c r="A66" s="18">
        <v>43838</v>
      </c>
      <c r="B66" s="40">
        <v>0.61692129629629633</v>
      </c>
      <c r="C66" s="20"/>
      <c r="D66" s="20">
        <v>30</v>
      </c>
      <c r="E66" s="21">
        <v>5</v>
      </c>
      <c r="F66" s="72" t="s">
        <v>0</v>
      </c>
      <c r="G66" s="72" t="s">
        <v>4</v>
      </c>
      <c r="H66" s="27"/>
      <c r="I66" s="27"/>
      <c r="J66" s="27"/>
      <c r="K66" s="23">
        <v>2600</v>
      </c>
      <c r="L66" s="62" t="s">
        <v>2</v>
      </c>
      <c r="M66" s="62" t="s">
        <v>2</v>
      </c>
      <c r="N66" s="64" t="s">
        <v>2</v>
      </c>
      <c r="O66" s="29">
        <v>0.5</v>
      </c>
      <c r="P66" s="25" t="s">
        <v>2</v>
      </c>
      <c r="Q66" s="25" t="s">
        <v>2</v>
      </c>
      <c r="R66" s="59"/>
      <c r="S66" s="59"/>
      <c r="T66" s="60"/>
      <c r="U66" s="65"/>
    </row>
    <row r="67" spans="1:21" ht="38.25" customHeight="1" x14ac:dyDescent="0.3">
      <c r="A67" s="18">
        <v>43838</v>
      </c>
      <c r="B67" s="40">
        <v>0.61736111111111114</v>
      </c>
      <c r="C67" s="20"/>
      <c r="D67" s="20">
        <v>0</v>
      </c>
      <c r="E67" s="21">
        <v>5</v>
      </c>
      <c r="F67" s="72" t="s">
        <v>114</v>
      </c>
      <c r="G67" s="72" t="s">
        <v>2</v>
      </c>
      <c r="H67" s="27"/>
      <c r="I67" s="27"/>
      <c r="J67" s="27"/>
      <c r="K67" s="28">
        <v>2600</v>
      </c>
      <c r="L67" s="62" t="s">
        <v>2</v>
      </c>
      <c r="M67" s="62" t="s">
        <v>2</v>
      </c>
      <c r="N67" s="64" t="s">
        <v>2</v>
      </c>
      <c r="O67" s="29">
        <v>0.5</v>
      </c>
      <c r="P67" s="25"/>
      <c r="Q67" s="25"/>
      <c r="R67" s="59">
        <v>1.7</v>
      </c>
      <c r="S67" s="59">
        <v>2.4</v>
      </c>
      <c r="T67" s="60"/>
      <c r="U67" s="65"/>
    </row>
    <row r="68" spans="1:21" ht="38.25" customHeight="1" x14ac:dyDescent="0.3">
      <c r="A68" s="18">
        <v>43838</v>
      </c>
      <c r="B68" s="40">
        <v>0.61753472222222217</v>
      </c>
      <c r="C68" s="20"/>
      <c r="D68" s="20">
        <v>30</v>
      </c>
      <c r="E68" s="21">
        <v>5</v>
      </c>
      <c r="F68" s="72" t="s">
        <v>0</v>
      </c>
      <c r="G68" s="72" t="s">
        <v>4</v>
      </c>
      <c r="H68" s="27"/>
      <c r="I68" s="27"/>
      <c r="J68" s="27"/>
      <c r="K68" s="23">
        <v>2900</v>
      </c>
      <c r="L68" s="62" t="s">
        <v>2</v>
      </c>
      <c r="M68" s="62" t="s">
        <v>2</v>
      </c>
      <c r="N68" s="64" t="s">
        <v>2</v>
      </c>
      <c r="O68" s="29">
        <v>0.5</v>
      </c>
      <c r="P68" s="25" t="s">
        <v>2</v>
      </c>
      <c r="Q68" s="25" t="s">
        <v>2</v>
      </c>
      <c r="R68" s="59"/>
      <c r="S68" s="59"/>
      <c r="T68" s="60"/>
      <c r="U68" s="65"/>
    </row>
    <row r="69" spans="1:21" ht="38.25" customHeight="1" x14ac:dyDescent="0.3">
      <c r="A69" s="18">
        <v>43838</v>
      </c>
      <c r="B69" s="40">
        <v>0.61796296296296294</v>
      </c>
      <c r="C69" s="20"/>
      <c r="D69" s="20">
        <v>0</v>
      </c>
      <c r="E69" s="21">
        <v>5</v>
      </c>
      <c r="F69" s="72" t="s">
        <v>114</v>
      </c>
      <c r="G69" s="72" t="s">
        <v>2</v>
      </c>
      <c r="H69" s="27"/>
      <c r="I69" s="27"/>
      <c r="J69" s="27"/>
      <c r="K69" s="28">
        <v>2900</v>
      </c>
      <c r="L69" s="62" t="s">
        <v>2</v>
      </c>
      <c r="M69" s="62" t="s">
        <v>2</v>
      </c>
      <c r="N69" s="64" t="s">
        <v>2</v>
      </c>
      <c r="O69" s="29">
        <v>0.5</v>
      </c>
      <c r="P69" s="25"/>
      <c r="Q69" s="25"/>
      <c r="R69" s="59">
        <v>2</v>
      </c>
      <c r="S69" s="59">
        <v>3.2</v>
      </c>
      <c r="T69" s="60"/>
      <c r="U69" s="65"/>
    </row>
    <row r="70" spans="1:21" ht="38.25" customHeight="1" x14ac:dyDescent="0.3">
      <c r="A70" s="18">
        <v>43838</v>
      </c>
      <c r="B70" s="40">
        <v>0.61818287037037034</v>
      </c>
      <c r="C70" s="20"/>
      <c r="D70" s="20">
        <v>30</v>
      </c>
      <c r="E70" s="21">
        <v>5</v>
      </c>
      <c r="F70" s="72" t="s">
        <v>0</v>
      </c>
      <c r="G70" s="72" t="s">
        <v>4</v>
      </c>
      <c r="H70" s="27"/>
      <c r="I70" s="27"/>
      <c r="J70" s="27"/>
      <c r="K70" s="23">
        <v>3200</v>
      </c>
      <c r="L70" s="62" t="s">
        <v>2</v>
      </c>
      <c r="M70" s="62" t="s">
        <v>2</v>
      </c>
      <c r="N70" s="64" t="s">
        <v>2</v>
      </c>
      <c r="O70" s="29">
        <v>0.5</v>
      </c>
      <c r="P70" s="25" t="s">
        <v>2</v>
      </c>
      <c r="Q70" s="25" t="s">
        <v>2</v>
      </c>
      <c r="R70" s="59"/>
      <c r="S70" s="59"/>
      <c r="T70" s="60"/>
      <c r="U70" s="65"/>
    </row>
    <row r="71" spans="1:21" ht="38.25" customHeight="1" x14ac:dyDescent="0.3">
      <c r="A71" s="18">
        <v>43838</v>
      </c>
      <c r="B71" s="40">
        <v>0.61872685185185183</v>
      </c>
      <c r="C71" s="20"/>
      <c r="D71" s="20">
        <v>0</v>
      </c>
      <c r="E71" s="21">
        <v>5</v>
      </c>
      <c r="F71" s="72" t="s">
        <v>114</v>
      </c>
      <c r="G71" s="72" t="s">
        <v>2</v>
      </c>
      <c r="H71" s="27"/>
      <c r="I71" s="27"/>
      <c r="J71" s="27"/>
      <c r="K71" s="28">
        <v>3200</v>
      </c>
      <c r="L71" s="62" t="s">
        <v>2</v>
      </c>
      <c r="M71" s="62" t="s">
        <v>2</v>
      </c>
      <c r="N71" s="64" t="s">
        <v>2</v>
      </c>
      <c r="O71" s="29">
        <v>0.5</v>
      </c>
      <c r="P71" s="25"/>
      <c r="Q71" s="25"/>
      <c r="R71" s="59">
        <v>2.2000000000000002</v>
      </c>
      <c r="S71" s="59">
        <v>4.2</v>
      </c>
      <c r="T71" s="60"/>
      <c r="U71" s="65"/>
    </row>
    <row r="72" spans="1:21" ht="38.25" customHeight="1" x14ac:dyDescent="0.3">
      <c r="A72" s="18">
        <v>43838</v>
      </c>
      <c r="B72" s="43">
        <v>0.61924768518518525</v>
      </c>
      <c r="C72" s="20"/>
      <c r="D72" s="20" t="s">
        <v>2</v>
      </c>
      <c r="E72" s="30" t="s">
        <v>2</v>
      </c>
      <c r="F72" s="72" t="s">
        <v>7</v>
      </c>
      <c r="G72" s="72" t="s">
        <v>2</v>
      </c>
      <c r="H72" s="27"/>
      <c r="I72" s="27"/>
      <c r="J72" s="27"/>
      <c r="K72" s="28">
        <v>2600</v>
      </c>
      <c r="L72" s="62" t="s">
        <v>2</v>
      </c>
      <c r="M72" s="62" t="s">
        <v>2</v>
      </c>
      <c r="N72" s="64" t="s">
        <v>2</v>
      </c>
      <c r="O72" s="29">
        <v>0.75</v>
      </c>
      <c r="P72" s="25" t="s">
        <v>2</v>
      </c>
      <c r="Q72" s="25" t="s">
        <v>2</v>
      </c>
      <c r="R72" s="59"/>
      <c r="S72" s="59"/>
      <c r="T72" s="60"/>
      <c r="U72" s="65" t="s">
        <v>134</v>
      </c>
    </row>
    <row r="73" spans="1:21" ht="38.25" customHeight="1" x14ac:dyDescent="0.3">
      <c r="A73" s="18">
        <v>43838</v>
      </c>
      <c r="B73" s="46">
        <v>0.63506944444444446</v>
      </c>
      <c r="C73" s="20"/>
      <c r="D73" s="20" t="s">
        <v>2</v>
      </c>
      <c r="E73" s="32">
        <v>6</v>
      </c>
      <c r="F73" s="72" t="s">
        <v>14</v>
      </c>
      <c r="G73" s="72" t="s">
        <v>107</v>
      </c>
      <c r="H73" s="27"/>
      <c r="I73" s="27"/>
      <c r="J73" s="27"/>
      <c r="K73" s="23">
        <v>2600</v>
      </c>
      <c r="L73" s="62" t="s">
        <v>2</v>
      </c>
      <c r="M73" s="62" t="s">
        <v>2</v>
      </c>
      <c r="N73" s="64" t="s">
        <v>2</v>
      </c>
      <c r="O73" s="31">
        <v>0.75</v>
      </c>
      <c r="P73" s="25" t="s">
        <v>2</v>
      </c>
      <c r="Q73" s="25" t="s">
        <v>2</v>
      </c>
      <c r="R73" s="61"/>
      <c r="S73" s="61"/>
      <c r="T73" s="60"/>
      <c r="U73" s="65"/>
    </row>
    <row r="74" spans="1:21" ht="38.25" customHeight="1" x14ac:dyDescent="0.3">
      <c r="A74" s="18">
        <v>43838</v>
      </c>
      <c r="B74" s="46">
        <v>0.63541666666666663</v>
      </c>
      <c r="C74" s="20"/>
      <c r="D74" s="20">
        <v>30</v>
      </c>
      <c r="E74" s="32">
        <v>6</v>
      </c>
      <c r="F74" s="72" t="s">
        <v>3</v>
      </c>
      <c r="G74" s="72" t="s">
        <v>2</v>
      </c>
      <c r="H74" s="27"/>
      <c r="I74" s="27"/>
      <c r="J74" s="27"/>
      <c r="K74" s="28">
        <v>2600</v>
      </c>
      <c r="L74" s="62" t="s">
        <v>2</v>
      </c>
      <c r="M74" s="62" t="s">
        <v>2</v>
      </c>
      <c r="N74" s="64" t="s">
        <v>2</v>
      </c>
      <c r="O74" s="29">
        <v>0.75</v>
      </c>
      <c r="P74" s="25" t="s">
        <v>2</v>
      </c>
      <c r="Q74" s="25" t="s">
        <v>2</v>
      </c>
      <c r="R74" s="59">
        <v>0.5</v>
      </c>
      <c r="S74" s="59">
        <v>1.9</v>
      </c>
      <c r="T74" s="60"/>
      <c r="U74" s="65"/>
    </row>
    <row r="75" spans="1:21" ht="38.25" customHeight="1" x14ac:dyDescent="0.3">
      <c r="A75" s="18">
        <v>43838</v>
      </c>
      <c r="B75" s="40">
        <v>0.63564814814814818</v>
      </c>
      <c r="C75" s="20"/>
      <c r="D75" s="20">
        <v>30</v>
      </c>
      <c r="E75" s="32">
        <v>6</v>
      </c>
      <c r="F75" s="72" t="s">
        <v>0</v>
      </c>
      <c r="G75" s="72" t="s">
        <v>4</v>
      </c>
      <c r="H75" s="27"/>
      <c r="I75" s="27"/>
      <c r="J75" s="27"/>
      <c r="K75" s="23">
        <v>2000</v>
      </c>
      <c r="L75" s="62" t="s">
        <v>2</v>
      </c>
      <c r="M75" s="62" t="s">
        <v>2</v>
      </c>
      <c r="N75" s="64" t="s">
        <v>2</v>
      </c>
      <c r="O75" s="29">
        <v>0.75</v>
      </c>
      <c r="P75" s="25" t="s">
        <v>2</v>
      </c>
      <c r="Q75" s="25" t="s">
        <v>2</v>
      </c>
      <c r="R75" s="59"/>
      <c r="S75" s="59"/>
      <c r="T75" s="60"/>
      <c r="U75" s="65"/>
    </row>
    <row r="76" spans="1:21" ht="38.25" customHeight="1" x14ac:dyDescent="0.3">
      <c r="A76" s="18">
        <v>43838</v>
      </c>
      <c r="B76" s="40">
        <v>0.63615740740740734</v>
      </c>
      <c r="C76" s="20"/>
      <c r="D76" s="20">
        <v>0</v>
      </c>
      <c r="E76" s="32">
        <v>6</v>
      </c>
      <c r="F76" s="72" t="s">
        <v>114</v>
      </c>
      <c r="G76" s="72" t="s">
        <v>2</v>
      </c>
      <c r="H76" s="27"/>
      <c r="I76" s="27"/>
      <c r="J76" s="27"/>
      <c r="K76" s="28">
        <v>2000</v>
      </c>
      <c r="L76" s="62" t="s">
        <v>2</v>
      </c>
      <c r="M76" s="62" t="s">
        <v>2</v>
      </c>
      <c r="N76" s="64" t="s">
        <v>2</v>
      </c>
      <c r="O76" s="29">
        <v>0.75</v>
      </c>
      <c r="P76" s="25"/>
      <c r="Q76" s="25"/>
      <c r="R76" s="59">
        <v>0.2</v>
      </c>
      <c r="S76" s="59">
        <v>1</v>
      </c>
      <c r="T76" s="60"/>
      <c r="U76" s="65"/>
    </row>
    <row r="77" spans="1:21" ht="38.25" customHeight="1" x14ac:dyDescent="0.3">
      <c r="A77" s="18">
        <v>43838</v>
      </c>
      <c r="B77" s="40">
        <v>0.63628472222222221</v>
      </c>
      <c r="C77" s="20"/>
      <c r="D77" s="20">
        <v>30</v>
      </c>
      <c r="E77" s="32">
        <v>6</v>
      </c>
      <c r="F77" s="72" t="s">
        <v>0</v>
      </c>
      <c r="G77" s="72" t="s">
        <v>4</v>
      </c>
      <c r="H77" s="27"/>
      <c r="I77" s="27"/>
      <c r="J77" s="27"/>
      <c r="K77" s="23">
        <v>2300</v>
      </c>
      <c r="L77" s="62" t="s">
        <v>2</v>
      </c>
      <c r="M77" s="62" t="s">
        <v>2</v>
      </c>
      <c r="N77" s="64" t="s">
        <v>2</v>
      </c>
      <c r="O77" s="29">
        <v>0.75</v>
      </c>
      <c r="P77" s="25" t="s">
        <v>2</v>
      </c>
      <c r="Q77" s="25" t="s">
        <v>2</v>
      </c>
      <c r="R77" s="59"/>
      <c r="S77" s="59"/>
      <c r="T77" s="60"/>
      <c r="U77" s="65"/>
    </row>
    <row r="78" spans="1:21" ht="38.25" customHeight="1" x14ac:dyDescent="0.3">
      <c r="A78" s="18">
        <v>43838</v>
      </c>
      <c r="B78" s="40">
        <v>0.63675925925925925</v>
      </c>
      <c r="C78" s="20"/>
      <c r="D78" s="20">
        <v>0</v>
      </c>
      <c r="E78" s="32">
        <v>6</v>
      </c>
      <c r="F78" s="72" t="s">
        <v>114</v>
      </c>
      <c r="G78" s="72" t="s">
        <v>2</v>
      </c>
      <c r="H78" s="27"/>
      <c r="I78" s="27"/>
      <c r="J78" s="27"/>
      <c r="K78" s="28">
        <v>2300</v>
      </c>
      <c r="L78" s="62" t="s">
        <v>2</v>
      </c>
      <c r="M78" s="62" t="s">
        <v>2</v>
      </c>
      <c r="N78" s="64" t="s">
        <v>2</v>
      </c>
      <c r="O78" s="29">
        <v>0.75</v>
      </c>
      <c r="P78" s="25"/>
      <c r="Q78" s="25"/>
      <c r="R78" s="59">
        <v>0.4</v>
      </c>
      <c r="S78" s="59">
        <v>1.4</v>
      </c>
      <c r="T78" s="60"/>
      <c r="U78" s="65"/>
    </row>
    <row r="79" spans="1:21" ht="38.25" customHeight="1" x14ac:dyDescent="0.3">
      <c r="A79" s="18">
        <v>43838</v>
      </c>
      <c r="B79" s="40">
        <v>0.63714120370370375</v>
      </c>
      <c r="C79" s="20"/>
      <c r="D79" s="20">
        <v>30</v>
      </c>
      <c r="E79" s="32">
        <v>6</v>
      </c>
      <c r="F79" s="72" t="s">
        <v>0</v>
      </c>
      <c r="G79" s="72" t="s">
        <v>4</v>
      </c>
      <c r="H79" s="27"/>
      <c r="I79" s="27"/>
      <c r="J79" s="27"/>
      <c r="K79" s="23">
        <v>2600</v>
      </c>
      <c r="L79" s="62" t="s">
        <v>2</v>
      </c>
      <c r="M79" s="62" t="s">
        <v>2</v>
      </c>
      <c r="N79" s="64" t="s">
        <v>2</v>
      </c>
      <c r="O79" s="29">
        <v>0.75</v>
      </c>
      <c r="P79" s="25" t="s">
        <v>2</v>
      </c>
      <c r="Q79" s="25" t="s">
        <v>2</v>
      </c>
      <c r="R79" s="59"/>
      <c r="S79" s="59"/>
      <c r="T79" s="60"/>
      <c r="U79" s="65"/>
    </row>
    <row r="80" spans="1:21" ht="38.25" customHeight="1" x14ac:dyDescent="0.3">
      <c r="A80" s="18">
        <v>43838</v>
      </c>
      <c r="B80" s="40">
        <v>0.63758101851851856</v>
      </c>
      <c r="C80" s="20"/>
      <c r="D80" s="20">
        <v>0</v>
      </c>
      <c r="E80" s="32">
        <v>6</v>
      </c>
      <c r="F80" s="72" t="s">
        <v>114</v>
      </c>
      <c r="G80" s="72" t="s">
        <v>2</v>
      </c>
      <c r="H80" s="27"/>
      <c r="I80" s="27"/>
      <c r="J80" s="27"/>
      <c r="K80" s="28">
        <v>2600</v>
      </c>
      <c r="L80" s="62" t="s">
        <v>2</v>
      </c>
      <c r="M80" s="62" t="s">
        <v>2</v>
      </c>
      <c r="N80" s="64" t="s">
        <v>2</v>
      </c>
      <c r="O80" s="29">
        <v>0.75</v>
      </c>
      <c r="P80" s="25"/>
      <c r="Q80" s="25"/>
      <c r="R80" s="59">
        <v>0.5</v>
      </c>
      <c r="S80" s="59">
        <v>1.9</v>
      </c>
      <c r="T80" s="60"/>
      <c r="U80" s="65"/>
    </row>
    <row r="81" spans="1:21" ht="38.25" customHeight="1" x14ac:dyDescent="0.3">
      <c r="A81" s="18">
        <v>43838</v>
      </c>
      <c r="B81" s="40">
        <v>0.63778935185185182</v>
      </c>
      <c r="C81" s="20"/>
      <c r="D81" s="20">
        <v>30</v>
      </c>
      <c r="E81" s="32">
        <v>6</v>
      </c>
      <c r="F81" s="72" t="s">
        <v>0</v>
      </c>
      <c r="G81" s="72" t="s">
        <v>4</v>
      </c>
      <c r="H81" s="27"/>
      <c r="I81" s="27"/>
      <c r="J81" s="27"/>
      <c r="K81" s="23">
        <v>2900</v>
      </c>
      <c r="L81" s="62" t="s">
        <v>2</v>
      </c>
      <c r="M81" s="62" t="s">
        <v>2</v>
      </c>
      <c r="N81" s="64" t="s">
        <v>2</v>
      </c>
      <c r="O81" s="29">
        <v>0.75</v>
      </c>
      <c r="P81" s="25" t="s">
        <v>2</v>
      </c>
      <c r="Q81" s="25" t="s">
        <v>2</v>
      </c>
      <c r="R81" s="59"/>
      <c r="S81" s="59"/>
      <c r="T81" s="60"/>
      <c r="U81" s="65"/>
    </row>
    <row r="82" spans="1:21" ht="38.25" customHeight="1" x14ac:dyDescent="0.3">
      <c r="A82" s="18">
        <v>43838</v>
      </c>
      <c r="B82" s="40">
        <v>0.63829861111111108</v>
      </c>
      <c r="C82" s="20"/>
      <c r="D82" s="20">
        <v>0</v>
      </c>
      <c r="E82" s="32">
        <v>6</v>
      </c>
      <c r="F82" s="72" t="s">
        <v>114</v>
      </c>
      <c r="G82" s="72" t="s">
        <v>2</v>
      </c>
      <c r="H82" s="27"/>
      <c r="I82" s="27"/>
      <c r="J82" s="27"/>
      <c r="K82" s="28">
        <v>2900</v>
      </c>
      <c r="L82" s="62" t="s">
        <v>2</v>
      </c>
      <c r="M82" s="62" t="s">
        <v>2</v>
      </c>
      <c r="N82" s="64" t="s">
        <v>2</v>
      </c>
      <c r="O82" s="29">
        <v>0.75</v>
      </c>
      <c r="P82" s="25"/>
      <c r="Q82" s="25"/>
      <c r="R82" s="59">
        <v>0.6</v>
      </c>
      <c r="S82" s="59">
        <v>2.5</v>
      </c>
      <c r="T82" s="60"/>
      <c r="U82" s="65"/>
    </row>
    <row r="83" spans="1:21" ht="38.25" customHeight="1" x14ac:dyDescent="0.3">
      <c r="A83" s="18">
        <v>43838</v>
      </c>
      <c r="B83" s="40">
        <v>0.63848379629629626</v>
      </c>
      <c r="C83" s="20"/>
      <c r="D83" s="20">
        <v>30</v>
      </c>
      <c r="E83" s="32">
        <v>6</v>
      </c>
      <c r="F83" s="72" t="s">
        <v>0</v>
      </c>
      <c r="G83" s="72" t="s">
        <v>4</v>
      </c>
      <c r="H83" s="27"/>
      <c r="I83" s="27"/>
      <c r="J83" s="27"/>
      <c r="K83" s="23">
        <v>3200</v>
      </c>
      <c r="L83" s="62" t="s">
        <v>2</v>
      </c>
      <c r="M83" s="62" t="s">
        <v>2</v>
      </c>
      <c r="N83" s="64" t="s">
        <v>2</v>
      </c>
      <c r="O83" s="29">
        <v>0.75</v>
      </c>
      <c r="P83" s="25" t="s">
        <v>2</v>
      </c>
      <c r="Q83" s="25" t="s">
        <v>2</v>
      </c>
      <c r="R83" s="59"/>
      <c r="S83" s="59"/>
      <c r="T83" s="60"/>
      <c r="U83" s="65"/>
    </row>
    <row r="84" spans="1:21" ht="38.25" customHeight="1" x14ac:dyDescent="0.3">
      <c r="A84" s="18">
        <v>43838</v>
      </c>
      <c r="B84" s="40">
        <v>0.63885416666666661</v>
      </c>
      <c r="C84" s="20"/>
      <c r="D84" s="20">
        <v>0</v>
      </c>
      <c r="E84" s="32">
        <v>6</v>
      </c>
      <c r="F84" s="72" t="s">
        <v>114</v>
      </c>
      <c r="G84" s="72" t="s">
        <v>2</v>
      </c>
      <c r="H84" s="27"/>
      <c r="I84" s="27"/>
      <c r="J84" s="27"/>
      <c r="K84" s="28">
        <v>3200</v>
      </c>
      <c r="L84" s="62" t="s">
        <v>2</v>
      </c>
      <c r="M84" s="62" t="s">
        <v>2</v>
      </c>
      <c r="N84" s="64" t="s">
        <v>2</v>
      </c>
      <c r="O84" s="29">
        <v>0.75</v>
      </c>
      <c r="P84" s="25"/>
      <c r="Q84" s="25"/>
      <c r="R84" s="59">
        <v>0.8</v>
      </c>
      <c r="S84" s="59">
        <v>3.2</v>
      </c>
      <c r="T84" s="60"/>
      <c r="U84" s="65"/>
    </row>
    <row r="85" spans="1:21" ht="38.25" customHeight="1" x14ac:dyDescent="0.3">
      <c r="A85" s="18">
        <v>43838</v>
      </c>
      <c r="B85" s="40">
        <v>0.63923611111111112</v>
      </c>
      <c r="C85" s="20"/>
      <c r="D85" s="20" t="s">
        <v>2</v>
      </c>
      <c r="E85" s="32">
        <v>6</v>
      </c>
      <c r="F85" s="72" t="s">
        <v>108</v>
      </c>
      <c r="G85" s="72" t="s">
        <v>107</v>
      </c>
      <c r="H85" s="27"/>
      <c r="I85" s="27"/>
      <c r="J85" s="27"/>
      <c r="K85" s="23">
        <v>3200</v>
      </c>
      <c r="L85" s="62" t="s">
        <v>2</v>
      </c>
      <c r="M85" s="62" t="s">
        <v>2</v>
      </c>
      <c r="N85" s="64" t="s">
        <v>2</v>
      </c>
      <c r="O85" s="31">
        <v>0.25</v>
      </c>
      <c r="P85" s="25" t="s">
        <v>2</v>
      </c>
      <c r="Q85" s="25" t="s">
        <v>2</v>
      </c>
      <c r="R85" s="59"/>
      <c r="S85" s="59"/>
      <c r="T85" s="60"/>
      <c r="U85" s="65"/>
    </row>
    <row r="86" spans="1:21" ht="38.25" customHeight="1" x14ac:dyDescent="0.3">
      <c r="A86" s="18">
        <v>43838</v>
      </c>
      <c r="B86" s="43">
        <v>0.64553240740740747</v>
      </c>
      <c r="C86" s="20"/>
      <c r="D86" s="20" t="s">
        <v>2</v>
      </c>
      <c r="E86" s="32">
        <v>6</v>
      </c>
      <c r="F86" s="72" t="s">
        <v>112</v>
      </c>
      <c r="G86" s="72" t="s">
        <v>2</v>
      </c>
      <c r="H86" s="27"/>
      <c r="I86" s="27"/>
      <c r="J86" s="27"/>
      <c r="K86" s="28">
        <v>3200</v>
      </c>
      <c r="L86" s="62" t="s">
        <v>2</v>
      </c>
      <c r="M86" s="62" t="s">
        <v>2</v>
      </c>
      <c r="N86" s="64" t="s">
        <v>2</v>
      </c>
      <c r="O86" s="29">
        <v>0.25</v>
      </c>
      <c r="P86" s="25" t="s">
        <v>2</v>
      </c>
      <c r="Q86" s="25" t="s">
        <v>2</v>
      </c>
      <c r="R86" s="61"/>
      <c r="S86" s="61"/>
      <c r="T86" s="60"/>
      <c r="U86" s="65"/>
    </row>
    <row r="87" spans="1:21" ht="38.25" customHeight="1" x14ac:dyDescent="0.3">
      <c r="A87" s="18">
        <v>43838</v>
      </c>
      <c r="B87" s="40">
        <v>0.64567129629629627</v>
      </c>
      <c r="C87" s="20"/>
      <c r="D87" s="20">
        <v>0</v>
      </c>
      <c r="E87" s="32">
        <v>6</v>
      </c>
      <c r="F87" s="72" t="s">
        <v>114</v>
      </c>
      <c r="G87" s="72" t="s">
        <v>2</v>
      </c>
      <c r="H87" s="27"/>
      <c r="I87" s="27"/>
      <c r="J87" s="27"/>
      <c r="K87" s="28">
        <v>3200</v>
      </c>
      <c r="L87" s="62" t="s">
        <v>2</v>
      </c>
      <c r="M87" s="62" t="s">
        <v>2</v>
      </c>
      <c r="N87" s="64" t="s">
        <v>2</v>
      </c>
      <c r="O87" s="29">
        <v>0.25</v>
      </c>
      <c r="P87" s="25"/>
      <c r="Q87" s="25"/>
      <c r="R87" s="59">
        <v>3.8</v>
      </c>
      <c r="S87" s="59">
        <v>5.2</v>
      </c>
      <c r="T87" s="60"/>
      <c r="U87" s="65" t="s">
        <v>135</v>
      </c>
    </row>
    <row r="88" spans="1:21" ht="38.25" customHeight="1" x14ac:dyDescent="0.3">
      <c r="A88" s="18">
        <v>43838</v>
      </c>
      <c r="B88" s="40">
        <v>0.64575231481481488</v>
      </c>
      <c r="C88" s="20"/>
      <c r="D88" s="20" t="s">
        <v>2</v>
      </c>
      <c r="E88" s="32">
        <v>6</v>
      </c>
      <c r="F88" s="72" t="s">
        <v>108</v>
      </c>
      <c r="G88" s="72" t="s">
        <v>107</v>
      </c>
      <c r="H88" s="27"/>
      <c r="I88" s="27"/>
      <c r="J88" s="27"/>
      <c r="K88" s="23">
        <v>2600</v>
      </c>
      <c r="L88" s="62" t="s">
        <v>2</v>
      </c>
      <c r="M88" s="62" t="s">
        <v>2</v>
      </c>
      <c r="N88" s="64" t="s">
        <v>2</v>
      </c>
      <c r="O88" s="31">
        <v>0</v>
      </c>
      <c r="P88" s="25" t="s">
        <v>2</v>
      </c>
      <c r="Q88" s="25" t="s">
        <v>2</v>
      </c>
      <c r="R88" s="59"/>
      <c r="S88" s="59"/>
      <c r="T88" s="60"/>
      <c r="U88" s="65" t="s">
        <v>122</v>
      </c>
    </row>
    <row r="89" spans="1:21" ht="38.25" customHeight="1" x14ac:dyDescent="0.3">
      <c r="A89" s="18">
        <v>43838</v>
      </c>
      <c r="B89" s="40">
        <v>0.65297453703703701</v>
      </c>
      <c r="C89" s="20"/>
      <c r="D89" s="20" t="s">
        <v>2</v>
      </c>
      <c r="E89" s="32">
        <v>6</v>
      </c>
      <c r="F89" s="72" t="s">
        <v>112</v>
      </c>
      <c r="G89" s="72" t="s">
        <v>2</v>
      </c>
      <c r="H89" s="27"/>
      <c r="I89" s="27"/>
      <c r="J89" s="27"/>
      <c r="K89" s="28">
        <v>2600</v>
      </c>
      <c r="L89" s="62" t="s">
        <v>2</v>
      </c>
      <c r="M89" s="62" t="s">
        <v>2</v>
      </c>
      <c r="N89" s="64" t="s">
        <v>2</v>
      </c>
      <c r="O89" s="29">
        <v>0</v>
      </c>
      <c r="P89" s="25" t="s">
        <v>2</v>
      </c>
      <c r="Q89" s="25" t="s">
        <v>2</v>
      </c>
      <c r="R89" s="59"/>
      <c r="S89" s="59"/>
      <c r="T89" s="60"/>
      <c r="U89" s="65"/>
    </row>
    <row r="90" spans="1:21" ht="38.25" customHeight="1" x14ac:dyDescent="0.3">
      <c r="A90" s="18">
        <v>43838</v>
      </c>
      <c r="B90" s="40">
        <v>0.65300925925925923</v>
      </c>
      <c r="C90" s="20"/>
      <c r="D90" s="20">
        <v>0</v>
      </c>
      <c r="E90" s="32">
        <v>6</v>
      </c>
      <c r="F90" s="72" t="s">
        <v>136</v>
      </c>
      <c r="G90" s="72" t="s">
        <v>2</v>
      </c>
      <c r="H90" s="27"/>
      <c r="I90" s="27"/>
      <c r="J90" s="27"/>
      <c r="K90" s="28">
        <v>2600</v>
      </c>
      <c r="L90" s="62" t="s">
        <v>2</v>
      </c>
      <c r="M90" s="62" t="s">
        <v>2</v>
      </c>
      <c r="N90" s="64" t="s">
        <v>2</v>
      </c>
      <c r="O90" s="29">
        <v>0</v>
      </c>
      <c r="P90" s="25"/>
      <c r="Q90" s="25"/>
      <c r="R90" s="59">
        <v>4.0999999999999996</v>
      </c>
      <c r="S90" s="59">
        <v>3.3</v>
      </c>
      <c r="T90" s="60">
        <v>5.85</v>
      </c>
      <c r="U90" s="65" t="s">
        <v>105</v>
      </c>
    </row>
    <row r="91" spans="1:21" ht="38.25" customHeight="1" x14ac:dyDescent="0.3">
      <c r="A91" s="18">
        <v>43838</v>
      </c>
      <c r="B91" s="40">
        <v>0.65314814814814814</v>
      </c>
      <c r="C91" s="20"/>
      <c r="D91" s="20" t="s">
        <v>2</v>
      </c>
      <c r="E91" s="30" t="s">
        <v>2</v>
      </c>
      <c r="F91" s="72" t="s">
        <v>7</v>
      </c>
      <c r="G91" s="72" t="s">
        <v>2</v>
      </c>
      <c r="H91" s="27"/>
      <c r="I91" s="27"/>
      <c r="J91" s="27"/>
      <c r="K91" s="28">
        <v>2600</v>
      </c>
      <c r="L91" s="62" t="s">
        <v>2</v>
      </c>
      <c r="M91" s="62" t="s">
        <v>2</v>
      </c>
      <c r="N91" s="64" t="s">
        <v>2</v>
      </c>
      <c r="O91" s="29">
        <v>0</v>
      </c>
      <c r="P91" s="25" t="s">
        <v>2</v>
      </c>
      <c r="Q91" s="25" t="s">
        <v>2</v>
      </c>
      <c r="R91" s="59"/>
      <c r="S91" s="59"/>
      <c r="T91" s="60"/>
      <c r="U91" s="65" t="s">
        <v>115</v>
      </c>
    </row>
    <row r="92" spans="1:21" ht="38.25" customHeight="1" x14ac:dyDescent="0.3">
      <c r="A92" s="18">
        <v>43839</v>
      </c>
      <c r="B92" s="43">
        <v>0.69967592592592587</v>
      </c>
      <c r="C92" s="20"/>
      <c r="D92" s="20" t="s">
        <v>2</v>
      </c>
      <c r="E92" s="21">
        <v>7</v>
      </c>
      <c r="F92" s="72" t="s">
        <v>14</v>
      </c>
      <c r="G92" s="72" t="s">
        <v>2</v>
      </c>
      <c r="H92" s="27"/>
      <c r="I92" s="27"/>
      <c r="J92" s="27"/>
      <c r="K92" s="28">
        <v>2600</v>
      </c>
      <c r="L92" s="62" t="s">
        <v>2</v>
      </c>
      <c r="M92" s="62" t="s">
        <v>2</v>
      </c>
      <c r="N92" s="64" t="s">
        <v>2</v>
      </c>
      <c r="O92" s="29">
        <v>0</v>
      </c>
      <c r="P92" s="25" t="s">
        <v>2</v>
      </c>
      <c r="Q92" s="25" t="s">
        <v>2</v>
      </c>
      <c r="R92" s="59"/>
      <c r="S92" s="59"/>
      <c r="T92" s="60"/>
      <c r="U92" s="66" t="s">
        <v>139</v>
      </c>
    </row>
    <row r="93" spans="1:21" ht="38.25" customHeight="1" x14ac:dyDescent="0.3">
      <c r="A93" s="18">
        <v>43839</v>
      </c>
      <c r="B93" s="46">
        <v>0.69976851851851851</v>
      </c>
      <c r="C93" s="20"/>
      <c r="D93" s="20" t="s">
        <v>2</v>
      </c>
      <c r="E93" s="21">
        <v>7</v>
      </c>
      <c r="F93" s="72" t="s">
        <v>3</v>
      </c>
      <c r="G93" s="72" t="s">
        <v>2</v>
      </c>
      <c r="H93" s="27"/>
      <c r="I93" s="27"/>
      <c r="J93" s="27"/>
      <c r="K93" s="28">
        <v>2600</v>
      </c>
      <c r="L93" s="62" t="s">
        <v>2</v>
      </c>
      <c r="M93" s="62" t="s">
        <v>2</v>
      </c>
      <c r="N93" s="64" t="s">
        <v>2</v>
      </c>
      <c r="O93" s="29">
        <v>0</v>
      </c>
      <c r="P93" s="25" t="s">
        <v>2</v>
      </c>
      <c r="Q93" s="25" t="s">
        <v>2</v>
      </c>
      <c r="R93" s="59">
        <v>4.0999999999999996</v>
      </c>
      <c r="S93" s="59">
        <v>3.3</v>
      </c>
      <c r="T93" s="60">
        <v>5.83</v>
      </c>
      <c r="U93" s="65" t="s">
        <v>116</v>
      </c>
    </row>
    <row r="94" spans="1:21" ht="38.25" customHeight="1" x14ac:dyDescent="0.3">
      <c r="A94" s="18">
        <v>43839</v>
      </c>
      <c r="B94" s="46">
        <v>0.69982638888888893</v>
      </c>
      <c r="C94" s="20"/>
      <c r="D94" s="20" t="s">
        <v>2</v>
      </c>
      <c r="E94" s="21">
        <v>7</v>
      </c>
      <c r="F94" s="72" t="s">
        <v>7</v>
      </c>
      <c r="G94" s="72" t="s">
        <v>2</v>
      </c>
      <c r="H94" s="27"/>
      <c r="I94" s="27"/>
      <c r="J94" s="27"/>
      <c r="K94" s="28">
        <v>2600</v>
      </c>
      <c r="L94" s="62" t="s">
        <v>2</v>
      </c>
      <c r="M94" s="62" t="s">
        <v>2</v>
      </c>
      <c r="N94" s="64" t="s">
        <v>2</v>
      </c>
      <c r="O94" s="29">
        <v>0</v>
      </c>
      <c r="P94" s="25" t="s">
        <v>2</v>
      </c>
      <c r="Q94" s="25" t="s">
        <v>2</v>
      </c>
      <c r="R94" s="59"/>
      <c r="S94" s="59"/>
      <c r="T94" s="59"/>
      <c r="U94" s="65" t="s">
        <v>121</v>
      </c>
    </row>
    <row r="95" spans="1:21" ht="38.25" customHeight="1" x14ac:dyDescent="0.3">
      <c r="A95" s="18">
        <v>43839</v>
      </c>
      <c r="B95" s="46">
        <v>0.7133680555555556</v>
      </c>
      <c r="C95" s="20"/>
      <c r="D95" s="20" t="s">
        <v>2</v>
      </c>
      <c r="E95" s="21">
        <v>7</v>
      </c>
      <c r="F95" s="72" t="s">
        <v>14</v>
      </c>
      <c r="G95" s="72" t="s">
        <v>2</v>
      </c>
      <c r="H95" s="27"/>
      <c r="I95" s="27"/>
      <c r="J95" s="27"/>
      <c r="K95" s="28">
        <v>2600</v>
      </c>
      <c r="L95" s="28">
        <v>0</v>
      </c>
      <c r="M95" s="62">
        <v>2</v>
      </c>
      <c r="N95" s="99" t="s">
        <v>194</v>
      </c>
      <c r="O95" s="29">
        <v>0</v>
      </c>
      <c r="P95" s="25" t="s">
        <v>2</v>
      </c>
      <c r="Q95" s="25" t="s">
        <v>2</v>
      </c>
      <c r="R95" s="59"/>
      <c r="S95" s="59"/>
      <c r="T95" s="59"/>
      <c r="U95" s="65"/>
    </row>
    <row r="96" spans="1:21" ht="38.25" customHeight="1" x14ac:dyDescent="0.3">
      <c r="A96" s="18">
        <v>43839</v>
      </c>
      <c r="B96" s="43">
        <v>0.71342592592592602</v>
      </c>
      <c r="C96" s="20"/>
      <c r="D96" s="20"/>
      <c r="E96" s="21">
        <v>7</v>
      </c>
      <c r="F96" s="72" t="s">
        <v>114</v>
      </c>
      <c r="G96" s="72" t="s">
        <v>2</v>
      </c>
      <c r="H96" s="27"/>
      <c r="I96" s="27"/>
      <c r="J96" s="27"/>
      <c r="K96" s="28">
        <v>2600</v>
      </c>
      <c r="L96" s="28">
        <v>0</v>
      </c>
      <c r="M96" s="62">
        <v>2</v>
      </c>
      <c r="N96" s="64" t="s">
        <v>194</v>
      </c>
      <c r="O96" s="29">
        <v>0</v>
      </c>
      <c r="P96" s="25" t="s">
        <v>2</v>
      </c>
      <c r="Q96" s="25" t="s">
        <v>2</v>
      </c>
      <c r="R96" s="59">
        <v>4.0999999999999996</v>
      </c>
      <c r="S96" s="59">
        <v>3.3</v>
      </c>
      <c r="T96" s="60">
        <v>5.83</v>
      </c>
      <c r="U96" s="65" t="s">
        <v>141</v>
      </c>
    </row>
    <row r="97" spans="1:21" ht="38.25" customHeight="1" x14ac:dyDescent="0.3">
      <c r="A97" s="18">
        <v>43839</v>
      </c>
      <c r="B97" s="46">
        <v>0.71388888888888891</v>
      </c>
      <c r="C97" s="20"/>
      <c r="D97" s="20"/>
      <c r="E97" s="21">
        <v>7</v>
      </c>
      <c r="F97" s="72" t="s">
        <v>0</v>
      </c>
      <c r="G97" s="72" t="s">
        <v>128</v>
      </c>
      <c r="H97" s="27"/>
      <c r="I97" s="27"/>
      <c r="J97" s="27"/>
      <c r="K97" s="28">
        <v>2600</v>
      </c>
      <c r="L97" s="23">
        <v>1</v>
      </c>
      <c r="M97" s="62">
        <v>2</v>
      </c>
      <c r="N97" s="64" t="s">
        <v>194</v>
      </c>
      <c r="O97" s="29">
        <v>0</v>
      </c>
      <c r="P97" s="25"/>
      <c r="Q97" s="25"/>
      <c r="R97" s="59">
        <v>4.4000000000000004</v>
      </c>
      <c r="S97" s="59">
        <v>3.4</v>
      </c>
      <c r="T97" s="60">
        <v>5.76</v>
      </c>
      <c r="U97" s="65" t="s">
        <v>109</v>
      </c>
    </row>
    <row r="98" spans="1:21" ht="38.25" customHeight="1" x14ac:dyDescent="0.3">
      <c r="A98" s="18">
        <v>43839</v>
      </c>
      <c r="B98" s="43">
        <v>0.72026620370370376</v>
      </c>
      <c r="C98" s="20"/>
      <c r="D98" s="20"/>
      <c r="E98" s="21">
        <v>7</v>
      </c>
      <c r="F98" s="72" t="s">
        <v>114</v>
      </c>
      <c r="G98" s="72" t="s">
        <v>2</v>
      </c>
      <c r="H98" s="27"/>
      <c r="I98" s="27"/>
      <c r="J98" s="27"/>
      <c r="K98" s="28">
        <v>2600</v>
      </c>
      <c r="L98" s="28">
        <v>1</v>
      </c>
      <c r="M98" s="62">
        <v>2</v>
      </c>
      <c r="N98" s="64" t="s">
        <v>194</v>
      </c>
      <c r="O98" s="29">
        <v>0</v>
      </c>
      <c r="P98" s="25"/>
      <c r="Q98" s="25"/>
      <c r="R98" s="59">
        <v>4.4000000000000004</v>
      </c>
      <c r="S98" s="59">
        <v>3.4</v>
      </c>
      <c r="T98" s="60">
        <v>5.76</v>
      </c>
      <c r="U98" s="65" t="s">
        <v>109</v>
      </c>
    </row>
    <row r="99" spans="1:21" ht="38.25" customHeight="1" x14ac:dyDescent="0.3">
      <c r="A99" s="18">
        <v>43839</v>
      </c>
      <c r="B99" s="43">
        <v>0.72064814814814815</v>
      </c>
      <c r="C99" s="20"/>
      <c r="D99" s="20"/>
      <c r="E99" s="21">
        <v>7</v>
      </c>
      <c r="F99" s="72" t="s">
        <v>0</v>
      </c>
      <c r="G99" s="72" t="s">
        <v>128</v>
      </c>
      <c r="H99" s="27"/>
      <c r="I99" s="27"/>
      <c r="J99" s="27"/>
      <c r="K99" s="28">
        <v>2600</v>
      </c>
      <c r="L99" s="23">
        <v>4</v>
      </c>
      <c r="M99" s="62">
        <v>2</v>
      </c>
      <c r="N99" s="64" t="s">
        <v>194</v>
      </c>
      <c r="O99" s="29">
        <v>0</v>
      </c>
      <c r="P99" s="25"/>
      <c r="Q99" s="25"/>
      <c r="R99" s="59"/>
      <c r="S99" s="59"/>
      <c r="T99" s="59"/>
      <c r="U99" s="65"/>
    </row>
    <row r="100" spans="1:21" ht="38.25" customHeight="1" x14ac:dyDescent="0.3">
      <c r="A100" s="18">
        <v>43839</v>
      </c>
      <c r="B100" s="43">
        <v>0.72101851851851861</v>
      </c>
      <c r="C100" s="20"/>
      <c r="D100" s="20"/>
      <c r="E100" s="21">
        <v>7</v>
      </c>
      <c r="F100" s="72" t="s">
        <v>114</v>
      </c>
      <c r="G100" s="72" t="s">
        <v>2</v>
      </c>
      <c r="H100" s="27"/>
      <c r="I100" s="27"/>
      <c r="J100" s="27"/>
      <c r="K100" s="28">
        <v>2600</v>
      </c>
      <c r="L100" s="28">
        <v>4</v>
      </c>
      <c r="M100" s="62">
        <v>2</v>
      </c>
      <c r="N100" s="64" t="s">
        <v>194</v>
      </c>
      <c r="O100" s="29">
        <v>0</v>
      </c>
      <c r="P100" s="25"/>
      <c r="Q100" s="25"/>
      <c r="R100" s="59">
        <v>-0.2</v>
      </c>
      <c r="S100" s="59">
        <v>1.6</v>
      </c>
      <c r="T100" s="60">
        <v>0.7</v>
      </c>
      <c r="U100" s="65" t="s">
        <v>140</v>
      </c>
    </row>
    <row r="101" spans="1:21" ht="38.25" customHeight="1" x14ac:dyDescent="0.3">
      <c r="A101" s="18">
        <v>43839</v>
      </c>
      <c r="B101" s="43">
        <v>0.72207175925925926</v>
      </c>
      <c r="C101" s="20"/>
      <c r="D101" s="20"/>
      <c r="E101" s="21">
        <v>7</v>
      </c>
      <c r="F101" s="72" t="s">
        <v>0</v>
      </c>
      <c r="G101" s="72"/>
      <c r="H101" s="27"/>
      <c r="I101" s="27"/>
      <c r="J101" s="27"/>
      <c r="K101" s="28">
        <v>2600</v>
      </c>
      <c r="L101" s="23">
        <v>5</v>
      </c>
      <c r="M101" s="62">
        <v>2</v>
      </c>
      <c r="N101" s="64" t="s">
        <v>194</v>
      </c>
      <c r="O101" s="29">
        <v>0</v>
      </c>
      <c r="P101" s="25"/>
      <c r="Q101" s="25"/>
      <c r="R101" s="59">
        <v>-1</v>
      </c>
      <c r="S101" s="59">
        <v>1.3</v>
      </c>
      <c r="T101" s="60">
        <v>0</v>
      </c>
      <c r="U101" s="65" t="s">
        <v>146</v>
      </c>
    </row>
    <row r="102" spans="1:21" ht="38.25" customHeight="1" x14ac:dyDescent="0.3">
      <c r="A102" s="18">
        <v>43839</v>
      </c>
      <c r="B102" s="43">
        <v>0.7231481481481481</v>
      </c>
      <c r="C102" s="20"/>
      <c r="D102" s="20"/>
      <c r="E102" s="21">
        <v>7</v>
      </c>
      <c r="F102" s="72" t="s">
        <v>108</v>
      </c>
      <c r="G102" s="72" t="s">
        <v>125</v>
      </c>
      <c r="H102" s="27"/>
      <c r="I102" s="27"/>
      <c r="J102" s="27"/>
      <c r="K102" s="28">
        <v>2600</v>
      </c>
      <c r="L102" s="28">
        <v>5</v>
      </c>
      <c r="M102" s="62">
        <v>2</v>
      </c>
      <c r="N102" s="64" t="s">
        <v>194</v>
      </c>
      <c r="O102" s="29">
        <v>0</v>
      </c>
      <c r="P102" s="25"/>
      <c r="Q102" s="25"/>
      <c r="R102" s="59"/>
      <c r="S102" s="59"/>
      <c r="T102" s="59"/>
      <c r="U102" s="65"/>
    </row>
    <row r="103" spans="1:21" ht="38.25" customHeight="1" x14ac:dyDescent="0.3">
      <c r="A103" s="18">
        <v>43839</v>
      </c>
      <c r="B103" s="43">
        <v>0.72337962962962965</v>
      </c>
      <c r="C103" s="20"/>
      <c r="D103" s="20"/>
      <c r="E103" s="21">
        <v>7</v>
      </c>
      <c r="F103" s="72" t="s">
        <v>112</v>
      </c>
      <c r="G103" s="72" t="s">
        <v>2</v>
      </c>
      <c r="H103" s="27"/>
      <c r="I103" s="27"/>
      <c r="J103" s="27"/>
      <c r="K103" s="28">
        <v>2600</v>
      </c>
      <c r="L103" s="28">
        <v>5</v>
      </c>
      <c r="M103" s="62">
        <v>2</v>
      </c>
      <c r="N103" s="64" t="s">
        <v>194</v>
      </c>
      <c r="O103" s="29">
        <v>0</v>
      </c>
      <c r="P103" s="25"/>
      <c r="Q103" s="25"/>
      <c r="R103" s="59"/>
      <c r="S103" s="59"/>
      <c r="T103" s="59"/>
      <c r="U103" s="65"/>
    </row>
    <row r="104" spans="1:21" ht="38.25" customHeight="1" x14ac:dyDescent="0.3">
      <c r="A104" s="18">
        <v>43839</v>
      </c>
      <c r="B104" s="43">
        <v>0.72369212962962959</v>
      </c>
      <c r="C104" s="20"/>
      <c r="D104" s="20"/>
      <c r="E104" s="21">
        <v>7</v>
      </c>
      <c r="F104" s="72" t="s">
        <v>0</v>
      </c>
      <c r="G104" s="72"/>
      <c r="H104" s="27"/>
      <c r="I104" s="27"/>
      <c r="J104" s="27"/>
      <c r="K104" s="28">
        <v>2600</v>
      </c>
      <c r="L104" s="28">
        <v>1</v>
      </c>
      <c r="M104" s="62">
        <v>2</v>
      </c>
      <c r="N104" s="64" t="s">
        <v>194</v>
      </c>
      <c r="O104" s="29">
        <v>0</v>
      </c>
      <c r="P104" s="25"/>
      <c r="Q104" s="25"/>
      <c r="R104" s="39"/>
      <c r="S104" s="39"/>
      <c r="T104" s="39"/>
      <c r="U104" s="65"/>
    </row>
    <row r="105" spans="1:21" ht="38.25" customHeight="1" x14ac:dyDescent="0.3">
      <c r="A105" s="18">
        <v>43839</v>
      </c>
      <c r="B105" s="43">
        <v>0.72715277777777787</v>
      </c>
      <c r="C105" s="20"/>
      <c r="D105" s="20"/>
      <c r="E105" s="21">
        <v>7</v>
      </c>
      <c r="F105" s="72" t="s">
        <v>114</v>
      </c>
      <c r="G105" s="72" t="s">
        <v>2</v>
      </c>
      <c r="H105" s="27"/>
      <c r="I105" s="27"/>
      <c r="J105" s="27"/>
      <c r="K105" s="28">
        <v>2600</v>
      </c>
      <c r="L105" s="28">
        <v>1</v>
      </c>
      <c r="M105" s="62">
        <v>2</v>
      </c>
      <c r="N105" s="64" t="s">
        <v>194</v>
      </c>
      <c r="O105" s="29">
        <v>0</v>
      </c>
      <c r="P105" s="25"/>
      <c r="Q105" s="25"/>
      <c r="R105" s="39">
        <v>4.5</v>
      </c>
      <c r="S105" s="39">
        <v>3.4</v>
      </c>
      <c r="T105" s="44">
        <v>5.74</v>
      </c>
      <c r="U105" s="65"/>
    </row>
    <row r="106" spans="1:21" ht="38.25" customHeight="1" x14ac:dyDescent="0.3">
      <c r="A106" s="18">
        <v>43839</v>
      </c>
      <c r="B106" s="43">
        <v>0.72759259259259268</v>
      </c>
      <c r="C106" s="20"/>
      <c r="D106" s="20"/>
      <c r="E106" s="21">
        <v>7</v>
      </c>
      <c r="F106" s="72" t="s">
        <v>0</v>
      </c>
      <c r="G106" s="72" t="s">
        <v>128</v>
      </c>
      <c r="H106" s="27"/>
      <c r="I106" s="27"/>
      <c r="J106" s="27"/>
      <c r="K106" s="28">
        <v>2600</v>
      </c>
      <c r="L106" s="23">
        <v>0</v>
      </c>
      <c r="M106" s="62">
        <v>2</v>
      </c>
      <c r="N106" s="64" t="s">
        <v>194</v>
      </c>
      <c r="O106" s="29">
        <v>0</v>
      </c>
      <c r="P106" s="25"/>
      <c r="Q106" s="25"/>
      <c r="R106" s="39"/>
      <c r="S106" s="39"/>
      <c r="T106" s="39"/>
      <c r="U106" s="65"/>
    </row>
    <row r="107" spans="1:21" ht="38.25" customHeight="1" x14ac:dyDescent="0.3">
      <c r="A107" s="18">
        <v>43839</v>
      </c>
      <c r="B107" s="43">
        <v>0.728449074074074</v>
      </c>
      <c r="C107" s="20"/>
      <c r="D107" s="20"/>
      <c r="E107" s="21">
        <v>7</v>
      </c>
      <c r="F107" s="72" t="s">
        <v>114</v>
      </c>
      <c r="G107" s="72" t="s">
        <v>2</v>
      </c>
      <c r="H107" s="27"/>
      <c r="I107" s="27"/>
      <c r="J107" s="27"/>
      <c r="K107" s="28">
        <v>2600</v>
      </c>
      <c r="L107" s="28">
        <v>0</v>
      </c>
      <c r="M107" s="62">
        <v>2</v>
      </c>
      <c r="N107" s="64" t="s">
        <v>194</v>
      </c>
      <c r="O107" s="29">
        <v>0</v>
      </c>
      <c r="P107" s="25"/>
      <c r="Q107" s="25"/>
      <c r="R107" s="39">
        <v>4.0999999999999996</v>
      </c>
      <c r="S107" s="39">
        <v>3.3</v>
      </c>
      <c r="T107" s="44">
        <v>5.84</v>
      </c>
      <c r="U107" s="65" t="s">
        <v>110</v>
      </c>
    </row>
    <row r="108" spans="1:21" ht="38.25" customHeight="1" x14ac:dyDescent="0.3">
      <c r="A108" s="18">
        <v>43839</v>
      </c>
      <c r="B108" s="43">
        <v>0.72957175925925932</v>
      </c>
      <c r="C108" s="20"/>
      <c r="D108" s="20"/>
      <c r="E108" s="21">
        <v>7</v>
      </c>
      <c r="F108" s="72" t="s">
        <v>0</v>
      </c>
      <c r="G108" s="72" t="s">
        <v>128</v>
      </c>
      <c r="H108" s="27"/>
      <c r="I108" s="27"/>
      <c r="J108" s="27"/>
      <c r="K108" s="28">
        <v>2600</v>
      </c>
      <c r="L108" s="23">
        <v>5</v>
      </c>
      <c r="M108" s="62">
        <v>2</v>
      </c>
      <c r="N108" s="64" t="s">
        <v>194</v>
      </c>
      <c r="O108" s="29">
        <v>0</v>
      </c>
      <c r="P108" s="25"/>
      <c r="Q108" s="25"/>
      <c r="R108" s="39"/>
      <c r="S108" s="39"/>
      <c r="T108" s="39"/>
      <c r="U108" s="65"/>
    </row>
    <row r="109" spans="1:21" ht="38.25" customHeight="1" x14ac:dyDescent="0.3">
      <c r="A109" s="18">
        <v>43839</v>
      </c>
      <c r="B109" s="43">
        <v>0.73350694444444453</v>
      </c>
      <c r="C109" s="20"/>
      <c r="D109" s="20"/>
      <c r="E109" s="21">
        <v>7</v>
      </c>
      <c r="F109" s="72" t="s">
        <v>114</v>
      </c>
      <c r="G109" s="72" t="s">
        <v>2</v>
      </c>
      <c r="H109" s="27"/>
      <c r="I109" s="27"/>
      <c r="J109" s="27"/>
      <c r="K109" s="28">
        <v>2600</v>
      </c>
      <c r="L109" s="28">
        <v>5</v>
      </c>
      <c r="M109" s="62">
        <v>2</v>
      </c>
      <c r="N109" s="64" t="s">
        <v>194</v>
      </c>
      <c r="O109" s="29">
        <v>0</v>
      </c>
      <c r="P109" s="25"/>
      <c r="Q109" s="25"/>
      <c r="R109" s="39">
        <v>1.7</v>
      </c>
      <c r="S109" s="39">
        <v>2.4</v>
      </c>
      <c r="T109" s="44">
        <f>5.83/2</f>
        <v>2.915</v>
      </c>
      <c r="U109" s="68" t="s">
        <v>111</v>
      </c>
    </row>
    <row r="110" spans="1:21" ht="38.25" customHeight="1" x14ac:dyDescent="0.3">
      <c r="A110" s="18">
        <v>43839</v>
      </c>
      <c r="B110" s="43">
        <v>0.73466435185185175</v>
      </c>
      <c r="C110" s="20"/>
      <c r="D110" s="20"/>
      <c r="E110" s="21">
        <v>7</v>
      </c>
      <c r="F110" s="72" t="s">
        <v>0</v>
      </c>
      <c r="G110" s="72" t="s">
        <v>128</v>
      </c>
      <c r="H110" s="27"/>
      <c r="I110" s="27"/>
      <c r="J110" s="27"/>
      <c r="K110" s="28">
        <v>2600</v>
      </c>
      <c r="L110" s="23">
        <v>0</v>
      </c>
      <c r="M110" s="62">
        <v>2</v>
      </c>
      <c r="N110" s="64" t="s">
        <v>194</v>
      </c>
      <c r="O110" s="29">
        <v>0</v>
      </c>
      <c r="P110" s="25"/>
      <c r="Q110" s="25"/>
      <c r="R110" s="39"/>
      <c r="S110" s="39"/>
      <c r="T110" s="39"/>
      <c r="U110" s="65" t="s">
        <v>142</v>
      </c>
    </row>
    <row r="111" spans="1:21" ht="38.25" customHeight="1" x14ac:dyDescent="0.3">
      <c r="A111" s="18">
        <v>43839</v>
      </c>
      <c r="B111" s="43">
        <v>0.73666666666666669</v>
      </c>
      <c r="C111" s="20"/>
      <c r="D111" s="20"/>
      <c r="E111" s="21">
        <v>7</v>
      </c>
      <c r="F111" s="72" t="s">
        <v>114</v>
      </c>
      <c r="G111" s="72" t="s">
        <v>2</v>
      </c>
      <c r="H111" s="27"/>
      <c r="I111" s="27"/>
      <c r="J111" s="27"/>
      <c r="K111" s="28">
        <v>2600</v>
      </c>
      <c r="L111" s="28">
        <v>0</v>
      </c>
      <c r="M111" s="62">
        <v>2</v>
      </c>
      <c r="N111" s="64" t="s">
        <v>194</v>
      </c>
      <c r="O111" s="29">
        <v>0</v>
      </c>
      <c r="P111" s="25"/>
      <c r="Q111" s="25"/>
      <c r="R111" s="39">
        <v>4.0999999999999996</v>
      </c>
      <c r="S111" s="39">
        <v>3.3</v>
      </c>
      <c r="T111" s="44"/>
      <c r="U111" s="65" t="s">
        <v>142</v>
      </c>
    </row>
    <row r="112" spans="1:21" ht="38.25" customHeight="1" x14ac:dyDescent="0.3">
      <c r="A112" s="18">
        <v>43839</v>
      </c>
      <c r="B112" s="43">
        <v>0.73709490740740735</v>
      </c>
      <c r="C112" s="20"/>
      <c r="D112" s="20"/>
      <c r="E112" s="21">
        <v>7</v>
      </c>
      <c r="F112" s="72" t="s">
        <v>108</v>
      </c>
      <c r="G112" s="72" t="s">
        <v>147</v>
      </c>
      <c r="H112" s="27"/>
      <c r="I112" s="27"/>
      <c r="J112" s="27"/>
      <c r="K112" s="28">
        <v>2600</v>
      </c>
      <c r="L112" s="23" t="s">
        <v>2</v>
      </c>
      <c r="M112" s="82" t="s">
        <v>2</v>
      </c>
      <c r="N112" s="99" t="s">
        <v>2</v>
      </c>
      <c r="O112" s="29">
        <v>0</v>
      </c>
      <c r="P112" s="25"/>
      <c r="Q112" s="25"/>
      <c r="R112" s="39"/>
      <c r="S112" s="39"/>
      <c r="T112" s="39"/>
      <c r="U112" s="68" t="s">
        <v>149</v>
      </c>
    </row>
    <row r="113" spans="1:21" ht="38.25" customHeight="1" x14ac:dyDescent="0.3">
      <c r="A113" s="18">
        <v>43839</v>
      </c>
      <c r="B113" s="43">
        <v>0.73784722222222221</v>
      </c>
      <c r="C113" s="20"/>
      <c r="D113" s="20"/>
      <c r="E113" s="21">
        <v>7</v>
      </c>
      <c r="F113" s="72" t="s">
        <v>136</v>
      </c>
      <c r="G113" s="72" t="s">
        <v>2</v>
      </c>
      <c r="H113" s="27"/>
      <c r="I113" s="27"/>
      <c r="J113" s="27"/>
      <c r="K113" s="28">
        <v>2600</v>
      </c>
      <c r="L113" s="28" t="s">
        <v>2</v>
      </c>
      <c r="M113" s="62" t="s">
        <v>2</v>
      </c>
      <c r="N113" s="64" t="s">
        <v>2</v>
      </c>
      <c r="O113" s="29">
        <v>0</v>
      </c>
      <c r="P113" s="25"/>
      <c r="Q113" s="25"/>
      <c r="R113" s="39">
        <v>4</v>
      </c>
      <c r="S113" s="39">
        <v>3.3</v>
      </c>
      <c r="T113" s="44"/>
      <c r="U113" s="68" t="s">
        <v>149</v>
      </c>
    </row>
    <row r="114" spans="1:21" ht="38.25" customHeight="1" x14ac:dyDescent="0.3">
      <c r="A114" s="18">
        <v>43839</v>
      </c>
      <c r="B114" s="100">
        <v>0.7412037037037037</v>
      </c>
      <c r="C114" s="20"/>
      <c r="D114" s="20" t="s">
        <v>2</v>
      </c>
      <c r="E114" s="30" t="s">
        <v>2</v>
      </c>
      <c r="F114" s="72" t="s">
        <v>7</v>
      </c>
      <c r="G114" s="72" t="s">
        <v>2</v>
      </c>
      <c r="H114" s="27"/>
      <c r="I114" s="27"/>
      <c r="J114" s="27"/>
      <c r="K114" s="28">
        <v>2600</v>
      </c>
      <c r="L114" s="28">
        <v>0</v>
      </c>
      <c r="M114" s="62" t="s">
        <v>2</v>
      </c>
      <c r="N114" s="64" t="s">
        <v>194</v>
      </c>
      <c r="O114" s="29">
        <v>0</v>
      </c>
      <c r="P114" s="25" t="s">
        <v>2</v>
      </c>
      <c r="Q114" s="25" t="s">
        <v>2</v>
      </c>
      <c r="R114" s="39"/>
      <c r="S114" s="39"/>
      <c r="T114" s="44"/>
      <c r="U114" s="65"/>
    </row>
    <row r="115" spans="1:21" ht="38.25" customHeight="1" x14ac:dyDescent="0.3">
      <c r="A115" s="18">
        <v>43844</v>
      </c>
      <c r="B115" s="86">
        <v>0.49556712962962962</v>
      </c>
      <c r="C115" s="20"/>
      <c r="D115" s="20" t="s">
        <v>2</v>
      </c>
      <c r="E115" s="30" t="s">
        <v>2</v>
      </c>
      <c r="F115" s="72" t="s">
        <v>14</v>
      </c>
      <c r="G115" s="72" t="s">
        <v>2</v>
      </c>
      <c r="H115" s="27"/>
      <c r="I115" s="27"/>
      <c r="J115" s="27"/>
      <c r="K115" s="28">
        <v>2600</v>
      </c>
      <c r="L115" s="28">
        <v>0</v>
      </c>
      <c r="M115" s="62" t="s">
        <v>2</v>
      </c>
      <c r="N115" s="64" t="s">
        <v>194</v>
      </c>
      <c r="O115" s="29">
        <v>0</v>
      </c>
      <c r="P115" s="25" t="s">
        <v>2</v>
      </c>
      <c r="Q115" s="25" t="s">
        <v>2</v>
      </c>
      <c r="R115" s="39"/>
      <c r="S115" s="39"/>
      <c r="T115" s="44"/>
      <c r="U115" s="66" t="s">
        <v>148</v>
      </c>
    </row>
    <row r="116" spans="1:21" ht="38.25" customHeight="1" x14ac:dyDescent="0.3">
      <c r="A116" s="18">
        <v>43844</v>
      </c>
      <c r="B116" s="86">
        <v>0.56550925925925932</v>
      </c>
      <c r="C116" s="20"/>
      <c r="D116" s="20">
        <v>20</v>
      </c>
      <c r="E116" s="30" t="s">
        <v>2</v>
      </c>
      <c r="F116" s="71" t="s">
        <v>15</v>
      </c>
      <c r="G116" s="71" t="s">
        <v>127</v>
      </c>
      <c r="H116" s="27"/>
      <c r="I116" s="22"/>
      <c r="J116" s="22"/>
      <c r="K116" s="28">
        <v>2600</v>
      </c>
      <c r="L116" s="62" t="s">
        <v>2</v>
      </c>
      <c r="M116" s="62" t="s">
        <v>2</v>
      </c>
      <c r="N116" s="64" t="s">
        <v>2</v>
      </c>
      <c r="O116" s="24" t="s">
        <v>2</v>
      </c>
      <c r="P116" s="25" t="s">
        <v>2</v>
      </c>
      <c r="Q116" s="25" t="s">
        <v>2</v>
      </c>
      <c r="R116" s="39"/>
      <c r="S116" s="39"/>
      <c r="T116" s="44"/>
      <c r="U116" s="65"/>
    </row>
    <row r="117" spans="1:21" ht="38.25" customHeight="1" x14ac:dyDescent="0.3">
      <c r="A117" s="18">
        <v>43844</v>
      </c>
      <c r="B117" s="86">
        <v>0.56579861111111118</v>
      </c>
      <c r="C117" s="20"/>
      <c r="D117" s="20">
        <v>0</v>
      </c>
      <c r="E117" s="30" t="s">
        <v>2</v>
      </c>
      <c r="F117" s="72" t="s">
        <v>15</v>
      </c>
      <c r="G117" s="72" t="s">
        <v>126</v>
      </c>
      <c r="H117" s="27"/>
      <c r="I117" s="27"/>
      <c r="J117" s="27"/>
      <c r="K117" s="28">
        <v>2600</v>
      </c>
      <c r="L117" s="62" t="s">
        <v>2</v>
      </c>
      <c r="M117" s="62" t="s">
        <v>2</v>
      </c>
      <c r="N117" s="64" t="s">
        <v>2</v>
      </c>
      <c r="O117" s="24" t="s">
        <v>2</v>
      </c>
      <c r="P117" s="25"/>
      <c r="Q117" s="25"/>
      <c r="R117" s="39"/>
      <c r="S117" s="39"/>
      <c r="T117" s="44"/>
      <c r="U117" s="65"/>
    </row>
    <row r="118" spans="1:21" ht="38.25" customHeight="1" x14ac:dyDescent="0.3">
      <c r="A118" s="18">
        <v>43844</v>
      </c>
      <c r="B118" s="100">
        <v>0.56597222222222221</v>
      </c>
      <c r="C118" s="20"/>
      <c r="D118" s="20" t="s">
        <v>2</v>
      </c>
      <c r="E118" s="30" t="s">
        <v>2</v>
      </c>
      <c r="F118" s="72" t="s">
        <v>7</v>
      </c>
      <c r="G118" s="72" t="s">
        <v>147</v>
      </c>
      <c r="H118" s="27"/>
      <c r="I118" s="27"/>
      <c r="J118" s="27"/>
      <c r="K118" s="28">
        <v>2600</v>
      </c>
      <c r="L118" s="62">
        <v>0</v>
      </c>
      <c r="M118" s="62">
        <v>2</v>
      </c>
      <c r="N118" s="64" t="s">
        <v>194</v>
      </c>
      <c r="O118" s="29">
        <v>0</v>
      </c>
      <c r="P118" s="25"/>
      <c r="Q118" s="25"/>
      <c r="R118" s="44"/>
      <c r="S118" s="44"/>
      <c r="T118" s="44"/>
      <c r="U118" s="65"/>
    </row>
    <row r="119" spans="1:21" ht="38.25" customHeight="1" x14ac:dyDescent="0.3">
      <c r="A119" s="18">
        <v>43844</v>
      </c>
      <c r="B119" s="86">
        <v>0.56684027777777779</v>
      </c>
      <c r="C119" s="20"/>
      <c r="D119" s="20" t="s">
        <v>2</v>
      </c>
      <c r="E119" s="32">
        <v>8</v>
      </c>
      <c r="F119" s="72" t="s">
        <v>14</v>
      </c>
      <c r="G119" s="72" t="s">
        <v>2</v>
      </c>
      <c r="H119" s="27"/>
      <c r="I119" s="27"/>
      <c r="J119" s="27"/>
      <c r="K119" s="28">
        <v>2600</v>
      </c>
      <c r="L119" s="62">
        <v>0</v>
      </c>
      <c r="M119" s="62">
        <v>2</v>
      </c>
      <c r="N119" s="64" t="s">
        <v>194</v>
      </c>
      <c r="O119" s="29">
        <v>0</v>
      </c>
      <c r="P119" s="25"/>
      <c r="Q119" s="25"/>
      <c r="R119" s="44"/>
      <c r="S119" s="44"/>
      <c r="T119" s="44"/>
      <c r="U119" s="65"/>
    </row>
    <row r="120" spans="1:21" ht="38.25" customHeight="1" x14ac:dyDescent="0.3">
      <c r="A120" s="18">
        <v>43844</v>
      </c>
      <c r="B120" s="86">
        <v>0.56694444444444447</v>
      </c>
      <c r="C120" s="20"/>
      <c r="D120" s="20">
        <v>30</v>
      </c>
      <c r="E120" s="32">
        <v>8</v>
      </c>
      <c r="F120" s="72" t="s">
        <v>114</v>
      </c>
      <c r="G120" s="72" t="s">
        <v>2</v>
      </c>
      <c r="H120" s="27"/>
      <c r="I120" s="27"/>
      <c r="J120" s="27"/>
      <c r="K120" s="28">
        <v>2600</v>
      </c>
      <c r="L120" s="62">
        <v>0</v>
      </c>
      <c r="M120" s="102">
        <v>2</v>
      </c>
      <c r="N120" s="64" t="s">
        <v>194</v>
      </c>
      <c r="O120" s="29">
        <v>0</v>
      </c>
      <c r="P120" s="25"/>
      <c r="Q120" s="25"/>
      <c r="R120" s="39">
        <v>4</v>
      </c>
      <c r="S120" s="39">
        <v>3.3</v>
      </c>
      <c r="T120" s="44">
        <v>5.85</v>
      </c>
      <c r="U120" s="65"/>
    </row>
    <row r="121" spans="1:21" ht="38.25" customHeight="1" x14ac:dyDescent="0.3">
      <c r="A121" s="18">
        <v>43844</v>
      </c>
      <c r="B121" s="86">
        <v>0.56701388888888882</v>
      </c>
      <c r="C121" s="20"/>
      <c r="D121" s="20" t="s">
        <v>2</v>
      </c>
      <c r="E121" s="32">
        <v>8</v>
      </c>
      <c r="F121" s="72" t="s">
        <v>108</v>
      </c>
      <c r="G121" s="72" t="s">
        <v>2</v>
      </c>
      <c r="H121" s="27"/>
      <c r="I121" s="27"/>
      <c r="J121" s="27"/>
      <c r="K121" s="28">
        <v>2600</v>
      </c>
      <c r="L121" s="62">
        <v>0</v>
      </c>
      <c r="M121" s="62">
        <v>2</v>
      </c>
      <c r="N121" s="64" t="s">
        <v>194</v>
      </c>
      <c r="O121" s="29">
        <v>0</v>
      </c>
      <c r="P121" s="25"/>
      <c r="Q121" s="25"/>
      <c r="R121" s="44"/>
      <c r="S121" s="44"/>
      <c r="T121" s="44"/>
      <c r="U121" s="65"/>
    </row>
    <row r="122" spans="1:21" ht="38.25" customHeight="1" x14ac:dyDescent="0.3">
      <c r="A122" s="18">
        <v>43844</v>
      </c>
      <c r="B122" s="86">
        <v>0.56747685185185182</v>
      </c>
      <c r="C122" s="20"/>
      <c r="D122" s="20" t="s">
        <v>2</v>
      </c>
      <c r="E122" s="32">
        <v>8</v>
      </c>
      <c r="F122" s="72" t="s">
        <v>112</v>
      </c>
      <c r="G122" s="72" t="s">
        <v>2</v>
      </c>
      <c r="H122" s="27"/>
      <c r="I122" s="27"/>
      <c r="J122" s="27"/>
      <c r="K122" s="28">
        <v>2600</v>
      </c>
      <c r="L122" s="62">
        <v>0</v>
      </c>
      <c r="M122" s="62">
        <v>2</v>
      </c>
      <c r="N122" s="64" t="s">
        <v>194</v>
      </c>
      <c r="O122" s="29">
        <v>0</v>
      </c>
      <c r="P122" s="25"/>
      <c r="Q122" s="25"/>
      <c r="R122" s="44"/>
      <c r="S122" s="44"/>
      <c r="T122" s="44"/>
      <c r="U122" s="65"/>
    </row>
    <row r="123" spans="1:21" ht="38.25" customHeight="1" x14ac:dyDescent="0.3">
      <c r="A123" s="18">
        <v>43844</v>
      </c>
      <c r="B123" s="86">
        <v>0.56765046296296295</v>
      </c>
      <c r="C123" s="20"/>
      <c r="D123" s="20">
        <v>60</v>
      </c>
      <c r="E123" s="32">
        <v>8</v>
      </c>
      <c r="F123" s="72" t="s">
        <v>114</v>
      </c>
      <c r="G123" s="72" t="s">
        <v>2</v>
      </c>
      <c r="H123" s="27"/>
      <c r="I123" s="27"/>
      <c r="J123" s="27"/>
      <c r="K123" s="28">
        <v>2600</v>
      </c>
      <c r="L123" s="62">
        <v>0</v>
      </c>
      <c r="M123" s="62">
        <v>2</v>
      </c>
      <c r="N123" s="64" t="s">
        <v>194</v>
      </c>
      <c r="O123" s="29">
        <v>0</v>
      </c>
      <c r="P123" s="25"/>
      <c r="Q123" s="25"/>
      <c r="R123" s="39">
        <v>4.0999999999999996</v>
      </c>
      <c r="S123" s="39">
        <v>3.3</v>
      </c>
      <c r="T123" s="44">
        <v>5.84</v>
      </c>
      <c r="U123" s="65"/>
    </row>
    <row r="124" spans="1:21" ht="38.25" customHeight="1" x14ac:dyDescent="0.3">
      <c r="A124" s="18">
        <v>43844</v>
      </c>
      <c r="B124" s="86">
        <v>0.56844907407407408</v>
      </c>
      <c r="C124" s="20"/>
      <c r="D124" s="20">
        <v>30</v>
      </c>
      <c r="E124" s="32">
        <v>8</v>
      </c>
      <c r="F124" s="72" t="s">
        <v>0</v>
      </c>
      <c r="G124" s="72" t="s">
        <v>128</v>
      </c>
      <c r="H124" s="27"/>
      <c r="I124" s="27"/>
      <c r="J124" s="27"/>
      <c r="K124" s="28">
        <v>2600</v>
      </c>
      <c r="L124" s="82">
        <v>1</v>
      </c>
      <c r="M124" s="62">
        <v>2</v>
      </c>
      <c r="N124" s="64" t="s">
        <v>194</v>
      </c>
      <c r="O124" s="29">
        <v>0</v>
      </c>
      <c r="P124" s="25"/>
      <c r="Q124" s="25"/>
      <c r="R124" s="39"/>
      <c r="S124" s="39"/>
      <c r="T124" s="44"/>
      <c r="U124" s="65"/>
    </row>
    <row r="125" spans="1:21" ht="38.25" customHeight="1" x14ac:dyDescent="0.3">
      <c r="A125" s="18">
        <v>43844</v>
      </c>
      <c r="B125" s="86">
        <v>0.56893518518518515</v>
      </c>
      <c r="C125" s="20"/>
      <c r="D125" s="20">
        <v>60</v>
      </c>
      <c r="E125" s="32">
        <v>8</v>
      </c>
      <c r="F125" s="72" t="s">
        <v>114</v>
      </c>
      <c r="G125" s="72" t="s">
        <v>2</v>
      </c>
      <c r="H125" s="27"/>
      <c r="I125" s="27"/>
      <c r="J125" s="27"/>
      <c r="K125" s="28">
        <v>2600</v>
      </c>
      <c r="L125" s="62">
        <v>1</v>
      </c>
      <c r="M125" s="62">
        <v>2</v>
      </c>
      <c r="N125" s="64" t="s">
        <v>194</v>
      </c>
      <c r="O125" s="29">
        <v>0</v>
      </c>
      <c r="P125" s="25"/>
      <c r="Q125" s="25"/>
      <c r="R125" s="39"/>
      <c r="S125" s="39"/>
      <c r="T125" s="44"/>
      <c r="U125" s="65"/>
    </row>
    <row r="126" spans="1:21" ht="38.25" customHeight="1" x14ac:dyDescent="0.3">
      <c r="A126" s="18">
        <v>43844</v>
      </c>
      <c r="B126" s="86">
        <v>0.57019675925925928</v>
      </c>
      <c r="C126" s="20"/>
      <c r="D126" s="20">
        <v>30</v>
      </c>
      <c r="E126" s="32">
        <v>8</v>
      </c>
      <c r="F126" s="72" t="s">
        <v>0</v>
      </c>
      <c r="G126" s="72" t="s">
        <v>128</v>
      </c>
      <c r="H126" s="27"/>
      <c r="I126" s="27"/>
      <c r="J126" s="27"/>
      <c r="K126" s="28">
        <v>2600</v>
      </c>
      <c r="L126" s="82">
        <v>2</v>
      </c>
      <c r="M126" s="62">
        <v>2</v>
      </c>
      <c r="N126" s="64" t="s">
        <v>194</v>
      </c>
      <c r="O126" s="29">
        <v>0</v>
      </c>
      <c r="P126" s="25"/>
      <c r="Q126" s="25"/>
      <c r="R126" s="39"/>
      <c r="S126" s="39"/>
      <c r="T126" s="44"/>
      <c r="U126" s="65"/>
    </row>
    <row r="127" spans="1:21" ht="38.25" customHeight="1" x14ac:dyDescent="0.3">
      <c r="A127" s="18">
        <v>43844</v>
      </c>
      <c r="B127" s="86">
        <v>0.57068287037037035</v>
      </c>
      <c r="C127" s="20"/>
      <c r="D127" s="20">
        <v>60</v>
      </c>
      <c r="E127" s="32">
        <v>8</v>
      </c>
      <c r="F127" s="72" t="s">
        <v>114</v>
      </c>
      <c r="G127" s="72" t="s">
        <v>2</v>
      </c>
      <c r="H127" s="27"/>
      <c r="I127" s="27"/>
      <c r="J127" s="27"/>
      <c r="K127" s="28">
        <v>2600</v>
      </c>
      <c r="L127" s="62">
        <v>2</v>
      </c>
      <c r="M127" s="62">
        <v>2</v>
      </c>
      <c r="N127" s="64" t="s">
        <v>194</v>
      </c>
      <c r="O127" s="29">
        <v>0</v>
      </c>
      <c r="P127" s="25"/>
      <c r="Q127" s="25"/>
      <c r="R127" s="39">
        <v>4.3</v>
      </c>
      <c r="S127" s="39">
        <v>3.4</v>
      </c>
      <c r="T127" s="44">
        <v>5.87</v>
      </c>
      <c r="U127" s="65"/>
    </row>
    <row r="128" spans="1:21" ht="38.25" customHeight="1" x14ac:dyDescent="0.3">
      <c r="A128" s="18">
        <v>43844</v>
      </c>
      <c r="B128" s="43">
        <v>0.57123842592592589</v>
      </c>
      <c r="C128" s="20"/>
      <c r="D128" s="20">
        <v>30</v>
      </c>
      <c r="E128" s="32">
        <v>8</v>
      </c>
      <c r="F128" s="72" t="s">
        <v>0</v>
      </c>
      <c r="G128" s="72" t="s">
        <v>128</v>
      </c>
      <c r="H128" s="27"/>
      <c r="I128" s="27"/>
      <c r="J128" s="27"/>
      <c r="K128" s="28">
        <v>2600</v>
      </c>
      <c r="L128" s="82">
        <v>3</v>
      </c>
      <c r="M128" s="62">
        <v>2</v>
      </c>
      <c r="N128" s="64" t="s">
        <v>194</v>
      </c>
      <c r="O128" s="29">
        <v>0</v>
      </c>
      <c r="P128" s="25"/>
      <c r="Q128" s="25"/>
      <c r="R128" s="39"/>
      <c r="S128" s="39"/>
      <c r="T128" s="44"/>
      <c r="U128" s="65"/>
    </row>
    <row r="129" spans="1:21" ht="38.25" customHeight="1" x14ac:dyDescent="0.3">
      <c r="A129" s="18">
        <v>43844</v>
      </c>
      <c r="B129" s="86">
        <v>0.57240740740740736</v>
      </c>
      <c r="C129" s="20"/>
      <c r="D129" s="20">
        <v>60</v>
      </c>
      <c r="E129" s="32">
        <v>8</v>
      </c>
      <c r="F129" s="72" t="s">
        <v>114</v>
      </c>
      <c r="G129" s="72" t="s">
        <v>2</v>
      </c>
      <c r="H129" s="27"/>
      <c r="I129" s="27"/>
      <c r="J129" s="27"/>
      <c r="K129" s="28">
        <v>2600</v>
      </c>
      <c r="L129" s="62">
        <v>3</v>
      </c>
      <c r="M129" s="62">
        <v>2</v>
      </c>
      <c r="N129" s="64" t="s">
        <v>194</v>
      </c>
      <c r="O129" s="29">
        <v>0</v>
      </c>
      <c r="P129" s="25"/>
      <c r="Q129" s="25"/>
      <c r="R129" s="39">
        <v>4.5999999999999996</v>
      </c>
      <c r="S129" s="39">
        <v>3.5</v>
      </c>
      <c r="T129" s="44">
        <v>5.8</v>
      </c>
      <c r="U129" s="65"/>
    </row>
    <row r="130" spans="1:21" ht="38.25" customHeight="1" x14ac:dyDescent="0.3">
      <c r="A130" s="18">
        <v>43844</v>
      </c>
      <c r="B130" s="86">
        <v>0.57281250000000006</v>
      </c>
      <c r="C130" s="20"/>
      <c r="D130" s="20">
        <v>30</v>
      </c>
      <c r="E130" s="32">
        <v>8</v>
      </c>
      <c r="F130" s="72" t="s">
        <v>0</v>
      </c>
      <c r="G130" s="72" t="s">
        <v>128</v>
      </c>
      <c r="H130" s="27"/>
      <c r="I130" s="27"/>
      <c r="J130" s="27"/>
      <c r="K130" s="28">
        <v>2600</v>
      </c>
      <c r="L130" s="82">
        <v>4</v>
      </c>
      <c r="M130" s="62">
        <v>2</v>
      </c>
      <c r="N130" s="64" t="s">
        <v>194</v>
      </c>
      <c r="O130" s="29">
        <v>0</v>
      </c>
      <c r="P130" s="25"/>
      <c r="Q130" s="25"/>
      <c r="R130" s="39"/>
      <c r="S130" s="39"/>
      <c r="T130" s="44"/>
      <c r="U130" s="65"/>
    </row>
    <row r="131" spans="1:21" ht="38.25" customHeight="1" x14ac:dyDescent="0.3">
      <c r="A131" s="18">
        <v>43844</v>
      </c>
      <c r="B131" s="86">
        <v>0.57346064814814812</v>
      </c>
      <c r="C131" s="20"/>
      <c r="D131" s="20">
        <v>60</v>
      </c>
      <c r="E131" s="32">
        <v>8</v>
      </c>
      <c r="F131" s="72" t="s">
        <v>114</v>
      </c>
      <c r="G131" s="72" t="s">
        <v>2</v>
      </c>
      <c r="H131" s="27"/>
      <c r="I131" s="27"/>
      <c r="J131" s="27"/>
      <c r="K131" s="28">
        <v>2600</v>
      </c>
      <c r="L131" s="62">
        <v>4</v>
      </c>
      <c r="M131" s="62">
        <v>2</v>
      </c>
      <c r="N131" s="64" t="s">
        <v>194</v>
      </c>
      <c r="O131" s="29">
        <v>0</v>
      </c>
      <c r="P131" s="25"/>
      <c r="Q131" s="25"/>
      <c r="R131" s="39">
        <v>1.9</v>
      </c>
      <c r="S131" s="39">
        <v>2.5</v>
      </c>
      <c r="T131" s="44">
        <v>3.12</v>
      </c>
      <c r="U131" s="65"/>
    </row>
    <row r="132" spans="1:21" ht="38.25" customHeight="1" x14ac:dyDescent="0.3">
      <c r="A132" s="18">
        <v>43844</v>
      </c>
      <c r="B132" s="87">
        <v>0.57424768518518521</v>
      </c>
      <c r="C132" s="83"/>
      <c r="D132" s="83">
        <v>30</v>
      </c>
      <c r="E132" s="32">
        <v>8</v>
      </c>
      <c r="F132" s="72" t="s">
        <v>0</v>
      </c>
      <c r="G132" s="72" t="s">
        <v>128</v>
      </c>
      <c r="H132" s="27"/>
      <c r="I132" s="27"/>
      <c r="J132" s="27"/>
      <c r="K132" s="28">
        <v>2600</v>
      </c>
      <c r="L132" s="82">
        <v>5</v>
      </c>
      <c r="M132" s="62">
        <v>2</v>
      </c>
      <c r="N132" s="64" t="s">
        <v>194</v>
      </c>
      <c r="O132" s="29">
        <v>0</v>
      </c>
      <c r="P132" s="25"/>
      <c r="Q132" s="25"/>
      <c r="R132" s="39"/>
      <c r="S132" s="39"/>
      <c r="T132" s="44"/>
      <c r="U132" s="65"/>
    </row>
    <row r="133" spans="1:21" ht="38.25" customHeight="1" x14ac:dyDescent="0.3">
      <c r="A133" s="18">
        <v>43844</v>
      </c>
      <c r="B133" s="87">
        <v>0.57468750000000002</v>
      </c>
      <c r="C133" s="83"/>
      <c r="D133" s="83">
        <v>60</v>
      </c>
      <c r="E133" s="32">
        <v>8</v>
      </c>
      <c r="F133" s="72" t="s">
        <v>114</v>
      </c>
      <c r="G133" s="72" t="s">
        <v>2</v>
      </c>
      <c r="H133" s="27"/>
      <c r="I133" s="27"/>
      <c r="J133" s="27"/>
      <c r="K133" s="28">
        <v>2600</v>
      </c>
      <c r="L133" s="62">
        <v>5</v>
      </c>
      <c r="M133" s="62">
        <v>2</v>
      </c>
      <c r="N133" s="64" t="s">
        <v>194</v>
      </c>
      <c r="O133" s="29">
        <v>0</v>
      </c>
      <c r="P133" s="25"/>
      <c r="Q133" s="25"/>
      <c r="R133" s="39">
        <v>-0.8</v>
      </c>
      <c r="S133" s="39">
        <v>1.4</v>
      </c>
      <c r="T133" s="44">
        <v>0.08</v>
      </c>
      <c r="U133" s="65"/>
    </row>
    <row r="134" spans="1:21" ht="38.25" customHeight="1" x14ac:dyDescent="0.3">
      <c r="A134" s="18">
        <v>43844</v>
      </c>
      <c r="B134" s="87">
        <v>0.57593749999999999</v>
      </c>
      <c r="C134" s="83"/>
      <c r="D134" s="83">
        <v>30</v>
      </c>
      <c r="E134" s="32">
        <v>8</v>
      </c>
      <c r="F134" s="72" t="s">
        <v>0</v>
      </c>
      <c r="G134" s="72" t="s">
        <v>128</v>
      </c>
      <c r="H134" s="27"/>
      <c r="I134" s="27"/>
      <c r="J134" s="27"/>
      <c r="K134" s="28">
        <v>2600</v>
      </c>
      <c r="L134" s="82">
        <v>4</v>
      </c>
      <c r="M134" s="62">
        <v>2</v>
      </c>
      <c r="N134" s="64" t="s">
        <v>194</v>
      </c>
      <c r="O134" s="29">
        <v>0</v>
      </c>
      <c r="P134" s="25"/>
      <c r="Q134" s="25"/>
      <c r="R134" s="39"/>
      <c r="S134" s="39"/>
      <c r="T134" s="44"/>
      <c r="U134" s="65"/>
    </row>
    <row r="135" spans="1:21" ht="38.25" customHeight="1" x14ac:dyDescent="0.3">
      <c r="A135" s="18">
        <v>43844</v>
      </c>
      <c r="B135" s="87">
        <v>0.57837962962962963</v>
      </c>
      <c r="C135" s="83"/>
      <c r="D135" s="83">
        <v>60</v>
      </c>
      <c r="E135" s="32">
        <v>8</v>
      </c>
      <c r="F135" s="72" t="s">
        <v>114</v>
      </c>
      <c r="G135" s="72" t="s">
        <v>2</v>
      </c>
      <c r="H135" s="27"/>
      <c r="I135" s="27"/>
      <c r="J135" s="27"/>
      <c r="K135" s="28">
        <v>2600</v>
      </c>
      <c r="L135" s="62">
        <v>4</v>
      </c>
      <c r="M135" s="62">
        <v>2</v>
      </c>
      <c r="N135" s="64" t="s">
        <v>194</v>
      </c>
      <c r="O135" s="29">
        <v>0</v>
      </c>
      <c r="P135" s="25"/>
      <c r="Q135" s="25"/>
      <c r="R135" s="39">
        <v>1.9</v>
      </c>
      <c r="S135" s="39">
        <v>2.5</v>
      </c>
      <c r="T135" s="44">
        <v>3.17</v>
      </c>
      <c r="U135" s="65"/>
    </row>
    <row r="136" spans="1:21" ht="38.25" customHeight="1" x14ac:dyDescent="0.3">
      <c r="A136" s="18">
        <v>43844</v>
      </c>
      <c r="B136" s="87">
        <v>0.57903935185185185</v>
      </c>
      <c r="C136" s="83"/>
      <c r="D136" s="83">
        <v>30</v>
      </c>
      <c r="E136" s="32">
        <v>8</v>
      </c>
      <c r="F136" s="72" t="s">
        <v>0</v>
      </c>
      <c r="G136" s="72" t="s">
        <v>128</v>
      </c>
      <c r="H136" s="27"/>
      <c r="I136" s="27"/>
      <c r="J136" s="27"/>
      <c r="K136" s="28">
        <v>2600</v>
      </c>
      <c r="L136" s="82">
        <v>3</v>
      </c>
      <c r="M136" s="62">
        <v>2</v>
      </c>
      <c r="N136" s="64" t="s">
        <v>194</v>
      </c>
      <c r="O136" s="29">
        <v>0</v>
      </c>
      <c r="P136" s="25"/>
      <c r="Q136" s="25"/>
      <c r="R136" s="39"/>
      <c r="S136" s="39"/>
      <c r="T136" s="44"/>
      <c r="U136" s="65"/>
    </row>
    <row r="137" spans="1:21" ht="38.25" customHeight="1" x14ac:dyDescent="0.3">
      <c r="A137" s="18">
        <v>43844</v>
      </c>
      <c r="B137" s="87">
        <v>0.57944444444444443</v>
      </c>
      <c r="C137" s="83"/>
      <c r="D137" s="83">
        <v>60</v>
      </c>
      <c r="E137" s="32">
        <v>8</v>
      </c>
      <c r="F137" s="72" t="s">
        <v>114</v>
      </c>
      <c r="G137" s="72" t="s">
        <v>2</v>
      </c>
      <c r="H137" s="27"/>
      <c r="I137" s="27"/>
      <c r="J137" s="27"/>
      <c r="K137" s="28">
        <v>2600</v>
      </c>
      <c r="L137" s="62">
        <v>3</v>
      </c>
      <c r="M137" s="62">
        <v>2</v>
      </c>
      <c r="N137" s="64" t="s">
        <v>194</v>
      </c>
      <c r="O137" s="29">
        <v>0</v>
      </c>
      <c r="P137" s="25"/>
      <c r="Q137" s="25"/>
      <c r="R137" s="39">
        <v>4.2</v>
      </c>
      <c r="S137" s="39">
        <v>3.3</v>
      </c>
      <c r="T137" s="44">
        <v>5.46</v>
      </c>
      <c r="U137" s="65"/>
    </row>
    <row r="138" spans="1:21" ht="38.25" customHeight="1" x14ac:dyDescent="0.3">
      <c r="A138" s="18">
        <v>43844</v>
      </c>
      <c r="B138" s="87">
        <v>0.57997685185185188</v>
      </c>
      <c r="C138" s="20"/>
      <c r="D138" s="20">
        <v>30</v>
      </c>
      <c r="E138" s="32">
        <v>8</v>
      </c>
      <c r="F138" s="72" t="s">
        <v>0</v>
      </c>
      <c r="G138" s="72" t="s">
        <v>128</v>
      </c>
      <c r="H138" s="27"/>
      <c r="I138" s="27"/>
      <c r="J138" s="27"/>
      <c r="K138" s="28">
        <v>2600</v>
      </c>
      <c r="L138" s="82">
        <v>2</v>
      </c>
      <c r="M138" s="62">
        <v>2</v>
      </c>
      <c r="N138" s="64" t="s">
        <v>194</v>
      </c>
      <c r="O138" s="29">
        <v>0</v>
      </c>
      <c r="P138" s="25"/>
      <c r="Q138" s="25"/>
      <c r="R138" s="39"/>
      <c r="S138" s="39"/>
      <c r="T138" s="44"/>
      <c r="U138" s="65"/>
    </row>
    <row r="139" spans="1:21" ht="38.25" customHeight="1" x14ac:dyDescent="0.3">
      <c r="A139" s="18">
        <v>43844</v>
      </c>
      <c r="B139" s="86">
        <v>0.58119212962962963</v>
      </c>
      <c r="C139" s="20"/>
      <c r="D139" s="20">
        <v>60</v>
      </c>
      <c r="E139" s="32">
        <v>8</v>
      </c>
      <c r="F139" s="72" t="s">
        <v>114</v>
      </c>
      <c r="G139" s="72" t="s">
        <v>2</v>
      </c>
      <c r="H139" s="27"/>
      <c r="I139" s="27"/>
      <c r="J139" s="27"/>
      <c r="K139" s="28">
        <v>2600</v>
      </c>
      <c r="L139" s="62">
        <v>2</v>
      </c>
      <c r="M139" s="62">
        <v>2</v>
      </c>
      <c r="N139" s="64" t="s">
        <v>194</v>
      </c>
      <c r="O139" s="29">
        <v>0</v>
      </c>
      <c r="P139" s="25"/>
      <c r="Q139" s="25"/>
      <c r="R139" s="39">
        <v>4.3</v>
      </c>
      <c r="S139" s="39">
        <v>3.4</v>
      </c>
      <c r="T139" s="44">
        <v>5.88</v>
      </c>
      <c r="U139" s="65"/>
    </row>
    <row r="140" spans="1:21" ht="38.25" customHeight="1" x14ac:dyDescent="0.3">
      <c r="A140" s="18">
        <v>43844</v>
      </c>
      <c r="B140" s="86">
        <v>0.58155092592592594</v>
      </c>
      <c r="C140" s="20"/>
      <c r="D140" s="20">
        <v>60</v>
      </c>
      <c r="E140" s="32">
        <v>8</v>
      </c>
      <c r="F140" s="72" t="s">
        <v>0</v>
      </c>
      <c r="G140" s="72" t="s">
        <v>128</v>
      </c>
      <c r="H140" s="27"/>
      <c r="I140" s="27"/>
      <c r="J140" s="27"/>
      <c r="K140" s="28">
        <v>2600</v>
      </c>
      <c r="L140" s="82">
        <v>1</v>
      </c>
      <c r="M140" s="62">
        <v>2</v>
      </c>
      <c r="N140" s="64" t="s">
        <v>194</v>
      </c>
      <c r="O140" s="29">
        <v>0</v>
      </c>
      <c r="P140" s="25"/>
      <c r="Q140" s="25"/>
      <c r="R140" s="39"/>
      <c r="S140" s="39"/>
      <c r="T140" s="44"/>
      <c r="U140" s="65"/>
    </row>
    <row r="141" spans="1:21" ht="38.25" customHeight="1" x14ac:dyDescent="0.3">
      <c r="A141" s="18">
        <v>43844</v>
      </c>
      <c r="B141" s="98">
        <v>0.58194444444444449</v>
      </c>
      <c r="C141" s="20"/>
      <c r="D141" s="20">
        <v>60</v>
      </c>
      <c r="E141" s="32">
        <v>8</v>
      </c>
      <c r="F141" s="72" t="s">
        <v>114</v>
      </c>
      <c r="G141" s="72" t="s">
        <v>2</v>
      </c>
      <c r="H141" s="27"/>
      <c r="I141" s="27"/>
      <c r="J141" s="27"/>
      <c r="K141" s="28">
        <v>2600</v>
      </c>
      <c r="L141" s="62">
        <v>1</v>
      </c>
      <c r="M141" s="62">
        <v>2</v>
      </c>
      <c r="N141" s="64" t="s">
        <v>194</v>
      </c>
      <c r="O141" s="29">
        <v>0</v>
      </c>
      <c r="P141" s="25"/>
      <c r="Q141" s="25"/>
      <c r="R141" s="39">
        <v>4</v>
      </c>
      <c r="S141" s="39">
        <v>3.3</v>
      </c>
      <c r="T141" s="44">
        <v>5.83</v>
      </c>
      <c r="U141" s="65"/>
    </row>
    <row r="142" spans="1:21" ht="38.25" customHeight="1" x14ac:dyDescent="0.3">
      <c r="A142" s="18">
        <v>43844</v>
      </c>
      <c r="B142" s="86">
        <v>0.58224537037037039</v>
      </c>
      <c r="C142" s="20"/>
      <c r="D142" s="20" t="s">
        <v>2</v>
      </c>
      <c r="E142" s="30" t="s">
        <v>2</v>
      </c>
      <c r="F142" s="72" t="s">
        <v>7</v>
      </c>
      <c r="G142" s="72" t="s">
        <v>4</v>
      </c>
      <c r="H142" s="27"/>
      <c r="I142" s="27"/>
      <c r="J142" s="27"/>
      <c r="K142" s="28">
        <v>2600</v>
      </c>
      <c r="L142" s="62">
        <v>1</v>
      </c>
      <c r="M142" s="62">
        <v>2</v>
      </c>
      <c r="N142" s="64" t="s">
        <v>194</v>
      </c>
      <c r="O142" s="29">
        <v>0</v>
      </c>
      <c r="P142" s="25"/>
      <c r="Q142" s="25"/>
      <c r="R142" s="39"/>
      <c r="S142" s="39"/>
      <c r="T142" s="44"/>
      <c r="U142" s="65"/>
    </row>
    <row r="143" spans="1:21" ht="38.25" customHeight="1" x14ac:dyDescent="0.3">
      <c r="A143" s="18">
        <v>43844</v>
      </c>
      <c r="B143" s="86">
        <v>0.62392361111111116</v>
      </c>
      <c r="C143" s="20"/>
      <c r="D143" s="20" t="s">
        <v>2</v>
      </c>
      <c r="E143" s="21">
        <v>9</v>
      </c>
      <c r="F143" s="72" t="s">
        <v>14</v>
      </c>
      <c r="G143" s="72" t="s">
        <v>4</v>
      </c>
      <c r="H143" s="27"/>
      <c r="I143" s="27"/>
      <c r="J143" s="27"/>
      <c r="K143" s="28">
        <v>2600</v>
      </c>
      <c r="L143" s="62">
        <v>1</v>
      </c>
      <c r="M143" s="62">
        <v>2</v>
      </c>
      <c r="N143" s="64" t="s">
        <v>194</v>
      </c>
      <c r="O143" s="29">
        <v>0</v>
      </c>
      <c r="P143" s="25"/>
      <c r="Q143" s="25"/>
      <c r="R143" s="39"/>
      <c r="S143" s="39"/>
      <c r="T143" s="44"/>
      <c r="U143" s="65"/>
    </row>
    <row r="144" spans="1:21" ht="38.25" customHeight="1" x14ac:dyDescent="0.3">
      <c r="A144" s="18">
        <v>43844</v>
      </c>
      <c r="B144" s="86">
        <v>0.62418981481481484</v>
      </c>
      <c r="C144" s="20"/>
      <c r="D144" s="20">
        <v>30</v>
      </c>
      <c r="E144" s="21">
        <v>9</v>
      </c>
      <c r="F144" s="72" t="s">
        <v>0</v>
      </c>
      <c r="G144" s="72" t="s">
        <v>4</v>
      </c>
      <c r="H144" s="27"/>
      <c r="I144" s="27"/>
      <c r="J144" s="27"/>
      <c r="K144" s="23">
        <v>2000</v>
      </c>
      <c r="L144" s="62">
        <v>1</v>
      </c>
      <c r="M144" s="62">
        <v>2</v>
      </c>
      <c r="N144" s="64" t="s">
        <v>194</v>
      </c>
      <c r="O144" s="29">
        <v>0</v>
      </c>
      <c r="P144" s="25"/>
      <c r="Q144" s="25"/>
      <c r="R144" s="39"/>
      <c r="S144" s="39"/>
      <c r="T144" s="44"/>
      <c r="U144" s="65"/>
    </row>
    <row r="145" spans="1:21" ht="38.25" customHeight="1" x14ac:dyDescent="0.3">
      <c r="A145" s="18">
        <v>43844</v>
      </c>
      <c r="B145" s="86">
        <v>0.6246990740740741</v>
      </c>
      <c r="C145" s="20"/>
      <c r="D145" s="20">
        <v>60</v>
      </c>
      <c r="E145" s="21">
        <v>9</v>
      </c>
      <c r="F145" s="72" t="s">
        <v>114</v>
      </c>
      <c r="G145" s="72" t="s">
        <v>2</v>
      </c>
      <c r="H145" s="27"/>
      <c r="I145" s="27"/>
      <c r="J145" s="27"/>
      <c r="K145" s="28">
        <v>2000</v>
      </c>
      <c r="L145" s="62">
        <v>1</v>
      </c>
      <c r="M145" s="62">
        <v>2</v>
      </c>
      <c r="N145" s="64" t="s">
        <v>194</v>
      </c>
      <c r="O145" s="29">
        <v>0</v>
      </c>
      <c r="P145" s="25"/>
      <c r="Q145" s="25"/>
      <c r="R145" s="39">
        <v>2.9</v>
      </c>
      <c r="S145" s="39">
        <v>1.6</v>
      </c>
      <c r="T145" s="44">
        <v>4.4000000000000004</v>
      </c>
      <c r="U145" s="65"/>
    </row>
    <row r="146" spans="1:21" ht="38.25" customHeight="1" x14ac:dyDescent="0.3">
      <c r="A146" s="18">
        <v>43844</v>
      </c>
      <c r="B146" s="86">
        <v>0.62545138888888896</v>
      </c>
      <c r="C146" s="20"/>
      <c r="D146" s="20">
        <v>30</v>
      </c>
      <c r="E146" s="21">
        <v>9</v>
      </c>
      <c r="F146" s="72" t="s">
        <v>0</v>
      </c>
      <c r="G146" s="72" t="s">
        <v>128</v>
      </c>
      <c r="H146" s="27"/>
      <c r="I146" s="27"/>
      <c r="J146" s="27"/>
      <c r="K146" s="28">
        <v>2000</v>
      </c>
      <c r="L146" s="82">
        <v>2</v>
      </c>
      <c r="M146" s="62">
        <v>2</v>
      </c>
      <c r="N146" s="64" t="s">
        <v>194</v>
      </c>
      <c r="O146" s="29">
        <v>0</v>
      </c>
      <c r="P146" s="25"/>
      <c r="Q146" s="25"/>
      <c r="R146" s="39"/>
      <c r="S146" s="39"/>
      <c r="T146" s="44"/>
      <c r="U146" s="65"/>
    </row>
    <row r="147" spans="1:21" ht="38.25" customHeight="1" x14ac:dyDescent="0.3">
      <c r="A147" s="18">
        <v>43844</v>
      </c>
      <c r="B147" s="86">
        <v>0.62591435185185185</v>
      </c>
      <c r="C147" s="20"/>
      <c r="D147" s="20">
        <v>60</v>
      </c>
      <c r="E147" s="21">
        <v>9</v>
      </c>
      <c r="F147" s="72" t="s">
        <v>114</v>
      </c>
      <c r="G147" s="72" t="s">
        <v>2</v>
      </c>
      <c r="H147" s="27"/>
      <c r="I147" s="27"/>
      <c r="J147" s="27"/>
      <c r="K147" s="28">
        <v>2000</v>
      </c>
      <c r="L147" s="62">
        <v>2</v>
      </c>
      <c r="M147" s="62">
        <v>2</v>
      </c>
      <c r="N147" s="64" t="s">
        <v>194</v>
      </c>
      <c r="O147" s="29">
        <v>0</v>
      </c>
      <c r="P147" s="25"/>
      <c r="Q147" s="25"/>
      <c r="R147" s="39">
        <v>2.9</v>
      </c>
      <c r="S147" s="39">
        <v>1.6</v>
      </c>
      <c r="T147" s="44">
        <v>4.41</v>
      </c>
      <c r="U147" s="65"/>
    </row>
    <row r="148" spans="1:21" ht="38.25" customHeight="1" x14ac:dyDescent="0.3">
      <c r="A148" s="18">
        <v>43844</v>
      </c>
      <c r="B148" s="86">
        <v>0.62666666666666659</v>
      </c>
      <c r="C148" s="20"/>
      <c r="D148" s="20">
        <v>30</v>
      </c>
      <c r="E148" s="21">
        <v>9</v>
      </c>
      <c r="F148" s="72" t="s">
        <v>0</v>
      </c>
      <c r="G148" s="72" t="s">
        <v>128</v>
      </c>
      <c r="H148" s="27"/>
      <c r="I148" s="27"/>
      <c r="J148" s="27"/>
      <c r="K148" s="28">
        <v>2000</v>
      </c>
      <c r="L148" s="82">
        <v>3</v>
      </c>
      <c r="M148" s="62">
        <v>2</v>
      </c>
      <c r="N148" s="64" t="s">
        <v>194</v>
      </c>
      <c r="O148" s="29">
        <v>0</v>
      </c>
      <c r="P148" s="25"/>
      <c r="Q148" s="25"/>
      <c r="R148" s="39"/>
      <c r="S148" s="39"/>
      <c r="T148" s="44"/>
      <c r="U148" s="65"/>
    </row>
    <row r="149" spans="1:21" ht="38.25" customHeight="1" x14ac:dyDescent="0.3">
      <c r="A149" s="18">
        <v>43844</v>
      </c>
      <c r="B149" s="86">
        <v>0.62706018518518525</v>
      </c>
      <c r="C149" s="20"/>
      <c r="D149" s="20">
        <v>60</v>
      </c>
      <c r="E149" s="21">
        <v>9</v>
      </c>
      <c r="F149" s="72" t="s">
        <v>114</v>
      </c>
      <c r="G149" s="72" t="s">
        <v>2</v>
      </c>
      <c r="H149" s="27"/>
      <c r="I149" s="27"/>
      <c r="J149" s="27"/>
      <c r="K149" s="28">
        <v>2000</v>
      </c>
      <c r="L149" s="62">
        <v>3</v>
      </c>
      <c r="M149" s="62">
        <v>2</v>
      </c>
      <c r="N149" s="64" t="s">
        <v>194</v>
      </c>
      <c r="O149" s="29">
        <v>0</v>
      </c>
      <c r="P149" s="25"/>
      <c r="Q149" s="25"/>
      <c r="R149" s="39">
        <v>2.8</v>
      </c>
      <c r="S149" s="39">
        <v>1.6</v>
      </c>
      <c r="T149" s="44">
        <v>4.0999999999999996</v>
      </c>
      <c r="U149" s="65"/>
    </row>
    <row r="150" spans="1:21" ht="38.25" customHeight="1" x14ac:dyDescent="0.3">
      <c r="A150" s="18">
        <v>43844</v>
      </c>
      <c r="B150" s="86">
        <v>0.62780092592592596</v>
      </c>
      <c r="C150" s="20"/>
      <c r="D150" s="20">
        <v>30</v>
      </c>
      <c r="E150" s="21">
        <v>9</v>
      </c>
      <c r="F150" s="72" t="s">
        <v>0</v>
      </c>
      <c r="G150" s="72" t="s">
        <v>128</v>
      </c>
      <c r="H150" s="27"/>
      <c r="I150" s="27"/>
      <c r="J150" s="27"/>
      <c r="K150" s="28">
        <v>2000</v>
      </c>
      <c r="L150" s="82">
        <v>4</v>
      </c>
      <c r="M150" s="62">
        <v>2</v>
      </c>
      <c r="N150" s="64" t="s">
        <v>194</v>
      </c>
      <c r="O150" s="29">
        <v>0</v>
      </c>
      <c r="P150" s="25"/>
      <c r="Q150" s="25"/>
      <c r="R150" s="39"/>
      <c r="S150" s="39"/>
      <c r="T150" s="44"/>
      <c r="U150" s="65"/>
    </row>
    <row r="151" spans="1:21" ht="38.25" customHeight="1" x14ac:dyDescent="0.3">
      <c r="A151" s="18">
        <v>43844</v>
      </c>
      <c r="B151" s="86">
        <v>0.62819444444444439</v>
      </c>
      <c r="C151" s="20"/>
      <c r="D151" s="20">
        <v>60</v>
      </c>
      <c r="E151" s="21">
        <v>9</v>
      </c>
      <c r="F151" s="72" t="s">
        <v>114</v>
      </c>
      <c r="G151" s="72" t="s">
        <v>2</v>
      </c>
      <c r="H151" s="27"/>
      <c r="I151" s="27"/>
      <c r="J151" s="27"/>
      <c r="K151" s="28">
        <v>2000</v>
      </c>
      <c r="L151" s="62">
        <v>4</v>
      </c>
      <c r="M151" s="62">
        <v>2</v>
      </c>
      <c r="N151" s="64" t="s">
        <v>194</v>
      </c>
      <c r="O151" s="29">
        <v>0</v>
      </c>
      <c r="P151" s="25"/>
      <c r="Q151" s="25"/>
      <c r="R151" s="39">
        <v>1.4</v>
      </c>
      <c r="S151" s="39">
        <v>1.3</v>
      </c>
      <c r="T151" s="44">
        <v>2.54</v>
      </c>
      <c r="U151" s="65"/>
    </row>
    <row r="152" spans="1:21" ht="38.25" customHeight="1" x14ac:dyDescent="0.3">
      <c r="A152" s="18">
        <v>43844</v>
      </c>
      <c r="B152" s="86">
        <v>0.62892361111111106</v>
      </c>
      <c r="C152" s="20"/>
      <c r="D152" s="20">
        <v>30</v>
      </c>
      <c r="E152" s="21">
        <v>9</v>
      </c>
      <c r="F152" s="72" t="s">
        <v>0</v>
      </c>
      <c r="G152" s="72" t="s">
        <v>128</v>
      </c>
      <c r="H152" s="27"/>
      <c r="I152" s="27"/>
      <c r="J152" s="27"/>
      <c r="K152" s="28">
        <v>2000</v>
      </c>
      <c r="L152" s="82">
        <v>5</v>
      </c>
      <c r="M152" s="62">
        <v>2</v>
      </c>
      <c r="N152" s="64" t="s">
        <v>194</v>
      </c>
      <c r="O152" s="29">
        <v>0</v>
      </c>
      <c r="P152" s="25"/>
      <c r="Q152" s="25"/>
      <c r="R152" s="39"/>
      <c r="S152" s="39"/>
      <c r="T152" s="44"/>
      <c r="U152" s="65"/>
    </row>
    <row r="153" spans="1:21" ht="38.25" customHeight="1" x14ac:dyDescent="0.3">
      <c r="A153" s="18">
        <v>43844</v>
      </c>
      <c r="B153" s="86">
        <v>0.62928240740740737</v>
      </c>
      <c r="C153" s="20"/>
      <c r="D153" s="20">
        <v>60</v>
      </c>
      <c r="E153" s="21">
        <v>9</v>
      </c>
      <c r="F153" s="72" t="s">
        <v>114</v>
      </c>
      <c r="G153" s="72" t="s">
        <v>2</v>
      </c>
      <c r="H153" s="27"/>
      <c r="I153" s="27"/>
      <c r="J153" s="27"/>
      <c r="K153" s="28">
        <v>2000</v>
      </c>
      <c r="L153" s="62">
        <v>5</v>
      </c>
      <c r="M153" s="62">
        <v>2</v>
      </c>
      <c r="N153" s="64" t="s">
        <v>194</v>
      </c>
      <c r="O153" s="29">
        <v>0</v>
      </c>
      <c r="P153" s="25"/>
      <c r="Q153" s="25"/>
      <c r="R153" s="39">
        <v>-0.9</v>
      </c>
      <c r="S153" s="39">
        <v>0.8</v>
      </c>
      <c r="T153" s="44">
        <v>0.03</v>
      </c>
      <c r="U153" s="65"/>
    </row>
    <row r="154" spans="1:21" ht="38.25" customHeight="1" x14ac:dyDescent="0.3">
      <c r="A154" s="18">
        <v>43844</v>
      </c>
      <c r="B154" s="87">
        <v>0.6300810185185185</v>
      </c>
      <c r="C154" s="83"/>
      <c r="D154" s="83">
        <v>30</v>
      </c>
      <c r="E154" s="21">
        <v>9</v>
      </c>
      <c r="F154" s="72" t="s">
        <v>0</v>
      </c>
      <c r="G154" s="72" t="s">
        <v>128</v>
      </c>
      <c r="H154" s="27"/>
      <c r="I154" s="27"/>
      <c r="J154" s="27"/>
      <c r="K154" s="28">
        <v>2000</v>
      </c>
      <c r="L154" s="82">
        <v>1</v>
      </c>
      <c r="M154" s="62">
        <v>2</v>
      </c>
      <c r="N154" s="64" t="s">
        <v>194</v>
      </c>
      <c r="O154" s="29">
        <v>0</v>
      </c>
      <c r="P154" s="25"/>
      <c r="Q154" s="25"/>
      <c r="R154" s="39"/>
      <c r="S154" s="39"/>
      <c r="T154" s="44"/>
      <c r="U154" s="65"/>
    </row>
    <row r="155" spans="1:21" ht="38.25" customHeight="1" x14ac:dyDescent="0.3">
      <c r="A155" s="18">
        <v>43844</v>
      </c>
      <c r="B155" s="87">
        <v>0.63042824074074078</v>
      </c>
      <c r="C155" s="83"/>
      <c r="D155" s="83">
        <v>60</v>
      </c>
      <c r="E155" s="21">
        <v>9</v>
      </c>
      <c r="F155" s="72" t="s">
        <v>136</v>
      </c>
      <c r="G155" s="72" t="s">
        <v>2</v>
      </c>
      <c r="H155" s="27"/>
      <c r="I155" s="27"/>
      <c r="J155" s="27"/>
      <c r="K155" s="28">
        <v>2000</v>
      </c>
      <c r="L155" s="62">
        <v>1</v>
      </c>
      <c r="M155" s="62">
        <v>2</v>
      </c>
      <c r="N155" s="64" t="s">
        <v>194</v>
      </c>
      <c r="O155" s="29">
        <v>0</v>
      </c>
      <c r="P155" s="25"/>
      <c r="Q155" s="25"/>
      <c r="R155" s="39">
        <v>3</v>
      </c>
      <c r="S155" s="39">
        <v>1.6</v>
      </c>
      <c r="T155" s="44">
        <v>4.3899999999999997</v>
      </c>
      <c r="U155" s="65"/>
    </row>
    <row r="156" spans="1:21" ht="38.25" customHeight="1" x14ac:dyDescent="0.3">
      <c r="A156" s="18">
        <v>43844</v>
      </c>
      <c r="B156" s="86">
        <v>0.63118055555555552</v>
      </c>
      <c r="C156" s="20"/>
      <c r="D156" s="20">
        <v>30</v>
      </c>
      <c r="E156" s="32">
        <v>10</v>
      </c>
      <c r="F156" s="72" t="s">
        <v>0</v>
      </c>
      <c r="G156" s="72" t="s">
        <v>4</v>
      </c>
      <c r="H156" s="27"/>
      <c r="I156" s="27"/>
      <c r="J156" s="27"/>
      <c r="K156" s="23">
        <v>2300</v>
      </c>
      <c r="L156" s="62">
        <v>1</v>
      </c>
      <c r="M156" s="62">
        <v>2</v>
      </c>
      <c r="N156" s="64" t="s">
        <v>194</v>
      </c>
      <c r="O156" s="29">
        <v>0</v>
      </c>
      <c r="P156" s="25"/>
      <c r="Q156" s="25"/>
      <c r="R156" s="39"/>
      <c r="S156" s="39"/>
      <c r="T156" s="44"/>
      <c r="U156" s="65"/>
    </row>
    <row r="157" spans="1:21" ht="38.25" customHeight="1" x14ac:dyDescent="0.3">
      <c r="A157" s="18">
        <v>43844</v>
      </c>
      <c r="B157" s="86">
        <v>0.63149305555555557</v>
      </c>
      <c r="C157" s="20"/>
      <c r="D157" s="20">
        <v>60</v>
      </c>
      <c r="E157" s="32">
        <v>10</v>
      </c>
      <c r="F157" s="72" t="s">
        <v>114</v>
      </c>
      <c r="G157" s="72" t="s">
        <v>2</v>
      </c>
      <c r="H157" s="27"/>
      <c r="I157" s="27"/>
      <c r="J157" s="27"/>
      <c r="K157" s="28">
        <v>2300</v>
      </c>
      <c r="L157" s="62">
        <v>1</v>
      </c>
      <c r="M157" s="62">
        <v>2</v>
      </c>
      <c r="N157" s="64" t="s">
        <v>194</v>
      </c>
      <c r="O157" s="29">
        <v>0</v>
      </c>
      <c r="P157" s="25"/>
      <c r="Q157" s="25"/>
      <c r="R157" s="39">
        <v>3.4</v>
      </c>
      <c r="S157" s="39">
        <v>2.2999999999999998</v>
      </c>
      <c r="T157" s="44">
        <v>5.0999999999999996</v>
      </c>
      <c r="U157" s="65"/>
    </row>
    <row r="158" spans="1:21" ht="38.25" customHeight="1" x14ac:dyDescent="0.3">
      <c r="A158" s="18">
        <v>43844</v>
      </c>
      <c r="B158" s="86">
        <v>0.63222222222222224</v>
      </c>
      <c r="C158" s="20"/>
      <c r="D158" s="20">
        <v>30</v>
      </c>
      <c r="E158" s="32">
        <v>10</v>
      </c>
      <c r="F158" s="72" t="s">
        <v>0</v>
      </c>
      <c r="G158" s="72" t="s">
        <v>128</v>
      </c>
      <c r="H158" s="27"/>
      <c r="I158" s="27"/>
      <c r="J158" s="27"/>
      <c r="K158" s="28">
        <v>2300</v>
      </c>
      <c r="L158" s="82">
        <v>2</v>
      </c>
      <c r="M158" s="62">
        <v>2</v>
      </c>
      <c r="N158" s="64" t="s">
        <v>194</v>
      </c>
      <c r="O158" s="29">
        <v>0</v>
      </c>
      <c r="P158" s="25"/>
      <c r="Q158" s="25"/>
      <c r="R158" s="39"/>
      <c r="S158" s="39"/>
      <c r="T158" s="44"/>
      <c r="U158" s="65"/>
    </row>
    <row r="159" spans="1:21" ht="38.25" customHeight="1" x14ac:dyDescent="0.3">
      <c r="A159" s="18">
        <v>43844</v>
      </c>
      <c r="B159" s="86">
        <v>0.63258101851851845</v>
      </c>
      <c r="C159" s="20"/>
      <c r="D159" s="20">
        <v>60</v>
      </c>
      <c r="E159" s="32">
        <v>10</v>
      </c>
      <c r="F159" s="72" t="s">
        <v>114</v>
      </c>
      <c r="G159" s="72" t="s">
        <v>2</v>
      </c>
      <c r="H159" s="27"/>
      <c r="I159" s="27"/>
      <c r="J159" s="27"/>
      <c r="K159" s="28">
        <v>2300</v>
      </c>
      <c r="L159" s="62">
        <v>2</v>
      </c>
      <c r="M159" s="62">
        <v>2</v>
      </c>
      <c r="N159" s="64" t="s">
        <v>194</v>
      </c>
      <c r="O159" s="29">
        <v>0</v>
      </c>
      <c r="P159" s="25"/>
      <c r="Q159" s="25"/>
      <c r="R159" s="39">
        <v>3.6</v>
      </c>
      <c r="S159" s="39">
        <v>2.4</v>
      </c>
      <c r="T159" s="44">
        <v>5.13</v>
      </c>
      <c r="U159" s="65"/>
    </row>
    <row r="160" spans="1:21" ht="38.25" customHeight="1" x14ac:dyDescent="0.3">
      <c r="A160" s="18">
        <v>43844</v>
      </c>
      <c r="B160" s="86">
        <v>0.63341435185185191</v>
      </c>
      <c r="C160" s="20"/>
      <c r="D160" s="20">
        <v>30</v>
      </c>
      <c r="E160" s="32">
        <v>10</v>
      </c>
      <c r="F160" s="72" t="s">
        <v>0</v>
      </c>
      <c r="G160" s="72" t="s">
        <v>128</v>
      </c>
      <c r="H160" s="27"/>
      <c r="I160" s="27"/>
      <c r="J160" s="27"/>
      <c r="K160" s="28">
        <v>2300</v>
      </c>
      <c r="L160" s="82">
        <v>3</v>
      </c>
      <c r="M160" s="62">
        <v>2</v>
      </c>
      <c r="N160" s="64" t="s">
        <v>194</v>
      </c>
      <c r="O160" s="29">
        <v>0</v>
      </c>
      <c r="P160" s="25"/>
      <c r="Q160" s="25"/>
      <c r="R160" s="39"/>
      <c r="S160" s="39"/>
      <c r="T160" s="44"/>
      <c r="U160" s="65"/>
    </row>
    <row r="161" spans="1:21" ht="38.25" customHeight="1" x14ac:dyDescent="0.3">
      <c r="A161" s="18">
        <v>43844</v>
      </c>
      <c r="B161" s="86">
        <v>0.63377314814814811</v>
      </c>
      <c r="C161" s="20"/>
      <c r="D161" s="20">
        <v>60</v>
      </c>
      <c r="E161" s="32">
        <v>10</v>
      </c>
      <c r="F161" s="72" t="s">
        <v>114</v>
      </c>
      <c r="G161" s="72" t="s">
        <v>2</v>
      </c>
      <c r="H161" s="27"/>
      <c r="I161" s="27"/>
      <c r="J161" s="27"/>
      <c r="K161" s="28">
        <v>2300</v>
      </c>
      <c r="L161" s="62">
        <v>3</v>
      </c>
      <c r="M161" s="62">
        <v>2</v>
      </c>
      <c r="N161" s="64" t="s">
        <v>194</v>
      </c>
      <c r="O161" s="29">
        <v>0</v>
      </c>
      <c r="P161" s="25"/>
      <c r="Q161" s="25"/>
      <c r="R161" s="39">
        <v>3.4</v>
      </c>
      <c r="S161" s="39">
        <v>2.2999999999999998</v>
      </c>
      <c r="T161" s="44">
        <v>4.84</v>
      </c>
      <c r="U161" s="65"/>
    </row>
    <row r="162" spans="1:21" ht="38.25" customHeight="1" x14ac:dyDescent="0.3">
      <c r="A162" s="18">
        <v>43844</v>
      </c>
      <c r="B162" s="86">
        <v>0.63462962962962965</v>
      </c>
      <c r="C162" s="20"/>
      <c r="D162" s="20">
        <v>30</v>
      </c>
      <c r="E162" s="32">
        <v>10</v>
      </c>
      <c r="F162" s="72" t="s">
        <v>0</v>
      </c>
      <c r="G162" s="72" t="s">
        <v>128</v>
      </c>
      <c r="H162" s="27"/>
      <c r="I162" s="27"/>
      <c r="J162" s="27"/>
      <c r="K162" s="28">
        <v>2300</v>
      </c>
      <c r="L162" s="82">
        <v>4</v>
      </c>
      <c r="M162" s="62">
        <v>2</v>
      </c>
      <c r="N162" s="64" t="s">
        <v>194</v>
      </c>
      <c r="O162" s="29">
        <v>0</v>
      </c>
      <c r="P162" s="25"/>
      <c r="Q162" s="25"/>
      <c r="R162" s="39"/>
      <c r="S162" s="39"/>
      <c r="T162" s="44"/>
      <c r="U162" s="65"/>
    </row>
    <row r="163" spans="1:21" ht="38.25" customHeight="1" x14ac:dyDescent="0.3">
      <c r="A163" s="18">
        <v>43844</v>
      </c>
      <c r="B163" s="86">
        <v>0.63503472222222224</v>
      </c>
      <c r="C163" s="20"/>
      <c r="D163" s="20">
        <v>60</v>
      </c>
      <c r="E163" s="32">
        <v>10</v>
      </c>
      <c r="F163" s="72" t="s">
        <v>114</v>
      </c>
      <c r="G163" s="72" t="s">
        <v>2</v>
      </c>
      <c r="H163" s="27"/>
      <c r="I163" s="27"/>
      <c r="J163" s="27"/>
      <c r="K163" s="28">
        <v>2300</v>
      </c>
      <c r="L163" s="62">
        <v>4</v>
      </c>
      <c r="M163" s="62">
        <v>2</v>
      </c>
      <c r="N163" s="64" t="s">
        <v>194</v>
      </c>
      <c r="O163" s="29">
        <v>0</v>
      </c>
      <c r="P163" s="25"/>
      <c r="Q163" s="25"/>
      <c r="R163" s="39">
        <v>1.4</v>
      </c>
      <c r="S163" s="39">
        <v>1.7</v>
      </c>
      <c r="T163" s="44">
        <v>2.57</v>
      </c>
      <c r="U163" s="65"/>
    </row>
    <row r="164" spans="1:21" ht="38.25" customHeight="1" x14ac:dyDescent="0.3">
      <c r="A164" s="18">
        <v>43844</v>
      </c>
      <c r="B164" s="86">
        <v>0.63619212962962968</v>
      </c>
      <c r="C164" s="20"/>
      <c r="D164" s="20">
        <v>30</v>
      </c>
      <c r="E164" s="32">
        <v>10</v>
      </c>
      <c r="F164" s="72" t="s">
        <v>0</v>
      </c>
      <c r="G164" s="72" t="s">
        <v>128</v>
      </c>
      <c r="H164" s="27"/>
      <c r="I164" s="27"/>
      <c r="J164" s="27"/>
      <c r="K164" s="28">
        <v>2300</v>
      </c>
      <c r="L164" s="82">
        <v>5</v>
      </c>
      <c r="M164" s="62">
        <v>2</v>
      </c>
      <c r="N164" s="64" t="s">
        <v>194</v>
      </c>
      <c r="O164" s="29">
        <v>0</v>
      </c>
      <c r="P164" s="25"/>
      <c r="Q164" s="25"/>
      <c r="R164" s="39"/>
      <c r="S164" s="39"/>
      <c r="T164" s="44"/>
      <c r="U164" s="65"/>
    </row>
    <row r="165" spans="1:21" ht="38.25" customHeight="1" x14ac:dyDescent="0.3">
      <c r="A165" s="18">
        <v>43844</v>
      </c>
      <c r="B165" s="86">
        <v>0.63686342592592593</v>
      </c>
      <c r="C165" s="20"/>
      <c r="D165" s="20">
        <v>30</v>
      </c>
      <c r="E165" s="32">
        <v>10</v>
      </c>
      <c r="F165" s="72" t="s">
        <v>114</v>
      </c>
      <c r="G165" s="72" t="s">
        <v>2</v>
      </c>
      <c r="H165" s="27"/>
      <c r="I165" s="27"/>
      <c r="J165" s="27"/>
      <c r="K165" s="28">
        <v>2300</v>
      </c>
      <c r="L165" s="62">
        <v>5</v>
      </c>
      <c r="M165" s="62">
        <v>2</v>
      </c>
      <c r="N165" s="64" t="s">
        <v>194</v>
      </c>
      <c r="O165" s="29">
        <v>0</v>
      </c>
      <c r="P165" s="25"/>
      <c r="Q165" s="25"/>
      <c r="R165" s="39">
        <v>-1.2</v>
      </c>
      <c r="S165" s="39">
        <v>1</v>
      </c>
      <c r="T165" s="44">
        <v>0.03</v>
      </c>
      <c r="U165" s="65"/>
    </row>
    <row r="166" spans="1:21" ht="38.25" customHeight="1" x14ac:dyDescent="0.3">
      <c r="A166" s="18">
        <v>43844</v>
      </c>
      <c r="B166" s="87">
        <v>0.6370717592592593</v>
      </c>
      <c r="C166" s="83"/>
      <c r="D166" s="83">
        <v>30</v>
      </c>
      <c r="E166" s="32">
        <v>10</v>
      </c>
      <c r="F166" s="72" t="s">
        <v>53</v>
      </c>
      <c r="G166" s="72" t="s">
        <v>128</v>
      </c>
      <c r="H166" s="27"/>
      <c r="I166" s="27"/>
      <c r="J166" s="27"/>
      <c r="K166" s="28">
        <v>2300</v>
      </c>
      <c r="L166" s="82">
        <v>1</v>
      </c>
      <c r="M166" s="62">
        <v>2</v>
      </c>
      <c r="N166" s="64" t="s">
        <v>194</v>
      </c>
      <c r="O166" s="29">
        <v>0</v>
      </c>
      <c r="P166" s="25"/>
      <c r="Q166" s="25"/>
      <c r="R166" s="39"/>
      <c r="S166" s="39"/>
      <c r="T166" s="44"/>
      <c r="U166" s="65"/>
    </row>
    <row r="167" spans="1:21" ht="38.25" customHeight="1" x14ac:dyDescent="0.3">
      <c r="A167" s="18">
        <v>43844</v>
      </c>
      <c r="B167" s="87">
        <v>0.63780092592592597</v>
      </c>
      <c r="C167" s="83"/>
      <c r="D167" s="83">
        <v>60</v>
      </c>
      <c r="E167" s="32">
        <v>10</v>
      </c>
      <c r="F167" s="72" t="s">
        <v>136</v>
      </c>
      <c r="G167" s="72" t="s">
        <v>2</v>
      </c>
      <c r="H167" s="27"/>
      <c r="I167" s="27"/>
      <c r="J167" s="27"/>
      <c r="K167" s="28">
        <v>2300</v>
      </c>
      <c r="L167" s="62">
        <v>1</v>
      </c>
      <c r="M167" s="62">
        <v>2</v>
      </c>
      <c r="N167" s="64" t="s">
        <v>194</v>
      </c>
      <c r="O167" s="29">
        <v>0</v>
      </c>
      <c r="P167" s="25"/>
      <c r="Q167" s="25"/>
      <c r="R167" s="39">
        <v>3.4</v>
      </c>
      <c r="S167" s="39">
        <v>2.2999999999999998</v>
      </c>
      <c r="T167" s="44">
        <v>5.0999999999999996</v>
      </c>
      <c r="U167" s="65"/>
    </row>
    <row r="168" spans="1:21" ht="38.25" customHeight="1" x14ac:dyDescent="0.3">
      <c r="A168" s="18">
        <v>43844</v>
      </c>
      <c r="B168" s="86">
        <v>0.63877314814814812</v>
      </c>
      <c r="C168" s="20"/>
      <c r="D168" s="20">
        <v>30</v>
      </c>
      <c r="E168" s="21">
        <v>11</v>
      </c>
      <c r="F168" s="72" t="s">
        <v>0</v>
      </c>
      <c r="G168" s="72" t="s">
        <v>4</v>
      </c>
      <c r="H168" s="27"/>
      <c r="I168" s="27"/>
      <c r="J168" s="27"/>
      <c r="K168" s="23">
        <v>2900</v>
      </c>
      <c r="L168" s="62">
        <v>1</v>
      </c>
      <c r="M168" s="62">
        <v>2</v>
      </c>
      <c r="N168" s="64" t="s">
        <v>194</v>
      </c>
      <c r="O168" s="29">
        <v>0</v>
      </c>
      <c r="P168" s="25"/>
      <c r="Q168" s="25"/>
      <c r="R168" s="39"/>
      <c r="S168" s="39"/>
      <c r="T168" s="44"/>
      <c r="U168" s="65"/>
    </row>
    <row r="169" spans="1:21" ht="38.25" customHeight="1" x14ac:dyDescent="0.3">
      <c r="A169" s="18">
        <v>43844</v>
      </c>
      <c r="B169" s="86">
        <v>0.63915509259259262</v>
      </c>
      <c r="C169" s="20"/>
      <c r="D169" s="20">
        <v>60</v>
      </c>
      <c r="E169" s="21">
        <v>11</v>
      </c>
      <c r="F169" s="72" t="s">
        <v>114</v>
      </c>
      <c r="G169" s="72" t="s">
        <v>2</v>
      </c>
      <c r="H169" s="27"/>
      <c r="I169" s="27"/>
      <c r="J169" s="27"/>
      <c r="K169" s="28">
        <v>2900</v>
      </c>
      <c r="L169" s="62">
        <v>1</v>
      </c>
      <c r="M169" s="62">
        <v>2</v>
      </c>
      <c r="N169" s="64" t="s">
        <v>194</v>
      </c>
      <c r="O169" s="29">
        <v>0</v>
      </c>
      <c r="P169" s="25"/>
      <c r="Q169" s="25"/>
      <c r="R169" s="39">
        <v>4.8</v>
      </c>
      <c r="S169" s="39">
        <v>4.5</v>
      </c>
      <c r="T169" s="44">
        <v>6.55</v>
      </c>
      <c r="U169" s="65"/>
    </row>
    <row r="170" spans="1:21" ht="38.25" customHeight="1" x14ac:dyDescent="0.3">
      <c r="A170" s="18">
        <v>43844</v>
      </c>
      <c r="B170" s="86">
        <v>0.63997685185185182</v>
      </c>
      <c r="C170" s="20"/>
      <c r="D170" s="20">
        <v>30</v>
      </c>
      <c r="E170" s="21">
        <v>11</v>
      </c>
      <c r="F170" s="72" t="s">
        <v>0</v>
      </c>
      <c r="G170" s="72" t="s">
        <v>128</v>
      </c>
      <c r="H170" s="27"/>
      <c r="I170" s="27"/>
      <c r="J170" s="27"/>
      <c r="K170" s="28">
        <v>2900</v>
      </c>
      <c r="L170" s="82">
        <v>2</v>
      </c>
      <c r="M170" s="62">
        <v>2</v>
      </c>
      <c r="N170" s="64" t="s">
        <v>194</v>
      </c>
      <c r="O170" s="29">
        <v>0</v>
      </c>
      <c r="P170" s="25"/>
      <c r="Q170" s="25"/>
      <c r="R170" s="39"/>
      <c r="S170" s="39"/>
      <c r="T170" s="44"/>
      <c r="U170" s="65"/>
    </row>
    <row r="171" spans="1:21" ht="38.25" customHeight="1" x14ac:dyDescent="0.3">
      <c r="A171" s="18">
        <v>43844</v>
      </c>
      <c r="B171" s="86">
        <v>0.64027777777777783</v>
      </c>
      <c r="C171" s="20"/>
      <c r="D171" s="20">
        <v>60</v>
      </c>
      <c r="E171" s="21">
        <v>11</v>
      </c>
      <c r="F171" s="72" t="s">
        <v>114</v>
      </c>
      <c r="G171" s="72" t="s">
        <v>2</v>
      </c>
      <c r="H171" s="27"/>
      <c r="I171" s="27"/>
      <c r="J171" s="27"/>
      <c r="K171" s="28">
        <v>2900</v>
      </c>
      <c r="L171" s="62">
        <v>2</v>
      </c>
      <c r="M171" s="62">
        <v>2</v>
      </c>
      <c r="N171" s="64" t="s">
        <v>194</v>
      </c>
      <c r="O171" s="29">
        <v>0</v>
      </c>
      <c r="P171" s="25"/>
      <c r="Q171" s="25"/>
      <c r="R171" s="39">
        <v>5.0999999999999996</v>
      </c>
      <c r="S171" s="39">
        <v>4.7</v>
      </c>
      <c r="T171" s="44">
        <v>6.59</v>
      </c>
      <c r="U171" s="65"/>
    </row>
    <row r="172" spans="1:21" ht="38.25" customHeight="1" x14ac:dyDescent="0.3">
      <c r="A172" s="18">
        <v>43844</v>
      </c>
      <c r="B172" s="86">
        <v>0.64116898148148149</v>
      </c>
      <c r="C172" s="20"/>
      <c r="D172" s="20">
        <v>30</v>
      </c>
      <c r="E172" s="21">
        <v>11</v>
      </c>
      <c r="F172" s="72" t="s">
        <v>0</v>
      </c>
      <c r="G172" s="72" t="s">
        <v>128</v>
      </c>
      <c r="H172" s="27"/>
      <c r="I172" s="27"/>
      <c r="J172" s="27"/>
      <c r="K172" s="28">
        <v>2900</v>
      </c>
      <c r="L172" s="82">
        <v>3</v>
      </c>
      <c r="M172" s="62">
        <v>2</v>
      </c>
      <c r="N172" s="64" t="s">
        <v>194</v>
      </c>
      <c r="O172" s="29">
        <v>0</v>
      </c>
      <c r="P172" s="25"/>
      <c r="Q172" s="25"/>
      <c r="R172" s="39"/>
      <c r="S172" s="39"/>
      <c r="T172" s="44"/>
      <c r="U172" s="65"/>
    </row>
    <row r="173" spans="1:21" ht="38.25" customHeight="1" x14ac:dyDescent="0.3">
      <c r="A173" s="18">
        <v>43844</v>
      </c>
      <c r="B173" s="86">
        <v>0.64150462962962962</v>
      </c>
      <c r="C173" s="20"/>
      <c r="D173" s="20">
        <v>60</v>
      </c>
      <c r="E173" s="21">
        <v>11</v>
      </c>
      <c r="F173" s="72" t="s">
        <v>114</v>
      </c>
      <c r="G173" s="72" t="s">
        <v>2</v>
      </c>
      <c r="H173" s="27"/>
      <c r="I173" s="27"/>
      <c r="J173" s="27"/>
      <c r="K173" s="28">
        <v>2900</v>
      </c>
      <c r="L173" s="62">
        <v>3</v>
      </c>
      <c r="M173" s="62">
        <v>2</v>
      </c>
      <c r="N173" s="64" t="s">
        <v>194</v>
      </c>
      <c r="O173" s="29">
        <v>0</v>
      </c>
      <c r="P173" s="25"/>
      <c r="Q173" s="25"/>
      <c r="R173" s="39">
        <v>5.5</v>
      </c>
      <c r="S173" s="39">
        <v>4.8</v>
      </c>
      <c r="T173" s="44">
        <v>6.57</v>
      </c>
      <c r="U173" s="65"/>
    </row>
    <row r="174" spans="1:21" ht="38.25" customHeight="1" x14ac:dyDescent="0.3">
      <c r="A174" s="18">
        <v>43844</v>
      </c>
      <c r="B174" s="86">
        <v>0.64223379629629629</v>
      </c>
      <c r="C174" s="20"/>
      <c r="D174" s="20">
        <v>30</v>
      </c>
      <c r="E174" s="21">
        <v>11</v>
      </c>
      <c r="F174" s="72" t="s">
        <v>0</v>
      </c>
      <c r="G174" s="72" t="s">
        <v>128</v>
      </c>
      <c r="H174" s="27"/>
      <c r="I174" s="27"/>
      <c r="J174" s="27"/>
      <c r="K174" s="28">
        <v>2900</v>
      </c>
      <c r="L174" s="82">
        <v>4</v>
      </c>
      <c r="M174" s="62">
        <v>2</v>
      </c>
      <c r="N174" s="64" t="s">
        <v>194</v>
      </c>
      <c r="O174" s="29">
        <v>0</v>
      </c>
      <c r="P174" s="25"/>
      <c r="Q174" s="25"/>
      <c r="R174" s="39"/>
      <c r="S174" s="39"/>
      <c r="T174" s="44"/>
      <c r="U174" s="65"/>
    </row>
    <row r="175" spans="1:21" ht="38.25" customHeight="1" x14ac:dyDescent="0.3">
      <c r="A175" s="18">
        <v>43844</v>
      </c>
      <c r="B175" s="86">
        <v>0.6425925925925926</v>
      </c>
      <c r="C175" s="20"/>
      <c r="D175" s="20">
        <v>60</v>
      </c>
      <c r="E175" s="21">
        <v>11</v>
      </c>
      <c r="F175" s="72" t="s">
        <v>114</v>
      </c>
      <c r="G175" s="72" t="s">
        <v>2</v>
      </c>
      <c r="H175" s="27"/>
      <c r="I175" s="27"/>
      <c r="J175" s="27"/>
      <c r="K175" s="28">
        <v>2900</v>
      </c>
      <c r="L175" s="62">
        <v>4</v>
      </c>
      <c r="M175" s="62">
        <v>2</v>
      </c>
      <c r="N175" s="64" t="s">
        <v>194</v>
      </c>
      <c r="O175" s="29">
        <v>0</v>
      </c>
      <c r="P175" s="25"/>
      <c r="Q175" s="25"/>
      <c r="R175" s="39">
        <v>2.5</v>
      </c>
      <c r="S175" s="39">
        <v>3.5</v>
      </c>
      <c r="T175" s="44">
        <v>3.8</v>
      </c>
      <c r="U175" s="65"/>
    </row>
    <row r="176" spans="1:21" ht="38.25" customHeight="1" x14ac:dyDescent="0.3">
      <c r="A176" s="18">
        <v>43844</v>
      </c>
      <c r="B176" s="87">
        <v>0.64334490740740746</v>
      </c>
      <c r="C176" s="83"/>
      <c r="D176" s="83">
        <v>30</v>
      </c>
      <c r="E176" s="21">
        <v>11</v>
      </c>
      <c r="F176" s="72" t="s">
        <v>0</v>
      </c>
      <c r="G176" s="72" t="s">
        <v>128</v>
      </c>
      <c r="H176" s="27"/>
      <c r="I176" s="27"/>
      <c r="J176" s="27"/>
      <c r="K176" s="28">
        <v>2900</v>
      </c>
      <c r="L176" s="82">
        <v>5</v>
      </c>
      <c r="M176" s="62">
        <v>2</v>
      </c>
      <c r="N176" s="64" t="s">
        <v>194</v>
      </c>
      <c r="O176" s="29">
        <v>0</v>
      </c>
      <c r="P176" s="25"/>
      <c r="Q176" s="25"/>
      <c r="R176" s="39"/>
      <c r="S176" s="39"/>
      <c r="T176" s="44"/>
      <c r="U176" s="65"/>
    </row>
    <row r="177" spans="1:21" ht="38.25" customHeight="1" x14ac:dyDescent="0.3">
      <c r="A177" s="18">
        <v>43844</v>
      </c>
      <c r="B177" s="87">
        <v>0.64372685185185186</v>
      </c>
      <c r="C177" s="83"/>
      <c r="D177" s="83">
        <v>60</v>
      </c>
      <c r="E177" s="21">
        <v>11</v>
      </c>
      <c r="F177" s="72" t="s">
        <v>114</v>
      </c>
      <c r="G177" s="72" t="s">
        <v>2</v>
      </c>
      <c r="H177" s="27"/>
      <c r="I177" s="27"/>
      <c r="J177" s="27"/>
      <c r="K177" s="28">
        <v>2900</v>
      </c>
      <c r="L177" s="62">
        <v>5</v>
      </c>
      <c r="M177" s="62">
        <v>2</v>
      </c>
      <c r="N177" s="64" t="s">
        <v>194</v>
      </c>
      <c r="O177" s="29">
        <v>0</v>
      </c>
      <c r="P177" s="25"/>
      <c r="Q177" s="25"/>
      <c r="R177" s="39">
        <v>-1</v>
      </c>
      <c r="S177" s="39">
        <v>1.8</v>
      </c>
      <c r="T177" s="44">
        <v>0.1</v>
      </c>
      <c r="U177" s="65"/>
    </row>
    <row r="178" spans="1:21" ht="38.25" customHeight="1" x14ac:dyDescent="0.3">
      <c r="A178" s="18">
        <v>43844</v>
      </c>
      <c r="B178" s="87">
        <v>0.64421296296296293</v>
      </c>
      <c r="C178" s="83"/>
      <c r="D178" s="83">
        <v>30</v>
      </c>
      <c r="E178" s="21">
        <v>11</v>
      </c>
      <c r="F178" s="72" t="s">
        <v>0</v>
      </c>
      <c r="G178" s="72" t="s">
        <v>128</v>
      </c>
      <c r="H178" s="27"/>
      <c r="I178" s="27"/>
      <c r="J178" s="27"/>
      <c r="K178" s="28">
        <v>2900</v>
      </c>
      <c r="L178" s="82">
        <v>1</v>
      </c>
      <c r="M178" s="62">
        <v>2</v>
      </c>
      <c r="N178" s="64" t="s">
        <v>194</v>
      </c>
      <c r="O178" s="29">
        <v>0</v>
      </c>
      <c r="P178" s="25"/>
      <c r="Q178" s="25"/>
      <c r="R178" s="39"/>
      <c r="S178" s="39"/>
      <c r="T178" s="44"/>
      <c r="U178" s="65"/>
    </row>
    <row r="179" spans="1:21" ht="38.25" customHeight="1" x14ac:dyDescent="0.3">
      <c r="A179" s="18">
        <v>43844</v>
      </c>
      <c r="B179" s="87">
        <v>0.64462962962962966</v>
      </c>
      <c r="C179" s="83"/>
      <c r="D179" s="83">
        <v>60</v>
      </c>
      <c r="E179" s="21">
        <v>11</v>
      </c>
      <c r="F179" s="72" t="s">
        <v>136</v>
      </c>
      <c r="G179" s="72" t="s">
        <v>2</v>
      </c>
      <c r="H179" s="27"/>
      <c r="I179" s="27"/>
      <c r="J179" s="27"/>
      <c r="K179" s="28">
        <v>2900</v>
      </c>
      <c r="L179" s="62">
        <v>1</v>
      </c>
      <c r="M179" s="62">
        <v>2</v>
      </c>
      <c r="N179" s="64" t="s">
        <v>194</v>
      </c>
      <c r="O179" s="29">
        <v>0</v>
      </c>
      <c r="P179" s="25"/>
      <c r="Q179" s="25"/>
      <c r="R179" s="39">
        <v>4.7</v>
      </c>
      <c r="S179" s="39">
        <v>4.5</v>
      </c>
      <c r="T179" s="44">
        <v>6.55</v>
      </c>
      <c r="U179" s="65"/>
    </row>
    <row r="180" spans="1:21" ht="38.25" customHeight="1" x14ac:dyDescent="0.3">
      <c r="A180" s="18">
        <v>43844</v>
      </c>
      <c r="B180" s="86">
        <v>0.64533564814814814</v>
      </c>
      <c r="C180" s="20"/>
      <c r="D180" s="20">
        <v>30</v>
      </c>
      <c r="E180" s="32">
        <v>12</v>
      </c>
      <c r="F180" s="72" t="s">
        <v>0</v>
      </c>
      <c r="G180" s="72" t="s">
        <v>4</v>
      </c>
      <c r="H180" s="27"/>
      <c r="I180" s="27"/>
      <c r="J180" s="27"/>
      <c r="K180" s="23">
        <v>3200</v>
      </c>
      <c r="L180" s="62">
        <v>1</v>
      </c>
      <c r="M180" s="62">
        <v>2</v>
      </c>
      <c r="N180" s="64" t="s">
        <v>194</v>
      </c>
      <c r="O180" s="29">
        <v>0</v>
      </c>
      <c r="P180" s="25"/>
      <c r="Q180" s="25"/>
      <c r="R180" s="39"/>
      <c r="S180" s="39"/>
      <c r="T180" s="44"/>
      <c r="U180" s="65"/>
    </row>
    <row r="181" spans="1:21" ht="38.25" customHeight="1" x14ac:dyDescent="0.3">
      <c r="A181" s="18">
        <v>43844</v>
      </c>
      <c r="B181" s="86">
        <v>0.64575231481481488</v>
      </c>
      <c r="C181" s="20"/>
      <c r="D181" s="20">
        <v>60</v>
      </c>
      <c r="E181" s="32">
        <v>12</v>
      </c>
      <c r="F181" s="72" t="s">
        <v>3</v>
      </c>
      <c r="G181" s="72" t="s">
        <v>2</v>
      </c>
      <c r="H181" s="27"/>
      <c r="I181" s="27"/>
      <c r="J181" s="27"/>
      <c r="K181" s="28">
        <v>3200</v>
      </c>
      <c r="L181" s="62">
        <v>1</v>
      </c>
      <c r="M181" s="62">
        <v>2</v>
      </c>
      <c r="N181" s="64" t="s">
        <v>194</v>
      </c>
      <c r="O181" s="29">
        <v>0</v>
      </c>
      <c r="P181" s="25"/>
      <c r="Q181" s="25"/>
      <c r="R181" s="39">
        <v>5.6</v>
      </c>
      <c r="S181" s="39">
        <v>6.1</v>
      </c>
      <c r="T181" s="44">
        <v>7.28</v>
      </c>
      <c r="U181" s="65"/>
    </row>
    <row r="182" spans="1:21" ht="38.25" customHeight="1" x14ac:dyDescent="0.3">
      <c r="A182" s="18">
        <v>43844</v>
      </c>
      <c r="B182" s="86">
        <v>0.64648148148148155</v>
      </c>
      <c r="C182" s="20"/>
      <c r="D182" s="20">
        <v>30</v>
      </c>
      <c r="E182" s="32">
        <v>12</v>
      </c>
      <c r="F182" s="72" t="s">
        <v>0</v>
      </c>
      <c r="G182" s="72" t="s">
        <v>128</v>
      </c>
      <c r="H182" s="27"/>
      <c r="I182" s="27"/>
      <c r="J182" s="27"/>
      <c r="K182" s="28">
        <v>3200</v>
      </c>
      <c r="L182" s="82">
        <v>2</v>
      </c>
      <c r="M182" s="62">
        <v>2</v>
      </c>
      <c r="N182" s="64" t="s">
        <v>194</v>
      </c>
      <c r="O182" s="29">
        <v>0</v>
      </c>
      <c r="P182" s="25"/>
      <c r="Q182" s="25"/>
      <c r="R182" s="39"/>
      <c r="S182" s="39"/>
      <c r="T182" s="44"/>
      <c r="U182" s="65"/>
    </row>
    <row r="183" spans="1:21" ht="38.25" customHeight="1" x14ac:dyDescent="0.3">
      <c r="A183" s="18">
        <v>43844</v>
      </c>
      <c r="B183" s="86">
        <v>0.64688657407407402</v>
      </c>
      <c r="C183" s="20"/>
      <c r="D183" s="20">
        <v>60</v>
      </c>
      <c r="E183" s="32">
        <v>12</v>
      </c>
      <c r="F183" s="72" t="s">
        <v>114</v>
      </c>
      <c r="G183" s="72" t="s">
        <v>2</v>
      </c>
      <c r="H183" s="27"/>
      <c r="I183" s="27"/>
      <c r="J183" s="27"/>
      <c r="K183" s="28">
        <v>3200</v>
      </c>
      <c r="L183" s="62">
        <v>2</v>
      </c>
      <c r="M183" s="62">
        <v>2</v>
      </c>
      <c r="N183" s="64" t="s">
        <v>194</v>
      </c>
      <c r="O183" s="29">
        <v>0</v>
      </c>
      <c r="P183" s="25"/>
      <c r="Q183" s="25"/>
      <c r="R183" s="39">
        <v>6</v>
      </c>
      <c r="S183" s="39">
        <v>6.3</v>
      </c>
      <c r="T183" s="44">
        <v>7.35</v>
      </c>
      <c r="U183" s="65"/>
    </row>
    <row r="184" spans="1:21" ht="38.25" customHeight="1" x14ac:dyDescent="0.3">
      <c r="A184" s="18">
        <v>43844</v>
      </c>
      <c r="B184" s="86">
        <v>0.64770833333333333</v>
      </c>
      <c r="C184" s="20"/>
      <c r="D184" s="20">
        <v>30</v>
      </c>
      <c r="E184" s="32">
        <v>12</v>
      </c>
      <c r="F184" s="72" t="s">
        <v>0</v>
      </c>
      <c r="G184" s="72" t="s">
        <v>128</v>
      </c>
      <c r="H184" s="27"/>
      <c r="I184" s="27"/>
      <c r="J184" s="27"/>
      <c r="K184" s="28">
        <v>3200</v>
      </c>
      <c r="L184" s="82">
        <v>3</v>
      </c>
      <c r="M184" s="62">
        <v>2</v>
      </c>
      <c r="N184" s="64" t="s">
        <v>194</v>
      </c>
      <c r="O184" s="29">
        <v>0</v>
      </c>
      <c r="P184" s="25"/>
      <c r="Q184" s="25"/>
      <c r="R184" s="39"/>
      <c r="S184" s="39"/>
      <c r="T184" s="44"/>
      <c r="U184" s="65"/>
    </row>
    <row r="185" spans="1:21" ht="38.25" customHeight="1" x14ac:dyDescent="0.3">
      <c r="A185" s="18">
        <v>43844</v>
      </c>
      <c r="B185" s="86">
        <v>0.64806712962962965</v>
      </c>
      <c r="C185" s="20"/>
      <c r="D185" s="20">
        <v>60</v>
      </c>
      <c r="E185" s="32">
        <v>12</v>
      </c>
      <c r="F185" s="72" t="s">
        <v>114</v>
      </c>
      <c r="G185" s="72" t="s">
        <v>2</v>
      </c>
      <c r="H185" s="27"/>
      <c r="I185" s="27"/>
      <c r="J185" s="27"/>
      <c r="K185" s="28">
        <v>3200</v>
      </c>
      <c r="L185" s="62">
        <v>3</v>
      </c>
      <c r="M185" s="62">
        <v>2</v>
      </c>
      <c r="N185" s="64" t="s">
        <v>194</v>
      </c>
      <c r="O185" s="29">
        <v>0</v>
      </c>
      <c r="P185" s="25"/>
      <c r="Q185" s="25"/>
      <c r="R185" s="39">
        <v>5.2</v>
      </c>
      <c r="S185" s="39">
        <v>6</v>
      </c>
      <c r="T185" s="44">
        <v>6.68</v>
      </c>
      <c r="U185" s="65"/>
    </row>
    <row r="186" spans="1:21" ht="38.25" customHeight="1" x14ac:dyDescent="0.3">
      <c r="A186" s="18">
        <v>43844</v>
      </c>
      <c r="B186" s="86">
        <v>0.6485995370370371</v>
      </c>
      <c r="C186" s="20"/>
      <c r="D186" s="20">
        <v>30</v>
      </c>
      <c r="E186" s="32">
        <v>12</v>
      </c>
      <c r="F186" s="72" t="s">
        <v>0</v>
      </c>
      <c r="G186" s="72" t="s">
        <v>128</v>
      </c>
      <c r="H186" s="27"/>
      <c r="I186" s="27"/>
      <c r="J186" s="27"/>
      <c r="K186" s="28">
        <v>3200</v>
      </c>
      <c r="L186" s="82">
        <v>4</v>
      </c>
      <c r="M186" s="62">
        <v>2</v>
      </c>
      <c r="N186" s="64" t="s">
        <v>194</v>
      </c>
      <c r="O186" s="29">
        <v>0</v>
      </c>
      <c r="P186" s="25"/>
      <c r="Q186" s="25"/>
      <c r="R186" s="39"/>
      <c r="S186" s="39"/>
      <c r="T186" s="44"/>
      <c r="U186" s="65"/>
    </row>
    <row r="187" spans="1:21" ht="38.25" customHeight="1" x14ac:dyDescent="0.3">
      <c r="A187" s="18">
        <v>43844</v>
      </c>
      <c r="B187" s="86">
        <v>0.64903935185185191</v>
      </c>
      <c r="C187" s="20"/>
      <c r="D187" s="20">
        <v>60</v>
      </c>
      <c r="E187" s="32">
        <v>12</v>
      </c>
      <c r="F187" s="72" t="s">
        <v>114</v>
      </c>
      <c r="G187" s="72" t="s">
        <v>2</v>
      </c>
      <c r="H187" s="27"/>
      <c r="I187" s="27"/>
      <c r="J187" s="27"/>
      <c r="K187" s="28">
        <v>3200</v>
      </c>
      <c r="L187" s="62">
        <v>4</v>
      </c>
      <c r="M187" s="62">
        <v>2</v>
      </c>
      <c r="N187" s="64" t="s">
        <v>194</v>
      </c>
      <c r="O187" s="29">
        <v>0</v>
      </c>
      <c r="P187" s="25"/>
      <c r="Q187" s="25"/>
      <c r="R187" s="39">
        <v>2.6</v>
      </c>
      <c r="S187" s="39">
        <v>4.4000000000000004</v>
      </c>
      <c r="T187" s="44">
        <v>3.88</v>
      </c>
      <c r="U187" s="65"/>
    </row>
    <row r="188" spans="1:21" ht="38.25" customHeight="1" x14ac:dyDescent="0.3">
      <c r="A188" s="18">
        <v>43844</v>
      </c>
      <c r="B188" s="87">
        <v>0.64976851851851858</v>
      </c>
      <c r="C188" s="83"/>
      <c r="D188" s="83">
        <v>30</v>
      </c>
      <c r="E188" s="32">
        <v>12</v>
      </c>
      <c r="F188" s="72" t="s">
        <v>0</v>
      </c>
      <c r="G188" s="72" t="s">
        <v>128</v>
      </c>
      <c r="H188" s="27"/>
      <c r="I188" s="27"/>
      <c r="J188" s="27"/>
      <c r="K188" s="28">
        <v>3200</v>
      </c>
      <c r="L188" s="82">
        <v>5</v>
      </c>
      <c r="M188" s="62">
        <v>2</v>
      </c>
      <c r="N188" s="64" t="s">
        <v>194</v>
      </c>
      <c r="O188" s="29">
        <v>0</v>
      </c>
      <c r="P188" s="25"/>
      <c r="Q188" s="25"/>
      <c r="R188" s="39"/>
      <c r="S188" s="39"/>
      <c r="T188" s="44"/>
      <c r="U188" s="65"/>
    </row>
    <row r="189" spans="1:21" ht="38.25" customHeight="1" x14ac:dyDescent="0.3">
      <c r="A189" s="18">
        <v>43844</v>
      </c>
      <c r="B189" s="87">
        <v>0.65031249999999996</v>
      </c>
      <c r="C189" s="83"/>
      <c r="D189" s="83">
        <v>60</v>
      </c>
      <c r="E189" s="32">
        <v>12</v>
      </c>
      <c r="F189" s="72" t="s">
        <v>114</v>
      </c>
      <c r="G189" s="72" t="s">
        <v>2</v>
      </c>
      <c r="H189" s="27"/>
      <c r="I189" s="27"/>
      <c r="J189" s="27"/>
      <c r="K189" s="28">
        <v>3200</v>
      </c>
      <c r="L189" s="62">
        <v>5</v>
      </c>
      <c r="M189" s="62">
        <v>2</v>
      </c>
      <c r="N189" s="64" t="s">
        <v>194</v>
      </c>
      <c r="O189" s="29">
        <v>0</v>
      </c>
      <c r="P189" s="25"/>
      <c r="Q189" s="25"/>
      <c r="R189" s="39">
        <v>-0.9</v>
      </c>
      <c r="S189" s="39">
        <v>2.2000000000000002</v>
      </c>
      <c r="T189" s="44">
        <v>0.17</v>
      </c>
      <c r="U189" s="65"/>
    </row>
    <row r="190" spans="1:21" ht="38.25" customHeight="1" x14ac:dyDescent="0.3">
      <c r="A190" s="18">
        <v>43844</v>
      </c>
      <c r="B190" s="87">
        <v>0.65106481481481482</v>
      </c>
      <c r="C190" s="83"/>
      <c r="D190" s="83">
        <v>30</v>
      </c>
      <c r="E190" s="32">
        <v>12</v>
      </c>
      <c r="F190" s="72" t="s">
        <v>0</v>
      </c>
      <c r="G190" s="72" t="s">
        <v>128</v>
      </c>
      <c r="H190" s="27"/>
      <c r="I190" s="27"/>
      <c r="J190" s="27"/>
      <c r="K190" s="28">
        <v>3200</v>
      </c>
      <c r="L190" s="82">
        <v>1</v>
      </c>
      <c r="M190" s="62">
        <v>2</v>
      </c>
      <c r="N190" s="64" t="s">
        <v>194</v>
      </c>
      <c r="O190" s="29">
        <v>0</v>
      </c>
      <c r="P190" s="25"/>
      <c r="Q190" s="25"/>
      <c r="R190" s="39"/>
      <c r="S190" s="39"/>
      <c r="T190" s="44"/>
      <c r="U190" s="65"/>
    </row>
    <row r="191" spans="1:21" ht="38.25" customHeight="1" x14ac:dyDescent="0.3">
      <c r="A191" s="18">
        <v>43844</v>
      </c>
      <c r="B191" s="87">
        <v>0.6517708333333333</v>
      </c>
      <c r="C191" s="83"/>
      <c r="D191" s="83">
        <v>60</v>
      </c>
      <c r="E191" s="32">
        <v>12</v>
      </c>
      <c r="F191" s="72" t="s">
        <v>114</v>
      </c>
      <c r="G191" s="72" t="s">
        <v>2</v>
      </c>
      <c r="H191" s="27"/>
      <c r="I191" s="27"/>
      <c r="J191" s="27"/>
      <c r="K191" s="28">
        <v>3200</v>
      </c>
      <c r="L191" s="62">
        <v>1</v>
      </c>
      <c r="M191" s="62">
        <v>2</v>
      </c>
      <c r="N191" s="64" t="s">
        <v>194</v>
      </c>
      <c r="O191" s="29">
        <v>0</v>
      </c>
      <c r="P191" s="25"/>
      <c r="Q191" s="25"/>
      <c r="R191" s="39">
        <v>5.5</v>
      </c>
      <c r="S191" s="39">
        <v>6.1</v>
      </c>
      <c r="T191" s="44">
        <v>7.29</v>
      </c>
      <c r="U191" s="65"/>
    </row>
    <row r="192" spans="1:21" ht="38.25" customHeight="1" x14ac:dyDescent="0.3">
      <c r="A192" s="18">
        <v>43844</v>
      </c>
      <c r="B192" s="86">
        <v>0.65249999999999997</v>
      </c>
      <c r="C192" s="20"/>
      <c r="D192" s="20" t="s">
        <v>2</v>
      </c>
      <c r="E192" s="30" t="s">
        <v>2</v>
      </c>
      <c r="F192" s="72" t="s">
        <v>7</v>
      </c>
      <c r="G192" s="72" t="s">
        <v>2</v>
      </c>
      <c r="H192" s="27"/>
      <c r="I192" s="27"/>
      <c r="J192" s="27"/>
      <c r="K192" s="23">
        <v>2600</v>
      </c>
      <c r="L192" s="23" t="s">
        <v>2</v>
      </c>
      <c r="M192" s="82" t="s">
        <v>2</v>
      </c>
      <c r="N192" s="64" t="s">
        <v>2</v>
      </c>
      <c r="O192" s="29">
        <v>0</v>
      </c>
      <c r="P192" s="25" t="s">
        <v>2</v>
      </c>
      <c r="Q192" s="25" t="s">
        <v>2</v>
      </c>
      <c r="R192" s="39"/>
      <c r="S192" s="39"/>
      <c r="T192" s="44"/>
      <c r="U192" s="65" t="s">
        <v>151</v>
      </c>
    </row>
    <row r="193" spans="1:21" ht="38.25" customHeight="1" x14ac:dyDescent="0.3">
      <c r="A193" s="18">
        <v>43844</v>
      </c>
      <c r="B193" s="86">
        <v>0.72020833333333334</v>
      </c>
      <c r="C193" s="20"/>
      <c r="D193" s="20" t="s">
        <v>2</v>
      </c>
      <c r="E193" s="21">
        <v>13</v>
      </c>
      <c r="F193" s="72" t="s">
        <v>14</v>
      </c>
      <c r="G193" s="72" t="s">
        <v>2</v>
      </c>
      <c r="H193" s="27"/>
      <c r="I193" s="27"/>
      <c r="J193" s="27"/>
      <c r="K193" s="28">
        <v>2600</v>
      </c>
      <c r="L193" s="28" t="s">
        <v>2</v>
      </c>
      <c r="M193" s="62" t="s">
        <v>2</v>
      </c>
      <c r="N193" s="64" t="s">
        <v>2</v>
      </c>
      <c r="O193" s="29">
        <v>0</v>
      </c>
      <c r="P193" s="25" t="s">
        <v>2</v>
      </c>
      <c r="Q193" s="25" t="s">
        <v>2</v>
      </c>
      <c r="R193" s="39"/>
      <c r="S193" s="39"/>
      <c r="T193" s="44"/>
      <c r="U193" s="65" t="s">
        <v>184</v>
      </c>
    </row>
    <row r="194" spans="1:21" ht="38.25" customHeight="1" x14ac:dyDescent="0.3">
      <c r="A194" s="18">
        <v>43844</v>
      </c>
      <c r="B194" s="86">
        <v>0.72024305555555557</v>
      </c>
      <c r="C194" s="20"/>
      <c r="D194" s="20" t="s">
        <v>2</v>
      </c>
      <c r="E194" s="21">
        <v>13</v>
      </c>
      <c r="F194" s="72" t="s">
        <v>3</v>
      </c>
      <c r="G194" s="72" t="s">
        <v>2</v>
      </c>
      <c r="H194" s="27"/>
      <c r="I194" s="27"/>
      <c r="J194" s="27"/>
      <c r="K194" s="28">
        <v>2600</v>
      </c>
      <c r="L194" s="28" t="s">
        <v>2</v>
      </c>
      <c r="M194" s="62" t="s">
        <v>2</v>
      </c>
      <c r="N194" s="64" t="s">
        <v>2</v>
      </c>
      <c r="O194" s="29">
        <v>0</v>
      </c>
      <c r="P194" s="25"/>
      <c r="Q194" s="25"/>
      <c r="R194" s="39">
        <v>4</v>
      </c>
      <c r="S194" s="39">
        <v>3.3</v>
      </c>
      <c r="T194" s="44">
        <v>5.83</v>
      </c>
      <c r="U194" s="65" t="s">
        <v>184</v>
      </c>
    </row>
    <row r="195" spans="1:21" ht="38.25" customHeight="1" x14ac:dyDescent="0.3">
      <c r="A195" s="18">
        <v>43844</v>
      </c>
      <c r="B195" s="86">
        <v>0.72072916666666664</v>
      </c>
      <c r="C195" s="20"/>
      <c r="D195" s="20">
        <v>30</v>
      </c>
      <c r="E195" s="21">
        <v>13</v>
      </c>
      <c r="F195" s="72" t="s">
        <v>0</v>
      </c>
      <c r="G195" s="72" t="s">
        <v>4</v>
      </c>
      <c r="H195" s="27"/>
      <c r="I195" s="27"/>
      <c r="J195" s="27"/>
      <c r="K195" s="23">
        <v>2000</v>
      </c>
      <c r="L195" s="28" t="s">
        <v>2</v>
      </c>
      <c r="M195" s="62" t="s">
        <v>2</v>
      </c>
      <c r="N195" s="64" t="s">
        <v>2</v>
      </c>
      <c r="O195" s="29">
        <v>0</v>
      </c>
      <c r="P195" s="25"/>
      <c r="Q195" s="25"/>
      <c r="R195" s="39"/>
      <c r="S195" s="39"/>
      <c r="T195" s="44"/>
      <c r="U195" s="65" t="s">
        <v>184</v>
      </c>
    </row>
    <row r="196" spans="1:21" ht="38.25" customHeight="1" x14ac:dyDescent="0.3">
      <c r="A196" s="18">
        <v>43844</v>
      </c>
      <c r="B196" s="86">
        <v>0.72116898148148145</v>
      </c>
      <c r="C196" s="20"/>
      <c r="D196" s="20" t="s">
        <v>2</v>
      </c>
      <c r="E196" s="21">
        <v>13</v>
      </c>
      <c r="F196" s="72" t="s">
        <v>3</v>
      </c>
      <c r="G196" s="72" t="s">
        <v>2</v>
      </c>
      <c r="H196" s="27"/>
      <c r="I196" s="27"/>
      <c r="J196" s="27"/>
      <c r="K196" s="28">
        <v>2000</v>
      </c>
      <c r="L196" s="28" t="s">
        <v>2</v>
      </c>
      <c r="M196" s="62" t="s">
        <v>2</v>
      </c>
      <c r="N196" s="64" t="s">
        <v>2</v>
      </c>
      <c r="O196" s="29">
        <v>0</v>
      </c>
      <c r="P196" s="25"/>
      <c r="Q196" s="25"/>
      <c r="R196" s="39">
        <v>2.9</v>
      </c>
      <c r="S196" s="39">
        <v>1.6</v>
      </c>
      <c r="T196" s="44">
        <v>4.4000000000000004</v>
      </c>
      <c r="U196" s="65" t="s">
        <v>184</v>
      </c>
    </row>
    <row r="197" spans="1:21" ht="38.25" customHeight="1" x14ac:dyDescent="0.3">
      <c r="A197" s="18">
        <v>43844</v>
      </c>
      <c r="B197" s="86">
        <v>0.72133101851851855</v>
      </c>
      <c r="C197" s="20"/>
      <c r="D197" s="20">
        <v>30</v>
      </c>
      <c r="E197" s="21">
        <v>13</v>
      </c>
      <c r="F197" s="72" t="s">
        <v>0</v>
      </c>
      <c r="G197" s="72" t="s">
        <v>4</v>
      </c>
      <c r="H197" s="27"/>
      <c r="I197" s="27"/>
      <c r="J197" s="27"/>
      <c r="K197" s="23">
        <v>2300</v>
      </c>
      <c r="L197" s="28" t="s">
        <v>2</v>
      </c>
      <c r="M197" s="62" t="s">
        <v>2</v>
      </c>
      <c r="N197" s="64" t="s">
        <v>2</v>
      </c>
      <c r="O197" s="29">
        <v>0</v>
      </c>
      <c r="P197" s="25"/>
      <c r="Q197" s="25"/>
      <c r="R197" s="39"/>
      <c r="S197" s="39"/>
      <c r="T197" s="44"/>
      <c r="U197" s="65" t="s">
        <v>184</v>
      </c>
    </row>
    <row r="198" spans="1:21" ht="38.25" customHeight="1" x14ac:dyDescent="0.3">
      <c r="A198" s="18">
        <v>43844</v>
      </c>
      <c r="B198" s="86">
        <v>0.72170138888888891</v>
      </c>
      <c r="C198" s="20"/>
      <c r="D198" s="20" t="s">
        <v>2</v>
      </c>
      <c r="E198" s="21">
        <v>13</v>
      </c>
      <c r="F198" s="72" t="s">
        <v>3</v>
      </c>
      <c r="G198" s="72" t="s">
        <v>2</v>
      </c>
      <c r="H198" s="27"/>
      <c r="I198" s="27"/>
      <c r="J198" s="27"/>
      <c r="K198" s="28">
        <v>2300</v>
      </c>
      <c r="L198" s="28" t="s">
        <v>2</v>
      </c>
      <c r="M198" s="62" t="s">
        <v>2</v>
      </c>
      <c r="N198" s="64" t="s">
        <v>2</v>
      </c>
      <c r="O198" s="29">
        <v>0</v>
      </c>
      <c r="P198" s="25"/>
      <c r="Q198" s="25"/>
      <c r="R198" s="39">
        <v>3.4</v>
      </c>
      <c r="S198" s="39">
        <v>2.2999999999999998</v>
      </c>
      <c r="T198" s="44">
        <v>5.1100000000000003</v>
      </c>
      <c r="U198" s="65" t="s">
        <v>184</v>
      </c>
    </row>
    <row r="199" spans="1:21" ht="38.25" customHeight="1" x14ac:dyDescent="0.3">
      <c r="A199" s="18">
        <v>43844</v>
      </c>
      <c r="B199" s="86">
        <v>0.72201388888888884</v>
      </c>
      <c r="C199" s="20"/>
      <c r="D199" s="20">
        <v>30</v>
      </c>
      <c r="E199" s="21">
        <v>13</v>
      </c>
      <c r="F199" s="72" t="s">
        <v>0</v>
      </c>
      <c r="G199" s="72" t="s">
        <v>4</v>
      </c>
      <c r="H199" s="27"/>
      <c r="I199" s="27"/>
      <c r="J199" s="27"/>
      <c r="K199" s="23">
        <v>2900</v>
      </c>
      <c r="L199" s="28" t="s">
        <v>2</v>
      </c>
      <c r="M199" s="62" t="s">
        <v>2</v>
      </c>
      <c r="N199" s="64" t="s">
        <v>2</v>
      </c>
      <c r="O199" s="29">
        <v>0</v>
      </c>
      <c r="P199" s="25"/>
      <c r="Q199" s="25"/>
      <c r="R199" s="39"/>
      <c r="S199" s="39"/>
      <c r="T199" s="44"/>
      <c r="U199" s="65" t="s">
        <v>184</v>
      </c>
    </row>
    <row r="200" spans="1:21" ht="38.25" customHeight="1" x14ac:dyDescent="0.3">
      <c r="A200" s="18">
        <v>43844</v>
      </c>
      <c r="B200" s="86">
        <v>0.72238425925925931</v>
      </c>
      <c r="C200" s="20"/>
      <c r="D200" s="20" t="s">
        <v>2</v>
      </c>
      <c r="E200" s="21">
        <v>13</v>
      </c>
      <c r="F200" s="72" t="s">
        <v>3</v>
      </c>
      <c r="G200" s="72" t="s">
        <v>2</v>
      </c>
      <c r="H200" s="27"/>
      <c r="I200" s="27"/>
      <c r="J200" s="27"/>
      <c r="K200" s="28">
        <v>2900</v>
      </c>
      <c r="L200" s="28" t="s">
        <v>2</v>
      </c>
      <c r="M200" s="62" t="s">
        <v>2</v>
      </c>
      <c r="N200" s="64" t="s">
        <v>2</v>
      </c>
      <c r="O200" s="29">
        <v>0</v>
      </c>
      <c r="P200" s="25"/>
      <c r="Q200" s="25"/>
      <c r="R200" s="39">
        <v>4.7</v>
      </c>
      <c r="S200" s="39">
        <v>4.5</v>
      </c>
      <c r="T200" s="44">
        <v>6.55</v>
      </c>
      <c r="U200" s="65" t="s">
        <v>184</v>
      </c>
    </row>
    <row r="201" spans="1:21" ht="38.25" customHeight="1" x14ac:dyDescent="0.3">
      <c r="A201" s="18">
        <v>43844</v>
      </c>
      <c r="B201" s="86">
        <v>0.72259259259259256</v>
      </c>
      <c r="C201" s="20"/>
      <c r="D201" s="20">
        <v>30</v>
      </c>
      <c r="E201" s="21">
        <v>13</v>
      </c>
      <c r="F201" s="72" t="s">
        <v>0</v>
      </c>
      <c r="G201" s="72" t="s">
        <v>4</v>
      </c>
      <c r="H201" s="27"/>
      <c r="I201" s="27"/>
      <c r="J201" s="27"/>
      <c r="K201" s="23">
        <v>3200</v>
      </c>
      <c r="L201" s="28" t="s">
        <v>2</v>
      </c>
      <c r="M201" s="62" t="s">
        <v>2</v>
      </c>
      <c r="N201" s="64" t="s">
        <v>2</v>
      </c>
      <c r="O201" s="29">
        <v>0</v>
      </c>
      <c r="P201" s="25"/>
      <c r="Q201" s="25"/>
      <c r="R201" s="39"/>
      <c r="S201" s="39"/>
      <c r="T201" s="44"/>
      <c r="U201" s="65" t="s">
        <v>184</v>
      </c>
    </row>
    <row r="202" spans="1:21" ht="38.25" customHeight="1" x14ac:dyDescent="0.3">
      <c r="A202" s="18">
        <v>43844</v>
      </c>
      <c r="B202" s="86">
        <v>0.72310185185185183</v>
      </c>
      <c r="C202" s="20"/>
      <c r="D202" s="20" t="s">
        <v>2</v>
      </c>
      <c r="E202" s="21">
        <v>13</v>
      </c>
      <c r="F202" s="72" t="s">
        <v>3</v>
      </c>
      <c r="G202" s="72" t="s">
        <v>2</v>
      </c>
      <c r="H202" s="27"/>
      <c r="I202" s="27"/>
      <c r="J202" s="27"/>
      <c r="K202" s="28">
        <v>3200</v>
      </c>
      <c r="L202" s="28" t="s">
        <v>2</v>
      </c>
      <c r="M202" s="62" t="s">
        <v>2</v>
      </c>
      <c r="N202" s="64"/>
      <c r="O202" s="29">
        <v>0</v>
      </c>
      <c r="P202" s="25"/>
      <c r="Q202" s="25"/>
      <c r="R202" s="39">
        <v>5.5</v>
      </c>
      <c r="S202" s="39">
        <v>6.1</v>
      </c>
      <c r="T202" s="44">
        <v>7.28</v>
      </c>
      <c r="U202" s="65" t="s">
        <v>184</v>
      </c>
    </row>
    <row r="203" spans="1:21" ht="38.25" customHeight="1" x14ac:dyDescent="0.3">
      <c r="A203" s="18">
        <v>43844</v>
      </c>
      <c r="B203" s="86">
        <v>0.72378472222222223</v>
      </c>
      <c r="C203" s="20"/>
      <c r="D203" s="20" t="s">
        <v>2</v>
      </c>
      <c r="E203" s="30" t="s">
        <v>2</v>
      </c>
      <c r="F203" s="72" t="s">
        <v>7</v>
      </c>
      <c r="G203" s="72" t="s">
        <v>2</v>
      </c>
      <c r="H203" s="27"/>
      <c r="I203" s="27"/>
      <c r="J203" s="27"/>
      <c r="K203" s="23" t="s">
        <v>2</v>
      </c>
      <c r="L203" s="23" t="s">
        <v>2</v>
      </c>
      <c r="M203" s="82" t="s">
        <v>2</v>
      </c>
      <c r="N203" s="64" t="s">
        <v>2</v>
      </c>
      <c r="O203" s="29">
        <v>0</v>
      </c>
      <c r="P203" s="25" t="s">
        <v>2</v>
      </c>
      <c r="Q203" s="25" t="s">
        <v>2</v>
      </c>
      <c r="R203" s="39"/>
      <c r="S203" s="39"/>
      <c r="T203" s="44"/>
      <c r="U203" s="65" t="s">
        <v>152</v>
      </c>
    </row>
    <row r="204" spans="1:21" ht="38.25" customHeight="1" x14ac:dyDescent="0.3">
      <c r="A204" s="18">
        <v>43850</v>
      </c>
      <c r="B204" s="96">
        <v>0.5370949074074074</v>
      </c>
      <c r="C204" s="20"/>
      <c r="D204" s="20" t="s">
        <v>2</v>
      </c>
      <c r="E204" s="32">
        <v>14</v>
      </c>
      <c r="F204" s="72" t="s">
        <v>14</v>
      </c>
      <c r="G204" s="72" t="s">
        <v>2</v>
      </c>
      <c r="H204" s="27"/>
      <c r="I204" s="27"/>
      <c r="J204" s="27"/>
      <c r="K204" s="23">
        <v>2600</v>
      </c>
      <c r="L204" s="23">
        <v>0</v>
      </c>
      <c r="M204" s="82">
        <v>2</v>
      </c>
      <c r="N204" s="99" t="s">
        <v>194</v>
      </c>
      <c r="O204" s="29">
        <v>0</v>
      </c>
      <c r="P204" s="25" t="s">
        <v>2</v>
      </c>
      <c r="Q204" s="25" t="s">
        <v>2</v>
      </c>
      <c r="R204" s="39"/>
      <c r="S204" s="39"/>
      <c r="T204" s="44"/>
      <c r="U204" s="66"/>
    </row>
    <row r="205" spans="1:21" ht="38.25" customHeight="1" x14ac:dyDescent="0.3">
      <c r="A205" s="18">
        <v>43850</v>
      </c>
      <c r="B205" s="96">
        <v>0.53715277777777781</v>
      </c>
      <c r="C205" s="20"/>
      <c r="D205" s="20">
        <v>60</v>
      </c>
      <c r="E205" s="32">
        <v>14</v>
      </c>
      <c r="F205" s="72" t="s">
        <v>114</v>
      </c>
      <c r="G205" s="72" t="s">
        <v>2</v>
      </c>
      <c r="H205" s="27"/>
      <c r="I205" s="27"/>
      <c r="J205" s="27"/>
      <c r="K205" s="28">
        <v>2600</v>
      </c>
      <c r="L205" s="62">
        <v>0</v>
      </c>
      <c r="M205" s="62">
        <v>2</v>
      </c>
      <c r="N205" s="64" t="s">
        <v>194</v>
      </c>
      <c r="O205" s="29">
        <v>0</v>
      </c>
      <c r="P205" s="25"/>
      <c r="Q205" s="25"/>
      <c r="R205" s="39">
        <v>4.0999999999999996</v>
      </c>
      <c r="S205" s="39">
        <v>3.3</v>
      </c>
      <c r="T205" s="44">
        <v>5.68</v>
      </c>
      <c r="U205" s="65" t="s">
        <v>184</v>
      </c>
    </row>
    <row r="206" spans="1:21" ht="38.25" customHeight="1" x14ac:dyDescent="0.3">
      <c r="A206" s="18">
        <v>43850</v>
      </c>
      <c r="B206" s="96">
        <v>0.53787037037037033</v>
      </c>
      <c r="C206" s="20"/>
      <c r="D206" s="20">
        <v>30</v>
      </c>
      <c r="E206" s="32">
        <v>14</v>
      </c>
      <c r="F206" s="72" t="s">
        <v>0</v>
      </c>
      <c r="G206" s="72" t="s">
        <v>128</v>
      </c>
      <c r="H206" s="27"/>
      <c r="I206" s="27"/>
      <c r="J206" s="27"/>
      <c r="K206" s="28">
        <v>2600</v>
      </c>
      <c r="L206" s="82">
        <v>1</v>
      </c>
      <c r="M206" s="62">
        <v>2</v>
      </c>
      <c r="N206" s="64" t="s">
        <v>194</v>
      </c>
      <c r="O206" s="29">
        <v>0</v>
      </c>
      <c r="P206" s="25"/>
      <c r="Q206" s="25"/>
      <c r="R206" s="39"/>
      <c r="S206" s="39"/>
      <c r="T206" s="44"/>
      <c r="U206" s="65" t="s">
        <v>184</v>
      </c>
    </row>
    <row r="207" spans="1:21" ht="38.25" customHeight="1" x14ac:dyDescent="0.3">
      <c r="A207" s="18">
        <v>43850</v>
      </c>
      <c r="B207" s="96">
        <v>0.53818287037037038</v>
      </c>
      <c r="C207" s="20"/>
      <c r="D207" s="20">
        <v>60</v>
      </c>
      <c r="E207" s="32">
        <v>14</v>
      </c>
      <c r="F207" s="72" t="s">
        <v>114</v>
      </c>
      <c r="G207" s="72" t="s">
        <v>2</v>
      </c>
      <c r="H207" s="27"/>
      <c r="I207" s="27"/>
      <c r="J207" s="27"/>
      <c r="K207" s="28">
        <v>2600</v>
      </c>
      <c r="L207" s="62">
        <v>1</v>
      </c>
      <c r="M207" s="62">
        <v>2</v>
      </c>
      <c r="N207" s="64" t="s">
        <v>194</v>
      </c>
      <c r="O207" s="29">
        <v>0</v>
      </c>
      <c r="P207" s="25"/>
      <c r="Q207" s="25"/>
      <c r="R207" s="39">
        <v>4.0999999999999996</v>
      </c>
      <c r="S207" s="39">
        <v>3.3</v>
      </c>
      <c r="T207" s="44"/>
      <c r="U207" s="65" t="s">
        <v>184</v>
      </c>
    </row>
    <row r="208" spans="1:21" ht="38.25" customHeight="1" x14ac:dyDescent="0.3">
      <c r="A208" s="18">
        <v>43850</v>
      </c>
      <c r="B208" s="96">
        <v>0.53851851851851851</v>
      </c>
      <c r="C208" s="20"/>
      <c r="D208" s="20">
        <v>30</v>
      </c>
      <c r="E208" s="32">
        <v>14</v>
      </c>
      <c r="F208" s="72" t="s">
        <v>0</v>
      </c>
      <c r="G208" s="72" t="s">
        <v>128</v>
      </c>
      <c r="H208" s="27"/>
      <c r="I208" s="27"/>
      <c r="J208" s="27"/>
      <c r="K208" s="28">
        <v>2600</v>
      </c>
      <c r="L208" s="82">
        <v>2</v>
      </c>
      <c r="M208" s="62">
        <v>2</v>
      </c>
      <c r="N208" s="64" t="s">
        <v>194</v>
      </c>
      <c r="O208" s="29">
        <v>0</v>
      </c>
      <c r="P208" s="25"/>
      <c r="Q208" s="25"/>
      <c r="R208" s="39"/>
      <c r="S208" s="39"/>
      <c r="T208" s="44"/>
      <c r="U208" s="65" t="s">
        <v>184</v>
      </c>
    </row>
    <row r="209" spans="1:21" ht="38.25" customHeight="1" x14ac:dyDescent="0.3">
      <c r="A209" s="18">
        <v>43850</v>
      </c>
      <c r="B209" s="96">
        <v>0.53892361111111109</v>
      </c>
      <c r="C209" s="20"/>
      <c r="D209" s="20">
        <v>60</v>
      </c>
      <c r="E209" s="32">
        <v>14</v>
      </c>
      <c r="F209" s="72" t="s">
        <v>114</v>
      </c>
      <c r="G209" s="72" t="s">
        <v>2</v>
      </c>
      <c r="H209" s="27"/>
      <c r="I209" s="27"/>
      <c r="J209" s="27"/>
      <c r="K209" s="28">
        <v>2600</v>
      </c>
      <c r="L209" s="62">
        <v>2</v>
      </c>
      <c r="M209" s="62">
        <v>2</v>
      </c>
      <c r="N209" s="64" t="s">
        <v>194</v>
      </c>
      <c r="O209" s="29">
        <v>0</v>
      </c>
      <c r="P209" s="25"/>
      <c r="Q209" s="25"/>
      <c r="R209" s="39">
        <v>4.4000000000000004</v>
      </c>
      <c r="S209" s="39">
        <v>3.4</v>
      </c>
      <c r="T209" s="44"/>
      <c r="U209" s="65" t="s">
        <v>184</v>
      </c>
    </row>
    <row r="210" spans="1:21" ht="38.25" customHeight="1" x14ac:dyDescent="0.3">
      <c r="A210" s="18">
        <v>43850</v>
      </c>
      <c r="B210" s="96">
        <v>0.53968749999999999</v>
      </c>
      <c r="C210" s="20"/>
      <c r="D210" s="20">
        <v>30</v>
      </c>
      <c r="E210" s="32">
        <v>14</v>
      </c>
      <c r="F210" s="72" t="s">
        <v>0</v>
      </c>
      <c r="G210" s="72" t="s">
        <v>128</v>
      </c>
      <c r="H210" s="27"/>
      <c r="I210" s="27"/>
      <c r="J210" s="27"/>
      <c r="K210" s="28">
        <v>2600</v>
      </c>
      <c r="L210" s="82">
        <v>3</v>
      </c>
      <c r="M210" s="62">
        <v>2</v>
      </c>
      <c r="N210" s="64" t="s">
        <v>194</v>
      </c>
      <c r="O210" s="29">
        <v>0</v>
      </c>
      <c r="P210" s="25"/>
      <c r="Q210" s="25"/>
      <c r="R210" s="39"/>
      <c r="S210" s="39"/>
      <c r="T210" s="44"/>
      <c r="U210" s="65" t="s">
        <v>184</v>
      </c>
    </row>
    <row r="211" spans="1:21" ht="38.25" customHeight="1" x14ac:dyDescent="0.3">
      <c r="A211" s="18">
        <v>43850</v>
      </c>
      <c r="B211" s="96">
        <v>0.5403472222222222</v>
      </c>
      <c r="C211" s="20"/>
      <c r="D211" s="20">
        <v>60</v>
      </c>
      <c r="E211" s="32">
        <v>14</v>
      </c>
      <c r="F211" s="72" t="s">
        <v>114</v>
      </c>
      <c r="G211" s="72" t="s">
        <v>2</v>
      </c>
      <c r="H211" s="27"/>
      <c r="I211" s="27"/>
      <c r="J211" s="27"/>
      <c r="K211" s="28">
        <v>2600</v>
      </c>
      <c r="L211" s="62">
        <v>3</v>
      </c>
      <c r="M211" s="62">
        <v>2</v>
      </c>
      <c r="N211" s="64" t="s">
        <v>194</v>
      </c>
      <c r="O211" s="29">
        <v>0</v>
      </c>
      <c r="P211" s="25"/>
      <c r="Q211" s="25"/>
      <c r="R211" s="39">
        <v>4.4000000000000004</v>
      </c>
      <c r="S211" s="39">
        <v>3.4</v>
      </c>
      <c r="T211" s="44"/>
      <c r="U211" s="65" t="s">
        <v>184</v>
      </c>
    </row>
    <row r="212" spans="1:21" ht="38.25" customHeight="1" x14ac:dyDescent="0.3">
      <c r="A212" s="18">
        <v>43850</v>
      </c>
      <c r="B212" s="97">
        <v>0.54108796296296291</v>
      </c>
      <c r="C212" s="83"/>
      <c r="D212" s="83">
        <v>30</v>
      </c>
      <c r="E212" s="32">
        <v>14</v>
      </c>
      <c r="F212" s="72" t="s">
        <v>0</v>
      </c>
      <c r="G212" s="72" t="s">
        <v>128</v>
      </c>
      <c r="H212" s="27"/>
      <c r="I212" s="27"/>
      <c r="J212" s="27"/>
      <c r="K212" s="28">
        <v>2600</v>
      </c>
      <c r="L212" s="82">
        <v>4</v>
      </c>
      <c r="M212" s="62">
        <v>2</v>
      </c>
      <c r="N212" s="64" t="s">
        <v>194</v>
      </c>
      <c r="O212" s="29">
        <v>0</v>
      </c>
      <c r="P212" s="25"/>
      <c r="Q212" s="25"/>
      <c r="R212" s="39"/>
      <c r="S212" s="39"/>
      <c r="T212" s="44"/>
      <c r="U212" s="65" t="s">
        <v>184</v>
      </c>
    </row>
    <row r="213" spans="1:21" ht="38.25" customHeight="1" x14ac:dyDescent="0.3">
      <c r="A213" s="18">
        <v>43850</v>
      </c>
      <c r="B213" s="96">
        <v>0.5417939814814815</v>
      </c>
      <c r="C213" s="20"/>
      <c r="D213" s="20">
        <v>60</v>
      </c>
      <c r="E213" s="32">
        <v>14</v>
      </c>
      <c r="F213" s="72" t="s">
        <v>114</v>
      </c>
      <c r="G213" s="72" t="s">
        <v>2</v>
      </c>
      <c r="H213" s="27"/>
      <c r="I213" s="27"/>
      <c r="J213" s="27"/>
      <c r="K213" s="28">
        <v>2600</v>
      </c>
      <c r="L213" s="62">
        <v>4</v>
      </c>
      <c r="M213" s="62">
        <v>2</v>
      </c>
      <c r="N213" s="64" t="s">
        <v>194</v>
      </c>
      <c r="O213" s="29">
        <v>0</v>
      </c>
      <c r="P213" s="25"/>
      <c r="Q213" s="25"/>
      <c r="R213" s="39">
        <v>1.1000000000000001</v>
      </c>
      <c r="S213" s="39">
        <v>2.2000000000000002</v>
      </c>
      <c r="T213" s="44"/>
      <c r="U213" s="65" t="s">
        <v>184</v>
      </c>
    </row>
    <row r="214" spans="1:21" ht="38.25" customHeight="1" x14ac:dyDescent="0.3">
      <c r="A214" s="18">
        <v>43850</v>
      </c>
      <c r="B214" s="98">
        <v>0.54270833333333335</v>
      </c>
      <c r="C214" s="83"/>
      <c r="D214" s="83">
        <v>30</v>
      </c>
      <c r="E214" s="32">
        <v>14</v>
      </c>
      <c r="F214" s="72" t="s">
        <v>0</v>
      </c>
      <c r="G214" s="72" t="s">
        <v>128</v>
      </c>
      <c r="H214" s="27"/>
      <c r="I214" s="27"/>
      <c r="J214" s="27"/>
      <c r="K214" s="28">
        <v>2600</v>
      </c>
      <c r="L214" s="82">
        <v>5</v>
      </c>
      <c r="M214" s="62">
        <v>2</v>
      </c>
      <c r="N214" s="64" t="s">
        <v>194</v>
      </c>
      <c r="O214" s="29">
        <v>0</v>
      </c>
      <c r="P214" s="25"/>
      <c r="Q214" s="25"/>
      <c r="R214" s="39"/>
      <c r="S214" s="39"/>
      <c r="T214" s="44"/>
      <c r="U214" s="65" t="s">
        <v>184</v>
      </c>
    </row>
    <row r="215" spans="1:21" ht="38.25" customHeight="1" x14ac:dyDescent="0.3">
      <c r="A215" s="18">
        <v>43850</v>
      </c>
      <c r="B215" s="96">
        <v>0.54318287037037039</v>
      </c>
      <c r="C215" s="20"/>
      <c r="D215" s="20">
        <v>60</v>
      </c>
      <c r="E215" s="32">
        <v>14</v>
      </c>
      <c r="F215" s="72" t="s">
        <v>114</v>
      </c>
      <c r="G215" s="72" t="s">
        <v>2</v>
      </c>
      <c r="H215" s="27"/>
      <c r="I215" s="27"/>
      <c r="J215" s="27"/>
      <c r="K215" s="28">
        <v>2600</v>
      </c>
      <c r="L215" s="62">
        <v>5</v>
      </c>
      <c r="M215" s="62">
        <v>2</v>
      </c>
      <c r="N215" s="64" t="s">
        <v>194</v>
      </c>
      <c r="O215" s="29">
        <v>0</v>
      </c>
      <c r="P215" s="25"/>
      <c r="Q215" s="25"/>
      <c r="R215" s="39">
        <v>-1</v>
      </c>
      <c r="S215" s="39">
        <v>1.3</v>
      </c>
      <c r="T215" s="44"/>
      <c r="U215" s="65" t="s">
        <v>184</v>
      </c>
    </row>
    <row r="216" spans="1:21" ht="38.25" customHeight="1" x14ac:dyDescent="0.3">
      <c r="A216" s="18">
        <v>43850</v>
      </c>
      <c r="B216" s="96">
        <v>0.54390046296296302</v>
      </c>
      <c r="C216" s="20"/>
      <c r="D216" s="20"/>
      <c r="E216" s="30" t="s">
        <v>2</v>
      </c>
      <c r="F216" s="72" t="s">
        <v>7</v>
      </c>
      <c r="G216" s="72"/>
      <c r="H216" s="27"/>
      <c r="I216" s="27"/>
      <c r="J216" s="27"/>
      <c r="K216" s="28" t="s">
        <v>2</v>
      </c>
      <c r="L216" s="62" t="s">
        <v>2</v>
      </c>
      <c r="M216" s="62" t="s">
        <v>2</v>
      </c>
      <c r="N216" s="64" t="s">
        <v>2</v>
      </c>
      <c r="O216" s="29">
        <v>0</v>
      </c>
      <c r="P216" s="25"/>
      <c r="Q216" s="25"/>
      <c r="R216" s="39"/>
      <c r="S216" s="39"/>
      <c r="T216" s="44"/>
      <c r="U216" s="65" t="s">
        <v>185</v>
      </c>
    </row>
    <row r="217" spans="1:21" ht="38.25" customHeight="1" x14ac:dyDescent="0.3">
      <c r="A217" s="18">
        <v>43852</v>
      </c>
      <c r="B217" s="100">
        <v>0.66211805555555558</v>
      </c>
      <c r="C217" s="100"/>
      <c r="D217" s="20"/>
      <c r="E217" s="21">
        <v>15</v>
      </c>
      <c r="F217" s="72" t="s">
        <v>14</v>
      </c>
      <c r="G217" s="72"/>
      <c r="H217" s="27"/>
      <c r="I217" s="27"/>
      <c r="J217" s="27"/>
      <c r="K217" s="28">
        <v>2600</v>
      </c>
      <c r="L217" s="62" t="s">
        <v>2</v>
      </c>
      <c r="M217" s="62" t="s">
        <v>2</v>
      </c>
      <c r="N217" s="64" t="s">
        <v>2</v>
      </c>
      <c r="O217" s="29">
        <v>0</v>
      </c>
      <c r="P217" s="25"/>
      <c r="Q217" s="25"/>
      <c r="R217" s="39"/>
      <c r="S217" s="39"/>
      <c r="T217" s="44"/>
      <c r="U217" s="66" t="s">
        <v>187</v>
      </c>
    </row>
    <row r="218" spans="1:21" ht="38.25" customHeight="1" x14ac:dyDescent="0.3">
      <c r="A218" s="18">
        <v>43852</v>
      </c>
      <c r="B218" s="100">
        <v>0.66214120370370366</v>
      </c>
      <c r="C218" s="20"/>
      <c r="D218" s="20">
        <v>60</v>
      </c>
      <c r="E218" s="21">
        <v>15</v>
      </c>
      <c r="F218" s="72" t="s">
        <v>3</v>
      </c>
      <c r="G218" s="72" t="s">
        <v>2</v>
      </c>
      <c r="H218" s="27"/>
      <c r="I218" s="27"/>
      <c r="J218" s="27"/>
      <c r="K218" s="28">
        <v>2600</v>
      </c>
      <c r="L218" s="62" t="s">
        <v>2</v>
      </c>
      <c r="M218" s="62" t="s">
        <v>2</v>
      </c>
      <c r="N218" s="64" t="s">
        <v>2</v>
      </c>
      <c r="O218" s="29">
        <v>0</v>
      </c>
      <c r="P218" s="25"/>
      <c r="Q218" s="25"/>
      <c r="R218" s="39">
        <v>4</v>
      </c>
      <c r="S218" s="39">
        <v>3.3</v>
      </c>
      <c r="T218" s="44">
        <v>5.71</v>
      </c>
      <c r="U218" s="65" t="s">
        <v>188</v>
      </c>
    </row>
    <row r="219" spans="1:21" ht="38.25" customHeight="1" x14ac:dyDescent="0.3">
      <c r="A219" s="18">
        <v>43852</v>
      </c>
      <c r="B219" s="100">
        <v>0.66288194444444437</v>
      </c>
      <c r="C219" s="20"/>
      <c r="D219" s="20">
        <v>30</v>
      </c>
      <c r="E219" s="21">
        <v>15</v>
      </c>
      <c r="F219" s="72" t="s">
        <v>0</v>
      </c>
      <c r="G219" s="72" t="s">
        <v>4</v>
      </c>
      <c r="H219" s="27"/>
      <c r="I219" s="27"/>
      <c r="J219" s="27"/>
      <c r="K219" s="23">
        <v>2000</v>
      </c>
      <c r="L219" s="62" t="s">
        <v>2</v>
      </c>
      <c r="M219" s="62" t="s">
        <v>2</v>
      </c>
      <c r="N219" s="64" t="s">
        <v>2</v>
      </c>
      <c r="O219" s="29">
        <v>0</v>
      </c>
      <c r="P219" s="25"/>
      <c r="Q219" s="25"/>
      <c r="R219" s="39"/>
      <c r="S219" s="39"/>
      <c r="T219" s="44"/>
      <c r="U219" s="65" t="s">
        <v>188</v>
      </c>
    </row>
    <row r="220" spans="1:21" ht="38.25" customHeight="1" x14ac:dyDescent="0.3">
      <c r="A220" s="18">
        <v>43852</v>
      </c>
      <c r="B220" s="100">
        <v>0.66321759259259261</v>
      </c>
      <c r="C220" s="20"/>
      <c r="D220" s="20">
        <v>30</v>
      </c>
      <c r="E220" s="21">
        <v>15</v>
      </c>
      <c r="F220" s="72" t="s">
        <v>3</v>
      </c>
      <c r="G220" s="72" t="s">
        <v>2</v>
      </c>
      <c r="H220" s="27"/>
      <c r="I220" s="27"/>
      <c r="J220" s="27"/>
      <c r="K220" s="28">
        <v>2000</v>
      </c>
      <c r="L220" s="62" t="s">
        <v>2</v>
      </c>
      <c r="M220" s="62" t="s">
        <v>2</v>
      </c>
      <c r="N220" s="64" t="s">
        <v>2</v>
      </c>
      <c r="O220" s="29">
        <v>0</v>
      </c>
      <c r="P220" s="25"/>
      <c r="Q220" s="25"/>
      <c r="R220" s="39">
        <v>2.9</v>
      </c>
      <c r="S220" s="39">
        <v>1.6</v>
      </c>
      <c r="T220" s="44">
        <v>4.32</v>
      </c>
      <c r="U220" s="65" t="s">
        <v>188</v>
      </c>
    </row>
    <row r="221" spans="1:21" ht="38.25" customHeight="1" x14ac:dyDescent="0.3">
      <c r="A221" s="18">
        <v>43852</v>
      </c>
      <c r="B221" s="100">
        <v>0.66364583333333338</v>
      </c>
      <c r="C221" s="20"/>
      <c r="D221" s="20">
        <v>30</v>
      </c>
      <c r="E221" s="21">
        <v>15</v>
      </c>
      <c r="F221" s="72" t="s">
        <v>0</v>
      </c>
      <c r="G221" s="72" t="s">
        <v>4</v>
      </c>
      <c r="H221" s="27"/>
      <c r="I221" s="27"/>
      <c r="J221" s="27"/>
      <c r="K221" s="23">
        <v>2300</v>
      </c>
      <c r="L221" s="62" t="s">
        <v>2</v>
      </c>
      <c r="M221" s="62" t="s">
        <v>2</v>
      </c>
      <c r="N221" s="64" t="s">
        <v>2</v>
      </c>
      <c r="O221" s="29">
        <v>0</v>
      </c>
      <c r="P221" s="25"/>
      <c r="Q221" s="25"/>
      <c r="R221" s="39"/>
      <c r="S221" s="39"/>
      <c r="T221" s="44"/>
      <c r="U221" s="65" t="s">
        <v>188</v>
      </c>
    </row>
    <row r="222" spans="1:21" ht="38.25" customHeight="1" x14ac:dyDescent="0.3">
      <c r="A222" s="18">
        <v>43852</v>
      </c>
      <c r="B222" s="100">
        <v>0.6640625</v>
      </c>
      <c r="C222" s="20"/>
      <c r="D222" s="20">
        <v>30</v>
      </c>
      <c r="E222" s="21">
        <v>15</v>
      </c>
      <c r="F222" s="72" t="s">
        <v>3</v>
      </c>
      <c r="G222" s="72" t="s">
        <v>2</v>
      </c>
      <c r="H222" s="27"/>
      <c r="I222" s="27"/>
      <c r="J222" s="27"/>
      <c r="K222" s="28">
        <v>2300</v>
      </c>
      <c r="L222" s="62" t="s">
        <v>2</v>
      </c>
      <c r="M222" s="62" t="s">
        <v>2</v>
      </c>
      <c r="N222" s="64" t="s">
        <v>2</v>
      </c>
      <c r="O222" s="29">
        <v>0</v>
      </c>
      <c r="P222" s="25"/>
      <c r="Q222" s="25"/>
      <c r="R222" s="39">
        <v>3.4</v>
      </c>
      <c r="S222" s="39">
        <v>2.2999999999999998</v>
      </c>
      <c r="T222" s="44">
        <v>5.0199999999999996</v>
      </c>
      <c r="U222" s="65" t="s">
        <v>188</v>
      </c>
    </row>
    <row r="223" spans="1:21" ht="38.25" customHeight="1" x14ac:dyDescent="0.3">
      <c r="A223" s="18">
        <v>43852</v>
      </c>
      <c r="B223" s="100">
        <v>0.66445601851851854</v>
      </c>
      <c r="C223" s="20"/>
      <c r="D223" s="20">
        <v>30</v>
      </c>
      <c r="E223" s="21">
        <v>15</v>
      </c>
      <c r="F223" s="72" t="s">
        <v>0</v>
      </c>
      <c r="G223" s="72" t="s">
        <v>4</v>
      </c>
      <c r="H223" s="27"/>
      <c r="I223" s="27"/>
      <c r="J223" s="27"/>
      <c r="K223" s="23">
        <v>2900</v>
      </c>
      <c r="L223" s="62" t="s">
        <v>2</v>
      </c>
      <c r="M223" s="62" t="s">
        <v>2</v>
      </c>
      <c r="N223" s="64" t="s">
        <v>2</v>
      </c>
      <c r="O223" s="29">
        <v>0</v>
      </c>
      <c r="P223" s="25"/>
      <c r="Q223" s="25"/>
      <c r="R223" s="39"/>
      <c r="S223" s="39"/>
      <c r="T223" s="44"/>
      <c r="U223" s="65" t="s">
        <v>188</v>
      </c>
    </row>
    <row r="224" spans="1:21" ht="38.25" customHeight="1" x14ac:dyDescent="0.3">
      <c r="A224" s="18">
        <v>43852</v>
      </c>
      <c r="B224" s="100">
        <v>0.66479166666666667</v>
      </c>
      <c r="C224" s="20"/>
      <c r="D224" s="20">
        <v>30</v>
      </c>
      <c r="E224" s="21">
        <v>15</v>
      </c>
      <c r="F224" s="72" t="s">
        <v>3</v>
      </c>
      <c r="G224" s="72" t="s">
        <v>2</v>
      </c>
      <c r="H224" s="27"/>
      <c r="I224" s="27"/>
      <c r="J224" s="27"/>
      <c r="K224" s="28">
        <v>2900</v>
      </c>
      <c r="L224" s="62" t="s">
        <v>2</v>
      </c>
      <c r="M224" s="62" t="s">
        <v>2</v>
      </c>
      <c r="N224" s="64" t="s">
        <v>2</v>
      </c>
      <c r="O224" s="29">
        <v>0</v>
      </c>
      <c r="P224" s="25"/>
      <c r="Q224" s="25"/>
      <c r="R224" s="39">
        <v>4.7</v>
      </c>
      <c r="S224" s="39">
        <v>4.5</v>
      </c>
      <c r="T224" s="44">
        <v>6.41</v>
      </c>
      <c r="U224" s="65" t="s">
        <v>188</v>
      </c>
    </row>
    <row r="225" spans="1:21" ht="38.25" customHeight="1" x14ac:dyDescent="0.3">
      <c r="A225" s="18">
        <v>43852</v>
      </c>
      <c r="B225" s="100">
        <v>0.66524305555555563</v>
      </c>
      <c r="C225" s="20"/>
      <c r="D225" s="20">
        <v>30</v>
      </c>
      <c r="E225" s="21">
        <v>15</v>
      </c>
      <c r="F225" s="72" t="s">
        <v>0</v>
      </c>
      <c r="G225" s="72" t="s">
        <v>4</v>
      </c>
      <c r="H225" s="27"/>
      <c r="I225" s="27"/>
      <c r="J225" s="27"/>
      <c r="K225" s="23">
        <v>3200</v>
      </c>
      <c r="L225" s="62" t="s">
        <v>2</v>
      </c>
      <c r="M225" s="62" t="s">
        <v>2</v>
      </c>
      <c r="N225" s="64" t="s">
        <v>2</v>
      </c>
      <c r="O225" s="29">
        <v>0</v>
      </c>
      <c r="P225" s="25"/>
      <c r="Q225" s="25"/>
      <c r="R225" s="39"/>
      <c r="S225" s="39"/>
      <c r="T225" s="44"/>
      <c r="U225" s="65" t="s">
        <v>188</v>
      </c>
    </row>
    <row r="226" spans="1:21" ht="38.25" customHeight="1" x14ac:dyDescent="0.3">
      <c r="A226" s="18">
        <v>43852</v>
      </c>
      <c r="B226" s="100">
        <v>0.66568287037037044</v>
      </c>
      <c r="C226" s="20"/>
      <c r="D226" s="20">
        <v>30</v>
      </c>
      <c r="E226" s="21">
        <v>15</v>
      </c>
      <c r="F226" s="72" t="s">
        <v>3</v>
      </c>
      <c r="G226" s="72" t="s">
        <v>2</v>
      </c>
      <c r="H226" s="27"/>
      <c r="I226" s="27"/>
      <c r="J226" s="27"/>
      <c r="K226" s="28">
        <v>3200</v>
      </c>
      <c r="L226" s="62" t="s">
        <v>2</v>
      </c>
      <c r="M226" s="62" t="s">
        <v>2</v>
      </c>
      <c r="N226" s="64" t="s">
        <v>2</v>
      </c>
      <c r="O226" s="29">
        <v>0</v>
      </c>
      <c r="P226" s="25"/>
      <c r="Q226" s="25"/>
      <c r="R226" s="39">
        <v>5.5</v>
      </c>
      <c r="S226" s="39">
        <v>6.1</v>
      </c>
      <c r="T226" s="44">
        <v>7.11</v>
      </c>
      <c r="U226" s="65" t="s">
        <v>188</v>
      </c>
    </row>
    <row r="227" spans="1:21" ht="38.25" customHeight="1" x14ac:dyDescent="0.3">
      <c r="A227" s="18">
        <v>43852</v>
      </c>
      <c r="B227" s="100">
        <v>0.6660300925925926</v>
      </c>
      <c r="C227" s="20"/>
      <c r="D227" s="20" t="s">
        <v>2</v>
      </c>
      <c r="E227" s="30" t="s">
        <v>2</v>
      </c>
      <c r="F227" s="72" t="s">
        <v>7</v>
      </c>
      <c r="G227" s="72" t="s">
        <v>2</v>
      </c>
      <c r="H227" s="27"/>
      <c r="I227" s="27"/>
      <c r="J227" s="27"/>
      <c r="K227" s="28" t="s">
        <v>2</v>
      </c>
      <c r="L227" s="62" t="s">
        <v>2</v>
      </c>
      <c r="M227" s="62" t="s">
        <v>2</v>
      </c>
      <c r="N227" s="64" t="s">
        <v>2</v>
      </c>
      <c r="O227" s="29">
        <v>0</v>
      </c>
      <c r="P227" s="25"/>
      <c r="Q227" s="25"/>
      <c r="R227" s="39"/>
      <c r="S227" s="39"/>
      <c r="T227" s="44"/>
      <c r="U227" s="65" t="s">
        <v>191</v>
      </c>
    </row>
    <row r="228" spans="1:21" ht="38.25" customHeight="1" x14ac:dyDescent="0.3">
      <c r="A228" s="18">
        <v>43852</v>
      </c>
      <c r="B228" s="100">
        <v>0.67122685185185194</v>
      </c>
      <c r="C228" s="20"/>
      <c r="D228" s="20" t="s">
        <v>2</v>
      </c>
      <c r="E228" s="32">
        <v>16</v>
      </c>
      <c r="F228" s="72" t="s">
        <v>14</v>
      </c>
      <c r="G228" s="72" t="s">
        <v>2</v>
      </c>
      <c r="H228" s="27"/>
      <c r="I228" s="27"/>
      <c r="J228" s="27"/>
      <c r="K228" s="23">
        <v>2600</v>
      </c>
      <c r="L228" s="82">
        <v>1</v>
      </c>
      <c r="M228" s="82">
        <v>2</v>
      </c>
      <c r="N228" s="99" t="s">
        <v>198</v>
      </c>
      <c r="O228" s="29">
        <v>0</v>
      </c>
      <c r="P228" s="25"/>
      <c r="Q228" s="25"/>
      <c r="R228" s="39"/>
      <c r="S228" s="39"/>
      <c r="T228" s="44"/>
      <c r="U228" s="65" t="s">
        <v>193</v>
      </c>
    </row>
    <row r="229" spans="1:21" ht="38.25" customHeight="1" x14ac:dyDescent="0.3">
      <c r="A229" s="18">
        <v>43852</v>
      </c>
      <c r="B229" s="100">
        <v>0.67125000000000001</v>
      </c>
      <c r="C229" s="20"/>
      <c r="D229" s="20">
        <v>60</v>
      </c>
      <c r="E229" s="32">
        <v>16</v>
      </c>
      <c r="F229" s="72" t="s">
        <v>114</v>
      </c>
      <c r="G229" s="72" t="s">
        <v>2</v>
      </c>
      <c r="H229" s="27"/>
      <c r="I229" s="27"/>
      <c r="J229" s="27"/>
      <c r="K229" s="28">
        <v>2600</v>
      </c>
      <c r="L229" s="62">
        <v>1</v>
      </c>
      <c r="M229" s="62">
        <v>2</v>
      </c>
      <c r="N229" s="64" t="s">
        <v>198</v>
      </c>
      <c r="O229" s="29">
        <v>0</v>
      </c>
      <c r="P229" s="25"/>
      <c r="Q229" s="25"/>
      <c r="R229" s="39">
        <v>4</v>
      </c>
      <c r="S229" s="39">
        <v>3.3</v>
      </c>
      <c r="T229" s="44">
        <v>5.71</v>
      </c>
      <c r="U229" s="65" t="s">
        <v>186</v>
      </c>
    </row>
    <row r="230" spans="1:21" ht="38.25" customHeight="1" x14ac:dyDescent="0.3">
      <c r="A230" s="18">
        <v>43852</v>
      </c>
      <c r="B230" s="100">
        <v>0.6721759259259259</v>
      </c>
      <c r="C230" s="20"/>
      <c r="D230" s="20">
        <v>30</v>
      </c>
      <c r="E230" s="32">
        <v>16</v>
      </c>
      <c r="F230" s="72" t="s">
        <v>0</v>
      </c>
      <c r="G230" s="72" t="s">
        <v>128</v>
      </c>
      <c r="H230" s="27"/>
      <c r="I230" s="27"/>
      <c r="J230" s="27"/>
      <c r="K230" s="28">
        <v>2600</v>
      </c>
      <c r="L230" s="82">
        <v>2</v>
      </c>
      <c r="M230" s="62">
        <v>2</v>
      </c>
      <c r="N230" s="64" t="s">
        <v>198</v>
      </c>
      <c r="O230" s="29">
        <v>0</v>
      </c>
      <c r="P230" s="25"/>
      <c r="Q230" s="25"/>
      <c r="R230" s="39"/>
      <c r="S230" s="39"/>
      <c r="T230" s="44"/>
      <c r="U230" s="65" t="s">
        <v>189</v>
      </c>
    </row>
    <row r="231" spans="1:21" ht="38.25" customHeight="1" x14ac:dyDescent="0.3">
      <c r="A231" s="18">
        <v>43852</v>
      </c>
      <c r="B231" s="100">
        <v>0.67291666666666661</v>
      </c>
      <c r="C231" s="20"/>
      <c r="D231" s="20">
        <v>60</v>
      </c>
      <c r="E231" s="32">
        <v>16</v>
      </c>
      <c r="F231" s="72" t="s">
        <v>114</v>
      </c>
      <c r="G231" s="72" t="s">
        <v>2</v>
      </c>
      <c r="H231" s="27"/>
      <c r="I231" s="27"/>
      <c r="J231" s="27"/>
      <c r="K231" s="28">
        <v>2600</v>
      </c>
      <c r="L231" s="62">
        <v>2</v>
      </c>
      <c r="M231" s="62">
        <v>2</v>
      </c>
      <c r="N231" s="64" t="s">
        <v>198</v>
      </c>
      <c r="O231" s="29">
        <v>0</v>
      </c>
      <c r="P231" s="25"/>
      <c r="Q231" s="25"/>
      <c r="R231" s="39">
        <v>4</v>
      </c>
      <c r="S231" s="39">
        <v>3.3</v>
      </c>
      <c r="T231" s="44">
        <v>5.71</v>
      </c>
      <c r="U231" s="65"/>
    </row>
    <row r="232" spans="1:21" ht="38.25" customHeight="1" x14ac:dyDescent="0.3">
      <c r="A232" s="18">
        <v>43852</v>
      </c>
      <c r="B232" s="100">
        <v>0.67395833333333333</v>
      </c>
      <c r="C232" s="20"/>
      <c r="D232" s="20">
        <v>30</v>
      </c>
      <c r="E232" s="32">
        <v>16</v>
      </c>
      <c r="F232" s="72" t="s">
        <v>0</v>
      </c>
      <c r="G232" s="72" t="s">
        <v>128</v>
      </c>
      <c r="H232" s="27"/>
      <c r="I232" s="27"/>
      <c r="J232" s="27"/>
      <c r="K232" s="28">
        <v>2600</v>
      </c>
      <c r="L232" s="82">
        <v>3</v>
      </c>
      <c r="M232" s="62">
        <v>2</v>
      </c>
      <c r="N232" s="64" t="s">
        <v>198</v>
      </c>
      <c r="O232" s="29">
        <v>0</v>
      </c>
      <c r="P232" s="25"/>
      <c r="Q232" s="25"/>
      <c r="R232" s="39"/>
      <c r="S232" s="39"/>
      <c r="T232" s="44"/>
      <c r="U232" s="65" t="s">
        <v>190</v>
      </c>
    </row>
    <row r="233" spans="1:21" ht="38.25" customHeight="1" x14ac:dyDescent="0.3">
      <c r="A233" s="18">
        <v>43852</v>
      </c>
      <c r="B233" s="100">
        <v>0.67465277777777777</v>
      </c>
      <c r="C233" s="20"/>
      <c r="D233" s="20">
        <v>60</v>
      </c>
      <c r="E233" s="32">
        <v>16</v>
      </c>
      <c r="F233" s="72" t="s">
        <v>114</v>
      </c>
      <c r="G233" s="72" t="s">
        <v>2</v>
      </c>
      <c r="H233" s="27"/>
      <c r="I233" s="27"/>
      <c r="J233" s="27"/>
      <c r="K233" s="28">
        <v>2600</v>
      </c>
      <c r="L233" s="62">
        <v>3</v>
      </c>
      <c r="M233" s="62">
        <v>2</v>
      </c>
      <c r="N233" s="64" t="s">
        <v>198</v>
      </c>
      <c r="O233" s="29">
        <v>0</v>
      </c>
      <c r="P233" s="25"/>
      <c r="Q233" s="25"/>
      <c r="R233" s="39">
        <v>4.0999999999999996</v>
      </c>
      <c r="S233" s="39">
        <v>3.3</v>
      </c>
      <c r="T233" s="44">
        <v>5.72</v>
      </c>
      <c r="U233" s="65"/>
    </row>
    <row r="234" spans="1:21" ht="38.25" customHeight="1" x14ac:dyDescent="0.3">
      <c r="A234" s="18">
        <v>43852</v>
      </c>
      <c r="B234" s="100">
        <v>0.67540509259259263</v>
      </c>
      <c r="C234" s="20"/>
      <c r="D234" s="20">
        <v>0</v>
      </c>
      <c r="E234" s="32">
        <v>16</v>
      </c>
      <c r="F234" s="72" t="s">
        <v>0</v>
      </c>
      <c r="G234" s="72" t="s">
        <v>4</v>
      </c>
      <c r="H234" s="27"/>
      <c r="I234" s="27"/>
      <c r="J234" s="27"/>
      <c r="K234" s="23">
        <v>2000</v>
      </c>
      <c r="L234" s="62">
        <v>3</v>
      </c>
      <c r="M234" s="62">
        <v>2</v>
      </c>
      <c r="N234" s="64" t="s">
        <v>198</v>
      </c>
      <c r="O234" s="29">
        <v>0</v>
      </c>
      <c r="P234" s="25"/>
      <c r="Q234" s="25"/>
      <c r="R234" s="39"/>
      <c r="S234" s="39"/>
      <c r="T234" s="44"/>
      <c r="U234" s="65"/>
    </row>
    <row r="235" spans="1:21" ht="38.25" customHeight="1" x14ac:dyDescent="0.3">
      <c r="A235" s="18">
        <v>43852</v>
      </c>
      <c r="B235" s="100">
        <v>0.67548611111111112</v>
      </c>
      <c r="C235" s="20"/>
      <c r="D235" s="20">
        <v>30</v>
      </c>
      <c r="E235" s="32">
        <v>16</v>
      </c>
      <c r="F235" s="72" t="s">
        <v>0</v>
      </c>
      <c r="G235" s="72" t="s">
        <v>128</v>
      </c>
      <c r="H235" s="27"/>
      <c r="I235" s="27"/>
      <c r="J235" s="27"/>
      <c r="K235" s="28">
        <v>2000</v>
      </c>
      <c r="L235" s="82">
        <v>1</v>
      </c>
      <c r="M235" s="62">
        <v>2</v>
      </c>
      <c r="N235" s="64" t="s">
        <v>198</v>
      </c>
      <c r="O235" s="29">
        <v>0</v>
      </c>
      <c r="P235" s="25"/>
      <c r="Q235" s="25"/>
      <c r="R235" s="39"/>
      <c r="S235" s="39"/>
      <c r="T235" s="44"/>
      <c r="U235" s="65"/>
    </row>
    <row r="236" spans="1:21" ht="38.25" customHeight="1" x14ac:dyDescent="0.3">
      <c r="A236" s="18">
        <v>43852</v>
      </c>
      <c r="B236" s="100">
        <v>0.67650462962962965</v>
      </c>
      <c r="C236" s="20"/>
      <c r="D236" s="20">
        <v>60</v>
      </c>
      <c r="E236" s="32">
        <v>16</v>
      </c>
      <c r="F236" s="72" t="s">
        <v>114</v>
      </c>
      <c r="G236" s="72" t="s">
        <v>2</v>
      </c>
      <c r="H236" s="27"/>
      <c r="I236" s="27"/>
      <c r="J236" s="27"/>
      <c r="K236" s="28">
        <v>2000</v>
      </c>
      <c r="L236" s="62">
        <v>1</v>
      </c>
      <c r="M236" s="62">
        <v>2</v>
      </c>
      <c r="N236" s="64" t="s">
        <v>198</v>
      </c>
      <c r="O236" s="29">
        <v>0</v>
      </c>
      <c r="P236" s="25"/>
      <c r="Q236" s="25"/>
      <c r="R236" s="39">
        <v>2.9</v>
      </c>
      <c r="S236" s="39">
        <v>1.6</v>
      </c>
      <c r="T236" s="44">
        <v>4.32</v>
      </c>
      <c r="U236" s="65"/>
    </row>
    <row r="237" spans="1:21" ht="38.25" customHeight="1" x14ac:dyDescent="0.3">
      <c r="A237" s="18">
        <v>43852</v>
      </c>
      <c r="B237" s="101">
        <v>0.67835648148148142</v>
      </c>
      <c r="C237" s="83"/>
      <c r="D237" s="20" t="s">
        <v>2</v>
      </c>
      <c r="E237" s="30" t="s">
        <v>2</v>
      </c>
      <c r="F237" s="72" t="s">
        <v>7</v>
      </c>
      <c r="G237" s="72" t="s">
        <v>2</v>
      </c>
      <c r="H237" s="27"/>
      <c r="I237" s="27"/>
      <c r="J237" s="27"/>
      <c r="K237" s="28" t="s">
        <v>2</v>
      </c>
      <c r="L237" s="62" t="s">
        <v>2</v>
      </c>
      <c r="M237" s="62" t="s">
        <v>2</v>
      </c>
      <c r="N237" s="64" t="s">
        <v>2</v>
      </c>
      <c r="O237" s="29">
        <v>0</v>
      </c>
      <c r="P237" s="25"/>
      <c r="Q237" s="25"/>
      <c r="R237" s="39"/>
      <c r="S237" s="39"/>
      <c r="T237" s="44"/>
      <c r="U237" s="65"/>
    </row>
    <row r="238" spans="1:21" ht="38.25" customHeight="1" x14ac:dyDescent="0.3">
      <c r="A238" s="18">
        <v>43852</v>
      </c>
      <c r="B238" s="101">
        <v>0.69944444444444442</v>
      </c>
      <c r="C238" s="83"/>
      <c r="D238" s="20" t="s">
        <v>2</v>
      </c>
      <c r="E238" s="21">
        <v>17</v>
      </c>
      <c r="F238" s="72" t="s">
        <v>14</v>
      </c>
      <c r="G238" s="72" t="s">
        <v>2</v>
      </c>
      <c r="H238" s="27"/>
      <c r="I238" s="27"/>
      <c r="J238" s="27"/>
      <c r="K238" s="23">
        <v>2600</v>
      </c>
      <c r="L238" s="82">
        <v>1</v>
      </c>
      <c r="M238" s="82">
        <v>2</v>
      </c>
      <c r="N238" s="99" t="s">
        <v>198</v>
      </c>
      <c r="O238" s="29">
        <v>0</v>
      </c>
      <c r="P238" s="25"/>
      <c r="Q238" s="25"/>
      <c r="R238" s="39"/>
      <c r="S238" s="39"/>
      <c r="T238" s="44"/>
      <c r="U238" s="65" t="s">
        <v>192</v>
      </c>
    </row>
    <row r="239" spans="1:21" ht="38.25" customHeight="1" x14ac:dyDescent="0.3">
      <c r="A239" s="18">
        <v>43852</v>
      </c>
      <c r="B239" s="100">
        <v>0.69946759259259261</v>
      </c>
      <c r="C239" s="20"/>
      <c r="D239" s="20">
        <v>60</v>
      </c>
      <c r="E239" s="21">
        <v>17</v>
      </c>
      <c r="F239" s="72" t="s">
        <v>114</v>
      </c>
      <c r="G239" s="72" t="s">
        <v>2</v>
      </c>
      <c r="H239" s="27"/>
      <c r="I239" s="27"/>
      <c r="J239" s="27"/>
      <c r="K239" s="28">
        <v>2600</v>
      </c>
      <c r="L239" s="62">
        <v>1</v>
      </c>
      <c r="M239" s="62">
        <v>2</v>
      </c>
      <c r="N239" s="64" t="s">
        <v>198</v>
      </c>
      <c r="O239" s="29">
        <v>0</v>
      </c>
      <c r="P239" s="25"/>
      <c r="Q239" s="25"/>
      <c r="R239" s="39">
        <v>4</v>
      </c>
      <c r="S239" s="39">
        <v>3.3</v>
      </c>
      <c r="T239" s="44">
        <v>5.71</v>
      </c>
      <c r="U239" s="65" t="s">
        <v>186</v>
      </c>
    </row>
    <row r="240" spans="1:21" ht="38.25" customHeight="1" x14ac:dyDescent="0.3">
      <c r="A240" s="18">
        <v>43852</v>
      </c>
      <c r="B240" s="100">
        <v>0.70040509259259265</v>
      </c>
      <c r="C240" s="20"/>
      <c r="D240" s="20">
        <v>30</v>
      </c>
      <c r="E240" s="21">
        <v>17</v>
      </c>
      <c r="F240" s="72" t="s">
        <v>0</v>
      </c>
      <c r="G240" s="72" t="s">
        <v>128</v>
      </c>
      <c r="H240" s="27"/>
      <c r="I240" s="27"/>
      <c r="J240" s="27"/>
      <c r="K240" s="28">
        <v>2600</v>
      </c>
      <c r="L240" s="82">
        <v>2</v>
      </c>
      <c r="M240" s="62">
        <v>2</v>
      </c>
      <c r="N240" s="64" t="s">
        <v>198</v>
      </c>
      <c r="O240" s="29">
        <v>0</v>
      </c>
      <c r="P240" s="25"/>
      <c r="Q240" s="25"/>
      <c r="R240" s="39"/>
      <c r="S240" s="39"/>
      <c r="T240" s="44"/>
      <c r="U240" s="65"/>
    </row>
    <row r="241" spans="1:21" ht="38.25" customHeight="1" x14ac:dyDescent="0.3">
      <c r="A241" s="18">
        <v>43852</v>
      </c>
      <c r="B241" s="100">
        <v>0.7009143518518518</v>
      </c>
      <c r="C241" s="20"/>
      <c r="D241" s="20">
        <v>60</v>
      </c>
      <c r="E241" s="21">
        <v>17</v>
      </c>
      <c r="F241" s="72" t="s">
        <v>114</v>
      </c>
      <c r="G241" s="72" t="s">
        <v>2</v>
      </c>
      <c r="H241" s="27"/>
      <c r="I241" s="27"/>
      <c r="J241" s="27"/>
      <c r="K241" s="28">
        <v>2600</v>
      </c>
      <c r="L241" s="62">
        <v>2</v>
      </c>
      <c r="M241" s="62">
        <v>2</v>
      </c>
      <c r="N241" s="64" t="s">
        <v>198</v>
      </c>
      <c r="O241" s="29">
        <v>0</v>
      </c>
      <c r="P241" s="25"/>
      <c r="Q241" s="25"/>
      <c r="R241" s="39">
        <v>4</v>
      </c>
      <c r="S241" s="39">
        <v>3.3</v>
      </c>
      <c r="T241" s="44">
        <v>5.71</v>
      </c>
      <c r="U241" s="65" t="s">
        <v>189</v>
      </c>
    </row>
    <row r="242" spans="1:21" ht="38.25" customHeight="1" x14ac:dyDescent="0.3">
      <c r="A242" s="18">
        <v>43852</v>
      </c>
      <c r="B242" s="100">
        <v>0.70165509259259251</v>
      </c>
      <c r="C242" s="20"/>
      <c r="D242" s="20">
        <v>30</v>
      </c>
      <c r="E242" s="21">
        <v>17</v>
      </c>
      <c r="F242" s="72" t="s">
        <v>0</v>
      </c>
      <c r="G242" s="72" t="s">
        <v>128</v>
      </c>
      <c r="H242" s="27"/>
      <c r="I242" s="27"/>
      <c r="J242" s="27"/>
      <c r="K242" s="28">
        <v>2600</v>
      </c>
      <c r="L242" s="82">
        <v>3</v>
      </c>
      <c r="M242" s="62">
        <v>2</v>
      </c>
      <c r="N242" s="64" t="s">
        <v>198</v>
      </c>
      <c r="O242" s="29">
        <v>0</v>
      </c>
      <c r="P242" s="25"/>
      <c r="Q242" s="25"/>
      <c r="R242" s="39"/>
      <c r="S242" s="39"/>
      <c r="T242" s="44"/>
      <c r="U242" s="65"/>
    </row>
    <row r="243" spans="1:21" ht="38.25" customHeight="1" x14ac:dyDescent="0.3">
      <c r="A243" s="18">
        <v>43852</v>
      </c>
      <c r="B243" s="100">
        <v>0.70210648148148147</v>
      </c>
      <c r="C243" s="20"/>
      <c r="D243" s="20">
        <v>60</v>
      </c>
      <c r="E243" s="21">
        <v>17</v>
      </c>
      <c r="F243" s="72" t="s">
        <v>114</v>
      </c>
      <c r="G243" s="72" t="s">
        <v>2</v>
      </c>
      <c r="H243" s="27"/>
      <c r="I243" s="27"/>
      <c r="J243" s="27"/>
      <c r="K243" s="28">
        <v>2600</v>
      </c>
      <c r="L243" s="62">
        <v>3</v>
      </c>
      <c r="M243" s="62">
        <v>2</v>
      </c>
      <c r="N243" s="64" t="s">
        <v>198</v>
      </c>
      <c r="O243" s="29">
        <v>0</v>
      </c>
      <c r="P243" s="25"/>
      <c r="Q243" s="25"/>
      <c r="R243" s="39">
        <v>4</v>
      </c>
      <c r="S243" s="39">
        <v>3.3</v>
      </c>
      <c r="T243" s="44">
        <v>5.71</v>
      </c>
      <c r="U243" s="65" t="s">
        <v>190</v>
      </c>
    </row>
    <row r="244" spans="1:21" ht="38.25" customHeight="1" x14ac:dyDescent="0.3">
      <c r="A244" s="18">
        <v>43852</v>
      </c>
      <c r="B244" s="100">
        <v>0.70297453703703694</v>
      </c>
      <c r="C244" s="20"/>
      <c r="D244" s="20">
        <v>0</v>
      </c>
      <c r="E244" s="32">
        <v>18</v>
      </c>
      <c r="F244" s="72" t="s">
        <v>0</v>
      </c>
      <c r="G244" s="72" t="s">
        <v>4</v>
      </c>
      <c r="H244" s="27"/>
      <c r="I244" s="27"/>
      <c r="J244" s="27"/>
      <c r="K244" s="23">
        <v>2000</v>
      </c>
      <c r="L244" s="62">
        <v>3</v>
      </c>
      <c r="M244" s="62">
        <v>2</v>
      </c>
      <c r="N244" s="64" t="s">
        <v>198</v>
      </c>
      <c r="O244" s="29">
        <v>0</v>
      </c>
      <c r="P244" s="25"/>
      <c r="Q244" s="25"/>
      <c r="R244" s="39"/>
      <c r="S244" s="39"/>
      <c r="T244" s="44"/>
      <c r="U244" s="65"/>
    </row>
    <row r="245" spans="1:21" ht="38.25" customHeight="1" x14ac:dyDescent="0.3">
      <c r="A245" s="18">
        <v>43852</v>
      </c>
      <c r="B245" s="100">
        <v>0.70333333333333325</v>
      </c>
      <c r="C245" s="20"/>
      <c r="D245" s="20">
        <v>30</v>
      </c>
      <c r="E245" s="32">
        <v>18</v>
      </c>
      <c r="F245" s="72" t="s">
        <v>0</v>
      </c>
      <c r="G245" s="72" t="s">
        <v>128</v>
      </c>
      <c r="H245" s="27"/>
      <c r="I245" s="27"/>
      <c r="J245" s="27"/>
      <c r="K245" s="28">
        <v>2000</v>
      </c>
      <c r="L245" s="82">
        <v>1</v>
      </c>
      <c r="M245" s="62">
        <v>2</v>
      </c>
      <c r="N245" s="64" t="s">
        <v>198</v>
      </c>
      <c r="O245" s="29">
        <v>0</v>
      </c>
      <c r="P245" s="25"/>
      <c r="Q245" s="25"/>
      <c r="R245" s="39"/>
      <c r="S245" s="39"/>
      <c r="T245" s="44"/>
      <c r="U245" s="65"/>
    </row>
    <row r="246" spans="1:21" ht="38.25" customHeight="1" x14ac:dyDescent="0.3">
      <c r="A246" s="18">
        <v>43852</v>
      </c>
      <c r="B246" s="100">
        <v>0.70374999999999999</v>
      </c>
      <c r="C246" s="20"/>
      <c r="D246" s="20">
        <v>60</v>
      </c>
      <c r="E246" s="32">
        <v>18</v>
      </c>
      <c r="F246" s="72" t="s">
        <v>114</v>
      </c>
      <c r="G246" s="72" t="s">
        <v>2</v>
      </c>
      <c r="H246" s="27"/>
      <c r="I246" s="27"/>
      <c r="J246" s="27"/>
      <c r="K246" s="28">
        <v>2000</v>
      </c>
      <c r="L246" s="62">
        <v>1</v>
      </c>
      <c r="M246" s="62">
        <v>2</v>
      </c>
      <c r="N246" s="64" t="s">
        <v>198</v>
      </c>
      <c r="O246" s="29">
        <v>0</v>
      </c>
      <c r="P246" s="25"/>
      <c r="Q246" s="25"/>
      <c r="R246" s="39">
        <v>2.9</v>
      </c>
      <c r="S246" s="39">
        <v>1.6</v>
      </c>
      <c r="T246" s="44">
        <v>4.32</v>
      </c>
      <c r="U246" s="65"/>
    </row>
    <row r="247" spans="1:21" ht="38.25" customHeight="1" x14ac:dyDescent="0.3">
      <c r="A247" s="18">
        <v>43852</v>
      </c>
      <c r="B247" s="101">
        <v>0.70458333333333334</v>
      </c>
      <c r="C247" s="83"/>
      <c r="D247" s="83">
        <v>30</v>
      </c>
      <c r="E247" s="32">
        <v>18</v>
      </c>
      <c r="F247" s="72" t="s">
        <v>0</v>
      </c>
      <c r="G247" s="72" t="s">
        <v>128</v>
      </c>
      <c r="H247" s="27"/>
      <c r="I247" s="27"/>
      <c r="J247" s="27"/>
      <c r="K247" s="28">
        <v>2000</v>
      </c>
      <c r="L247" s="82">
        <v>2</v>
      </c>
      <c r="M247" s="62">
        <v>2</v>
      </c>
      <c r="N247" s="64" t="s">
        <v>198</v>
      </c>
      <c r="O247" s="29">
        <v>0</v>
      </c>
      <c r="P247" s="25"/>
      <c r="Q247" s="25"/>
      <c r="R247" s="39"/>
      <c r="S247" s="39"/>
      <c r="T247" s="44"/>
      <c r="U247" s="65"/>
    </row>
    <row r="248" spans="1:21" ht="38.25" customHeight="1" x14ac:dyDescent="0.3">
      <c r="A248" s="18">
        <v>43852</v>
      </c>
      <c r="B248" s="101">
        <v>0.70498842592592592</v>
      </c>
      <c r="C248" s="83"/>
      <c r="D248" s="83">
        <v>60</v>
      </c>
      <c r="E248" s="32">
        <v>18</v>
      </c>
      <c r="F248" s="72" t="s">
        <v>114</v>
      </c>
      <c r="G248" s="72" t="s">
        <v>2</v>
      </c>
      <c r="H248" s="27"/>
      <c r="I248" s="27"/>
      <c r="J248" s="27"/>
      <c r="K248" s="28">
        <v>2000</v>
      </c>
      <c r="L248" s="62">
        <v>2</v>
      </c>
      <c r="M248" s="62">
        <v>2</v>
      </c>
      <c r="N248" s="64" t="s">
        <v>198</v>
      </c>
      <c r="O248" s="29">
        <v>0</v>
      </c>
      <c r="P248" s="25"/>
      <c r="Q248" s="25"/>
      <c r="R248" s="39">
        <v>2.9</v>
      </c>
      <c r="S248" s="39">
        <v>1.6</v>
      </c>
      <c r="T248" s="44">
        <v>4.3099999999999996</v>
      </c>
      <c r="U248" s="65"/>
    </row>
    <row r="249" spans="1:21" ht="38.25" customHeight="1" x14ac:dyDescent="0.3">
      <c r="A249" s="18">
        <v>43852</v>
      </c>
      <c r="B249" s="101">
        <v>0.70572916666666663</v>
      </c>
      <c r="C249" s="83"/>
      <c r="D249" s="83">
        <v>30</v>
      </c>
      <c r="E249" s="32">
        <v>18</v>
      </c>
      <c r="F249" s="72" t="s">
        <v>0</v>
      </c>
      <c r="G249" s="72" t="s">
        <v>128</v>
      </c>
      <c r="H249" s="27"/>
      <c r="I249" s="27"/>
      <c r="J249" s="27"/>
      <c r="K249" s="28">
        <v>2000</v>
      </c>
      <c r="L249" s="82">
        <v>3</v>
      </c>
      <c r="M249" s="62">
        <v>2</v>
      </c>
      <c r="N249" s="64" t="s">
        <v>198</v>
      </c>
      <c r="O249" s="29">
        <v>0</v>
      </c>
      <c r="P249" s="25"/>
      <c r="Q249" s="25"/>
      <c r="R249" s="39"/>
      <c r="S249" s="39"/>
      <c r="T249" s="44"/>
      <c r="U249" s="65"/>
    </row>
    <row r="250" spans="1:21" ht="38.25" customHeight="1" x14ac:dyDescent="0.3">
      <c r="A250" s="18">
        <v>43852</v>
      </c>
      <c r="B250" s="101">
        <v>0.70604166666666668</v>
      </c>
      <c r="C250" s="83"/>
      <c r="D250" s="83">
        <v>60</v>
      </c>
      <c r="E250" s="32">
        <v>18</v>
      </c>
      <c r="F250" s="72" t="s">
        <v>114</v>
      </c>
      <c r="G250" s="72" t="s">
        <v>2</v>
      </c>
      <c r="H250" s="27"/>
      <c r="I250" s="27"/>
      <c r="J250" s="27"/>
      <c r="K250" s="28">
        <v>2000</v>
      </c>
      <c r="L250" s="62">
        <v>3</v>
      </c>
      <c r="M250" s="62">
        <v>2</v>
      </c>
      <c r="N250" s="64" t="s">
        <v>198</v>
      </c>
      <c r="O250" s="29">
        <v>0</v>
      </c>
      <c r="P250" s="25"/>
      <c r="Q250" s="25"/>
      <c r="R250" s="39">
        <v>2.9</v>
      </c>
      <c r="S250" s="39">
        <v>1.6</v>
      </c>
      <c r="T250" s="44">
        <v>4.3099999999999996</v>
      </c>
      <c r="U250" s="65"/>
    </row>
    <row r="251" spans="1:21" ht="38.25" customHeight="1" x14ac:dyDescent="0.3">
      <c r="A251" s="18">
        <v>43852</v>
      </c>
      <c r="B251" s="100">
        <v>0.70700231481481479</v>
      </c>
      <c r="C251" s="20"/>
      <c r="D251" s="20">
        <v>0</v>
      </c>
      <c r="E251" s="21">
        <v>19</v>
      </c>
      <c r="F251" s="72" t="s">
        <v>0</v>
      </c>
      <c r="G251" s="72" t="s">
        <v>4</v>
      </c>
      <c r="H251" s="27"/>
      <c r="I251" s="27"/>
      <c r="J251" s="27"/>
      <c r="K251" s="23">
        <v>2300</v>
      </c>
      <c r="L251" s="62">
        <v>3</v>
      </c>
      <c r="M251" s="62">
        <v>2</v>
      </c>
      <c r="N251" s="64" t="s">
        <v>198</v>
      </c>
      <c r="O251" s="29">
        <v>0</v>
      </c>
      <c r="P251" s="25"/>
      <c r="Q251" s="25"/>
      <c r="R251" s="39"/>
      <c r="S251" s="39"/>
      <c r="T251" s="44"/>
      <c r="U251" s="65"/>
    </row>
    <row r="252" spans="1:21" ht="38.25" customHeight="1" x14ac:dyDescent="0.3">
      <c r="A252" s="18">
        <v>43852</v>
      </c>
      <c r="B252" s="100">
        <v>0.70708333333333329</v>
      </c>
      <c r="C252" s="20"/>
      <c r="D252" s="20">
        <v>30</v>
      </c>
      <c r="E252" s="21">
        <v>19</v>
      </c>
      <c r="F252" s="72" t="s">
        <v>0</v>
      </c>
      <c r="G252" s="72" t="s">
        <v>128</v>
      </c>
      <c r="H252" s="27"/>
      <c r="I252" s="27"/>
      <c r="J252" s="27"/>
      <c r="K252" s="28">
        <v>2300</v>
      </c>
      <c r="L252" s="82">
        <v>1</v>
      </c>
      <c r="M252" s="62">
        <v>2</v>
      </c>
      <c r="N252" s="64" t="s">
        <v>198</v>
      </c>
      <c r="O252" s="29">
        <v>0</v>
      </c>
      <c r="P252" s="25"/>
      <c r="Q252" s="25"/>
      <c r="R252" s="39"/>
      <c r="S252" s="39"/>
      <c r="T252" s="44"/>
      <c r="U252" s="65"/>
    </row>
    <row r="253" spans="1:21" ht="38.25" customHeight="1" x14ac:dyDescent="0.3">
      <c r="A253" s="18">
        <v>43852</v>
      </c>
      <c r="B253" s="100">
        <v>0.70745370370370375</v>
      </c>
      <c r="C253" s="20"/>
      <c r="D253" s="20">
        <v>60</v>
      </c>
      <c r="E253" s="21">
        <v>19</v>
      </c>
      <c r="F253" s="72" t="s">
        <v>114</v>
      </c>
      <c r="G253" s="72" t="s">
        <v>2</v>
      </c>
      <c r="H253" s="27"/>
      <c r="I253" s="27"/>
      <c r="J253" s="27"/>
      <c r="K253" s="28">
        <v>2300</v>
      </c>
      <c r="L253" s="62">
        <v>1</v>
      </c>
      <c r="M253" s="62">
        <v>2</v>
      </c>
      <c r="N253" s="64" t="s">
        <v>198</v>
      </c>
      <c r="O253" s="29">
        <v>0</v>
      </c>
      <c r="P253" s="25"/>
      <c r="Q253" s="25"/>
      <c r="R253" s="39">
        <v>3.4</v>
      </c>
      <c r="S253" s="39">
        <v>2.2999999999999998</v>
      </c>
      <c r="T253" s="44">
        <v>5.01</v>
      </c>
      <c r="U253" s="65"/>
    </row>
    <row r="254" spans="1:21" ht="38.25" customHeight="1" x14ac:dyDescent="0.3">
      <c r="A254" s="18">
        <v>43852</v>
      </c>
      <c r="B254" s="101">
        <v>0.70814814814814808</v>
      </c>
      <c r="C254" s="83"/>
      <c r="D254" s="83">
        <v>30</v>
      </c>
      <c r="E254" s="21">
        <v>19</v>
      </c>
      <c r="F254" s="72" t="s">
        <v>0</v>
      </c>
      <c r="G254" s="72" t="s">
        <v>128</v>
      </c>
      <c r="H254" s="27"/>
      <c r="I254" s="27"/>
      <c r="J254" s="27"/>
      <c r="K254" s="28">
        <v>2300</v>
      </c>
      <c r="L254" s="82">
        <v>2</v>
      </c>
      <c r="M254" s="62">
        <v>2</v>
      </c>
      <c r="N254" s="64" t="s">
        <v>198</v>
      </c>
      <c r="O254" s="29">
        <v>0</v>
      </c>
      <c r="P254" s="25"/>
      <c r="Q254" s="25"/>
      <c r="R254" s="39"/>
      <c r="S254" s="39"/>
      <c r="T254" s="44"/>
      <c r="U254" s="65"/>
    </row>
    <row r="255" spans="1:21" ht="38.25" customHeight="1" x14ac:dyDescent="0.3">
      <c r="A255" s="18">
        <v>43852</v>
      </c>
      <c r="B255" s="101">
        <v>0.70855324074074078</v>
      </c>
      <c r="C255" s="83"/>
      <c r="D255" s="83">
        <v>60</v>
      </c>
      <c r="E255" s="21">
        <v>19</v>
      </c>
      <c r="F255" s="72" t="s">
        <v>114</v>
      </c>
      <c r="G255" s="72" t="s">
        <v>2</v>
      </c>
      <c r="H255" s="27"/>
      <c r="I255" s="27"/>
      <c r="J255" s="27"/>
      <c r="K255" s="28">
        <v>2300</v>
      </c>
      <c r="L255" s="62">
        <v>2</v>
      </c>
      <c r="M255" s="62">
        <v>2</v>
      </c>
      <c r="N255" s="64" t="s">
        <v>198</v>
      </c>
      <c r="O255" s="29">
        <v>0</v>
      </c>
      <c r="P255" s="25"/>
      <c r="Q255" s="25"/>
      <c r="R255" s="39">
        <v>3.4</v>
      </c>
      <c r="S255" s="39">
        <v>2.2999999999999998</v>
      </c>
      <c r="T255" s="44">
        <v>5.01</v>
      </c>
      <c r="U255" s="65"/>
    </row>
    <row r="256" spans="1:21" ht="38.25" customHeight="1" x14ac:dyDescent="0.3">
      <c r="A256" s="18">
        <v>43852</v>
      </c>
      <c r="B256" s="101">
        <v>0.70925925925925926</v>
      </c>
      <c r="C256" s="83"/>
      <c r="D256" s="83">
        <v>30</v>
      </c>
      <c r="E256" s="21">
        <v>19</v>
      </c>
      <c r="F256" s="72" t="s">
        <v>0</v>
      </c>
      <c r="G256" s="72" t="s">
        <v>128</v>
      </c>
      <c r="H256" s="27"/>
      <c r="I256" s="27"/>
      <c r="J256" s="27"/>
      <c r="K256" s="28">
        <v>2300</v>
      </c>
      <c r="L256" s="82">
        <v>3</v>
      </c>
      <c r="M256" s="62">
        <v>2</v>
      </c>
      <c r="N256" s="64" t="s">
        <v>198</v>
      </c>
      <c r="O256" s="29">
        <v>0</v>
      </c>
      <c r="P256" s="25"/>
      <c r="Q256" s="25"/>
      <c r="R256" s="39"/>
      <c r="S256" s="39"/>
      <c r="T256" s="44"/>
      <c r="U256" s="65"/>
    </row>
    <row r="257" spans="1:21" ht="38.25" customHeight="1" x14ac:dyDescent="0.3">
      <c r="A257" s="18">
        <v>43852</v>
      </c>
      <c r="B257" s="101">
        <v>0.70960648148148142</v>
      </c>
      <c r="C257" s="83"/>
      <c r="D257" s="83">
        <v>60</v>
      </c>
      <c r="E257" s="21">
        <v>19</v>
      </c>
      <c r="F257" s="72" t="s">
        <v>114</v>
      </c>
      <c r="G257" s="72" t="s">
        <v>2</v>
      </c>
      <c r="H257" s="27"/>
      <c r="I257" s="27"/>
      <c r="J257" s="27"/>
      <c r="K257" s="28">
        <v>2300</v>
      </c>
      <c r="L257" s="62">
        <v>3</v>
      </c>
      <c r="M257" s="62">
        <v>2</v>
      </c>
      <c r="N257" s="64" t="s">
        <v>198</v>
      </c>
      <c r="O257" s="29">
        <v>0</v>
      </c>
      <c r="P257" s="25"/>
      <c r="Q257" s="25"/>
      <c r="R257" s="39">
        <v>3.4</v>
      </c>
      <c r="S257" s="39">
        <v>2.2999999999999998</v>
      </c>
      <c r="T257" s="44">
        <v>5.01</v>
      </c>
      <c r="U257" s="65"/>
    </row>
    <row r="258" spans="1:21" ht="38.25" customHeight="1" x14ac:dyDescent="0.3">
      <c r="A258" s="18">
        <v>43852</v>
      </c>
      <c r="B258" s="100">
        <v>0.71037037037037043</v>
      </c>
      <c r="C258" s="20"/>
      <c r="D258" s="20">
        <v>0</v>
      </c>
      <c r="E258" s="32">
        <v>20</v>
      </c>
      <c r="F258" s="72" t="s">
        <v>0</v>
      </c>
      <c r="G258" s="72" t="s">
        <v>4</v>
      </c>
      <c r="H258" s="27"/>
      <c r="I258" s="27"/>
      <c r="J258" s="27"/>
      <c r="K258" s="23">
        <v>2900</v>
      </c>
      <c r="L258" s="62">
        <v>3</v>
      </c>
      <c r="M258" s="62">
        <v>2</v>
      </c>
      <c r="N258" s="64" t="s">
        <v>198</v>
      </c>
      <c r="O258" s="29">
        <v>0</v>
      </c>
      <c r="P258" s="25"/>
      <c r="Q258" s="25"/>
      <c r="R258" s="39"/>
      <c r="S258" s="39"/>
      <c r="T258" s="44"/>
      <c r="U258" s="65"/>
    </row>
    <row r="259" spans="1:21" ht="38.25" customHeight="1" x14ac:dyDescent="0.3">
      <c r="A259" s="18">
        <v>43852</v>
      </c>
      <c r="B259" s="100">
        <v>0.71045138888888892</v>
      </c>
      <c r="C259" s="20"/>
      <c r="D259" s="20">
        <v>30</v>
      </c>
      <c r="E259" s="32">
        <v>20</v>
      </c>
      <c r="F259" s="72" t="s">
        <v>0</v>
      </c>
      <c r="G259" s="72" t="s">
        <v>128</v>
      </c>
      <c r="H259" s="27"/>
      <c r="I259" s="27"/>
      <c r="J259" s="27"/>
      <c r="K259" s="28">
        <v>2900</v>
      </c>
      <c r="L259" s="82">
        <v>1</v>
      </c>
      <c r="M259" s="62">
        <v>2</v>
      </c>
      <c r="N259" s="64" t="s">
        <v>198</v>
      </c>
      <c r="O259" s="29">
        <v>0</v>
      </c>
      <c r="P259" s="25"/>
      <c r="Q259" s="25"/>
      <c r="R259" s="39"/>
      <c r="S259" s="39"/>
      <c r="T259" s="44"/>
      <c r="U259" s="65"/>
    </row>
    <row r="260" spans="1:21" ht="38.25" customHeight="1" x14ac:dyDescent="0.3">
      <c r="A260" s="18">
        <v>43852</v>
      </c>
      <c r="B260" s="100">
        <v>0.71096064814814808</v>
      </c>
      <c r="C260" s="20"/>
      <c r="D260" s="20">
        <v>60</v>
      </c>
      <c r="E260" s="32">
        <v>20</v>
      </c>
      <c r="F260" s="72" t="s">
        <v>114</v>
      </c>
      <c r="G260" s="72" t="s">
        <v>2</v>
      </c>
      <c r="H260" s="27"/>
      <c r="I260" s="27"/>
      <c r="J260" s="27"/>
      <c r="K260" s="28">
        <v>2900</v>
      </c>
      <c r="L260" s="62">
        <v>1</v>
      </c>
      <c r="M260" s="62">
        <v>2</v>
      </c>
      <c r="N260" s="64" t="s">
        <v>198</v>
      </c>
      <c r="O260" s="29">
        <v>0</v>
      </c>
      <c r="P260" s="25"/>
      <c r="Q260" s="25"/>
      <c r="R260" s="39">
        <v>4.7</v>
      </c>
      <c r="S260" s="39">
        <v>4.5</v>
      </c>
      <c r="T260" s="44">
        <v>6.41</v>
      </c>
      <c r="U260" s="65"/>
    </row>
    <row r="261" spans="1:21" ht="38.25" customHeight="1" x14ac:dyDescent="0.3">
      <c r="A261" s="18">
        <v>43852</v>
      </c>
      <c r="B261" s="101">
        <v>0.71180555555555547</v>
      </c>
      <c r="C261" s="83"/>
      <c r="D261" s="83">
        <v>30</v>
      </c>
      <c r="E261" s="32">
        <v>20</v>
      </c>
      <c r="F261" s="72" t="s">
        <v>0</v>
      </c>
      <c r="G261" s="72" t="s">
        <v>128</v>
      </c>
      <c r="H261" s="27"/>
      <c r="I261" s="27"/>
      <c r="J261" s="27"/>
      <c r="K261" s="28">
        <v>2900</v>
      </c>
      <c r="L261" s="82">
        <v>2</v>
      </c>
      <c r="M261" s="62">
        <v>2</v>
      </c>
      <c r="N261" s="64" t="s">
        <v>198</v>
      </c>
      <c r="O261" s="29">
        <v>0</v>
      </c>
      <c r="P261" s="25"/>
      <c r="Q261" s="25"/>
      <c r="R261" s="39"/>
      <c r="S261" s="39"/>
      <c r="T261" s="44"/>
      <c r="U261" s="65"/>
    </row>
    <row r="262" spans="1:21" ht="38.25" customHeight="1" x14ac:dyDescent="0.3">
      <c r="A262" s="18">
        <v>43852</v>
      </c>
      <c r="B262" s="101">
        <v>0.71221064814814816</v>
      </c>
      <c r="C262" s="83"/>
      <c r="D262" s="83">
        <v>60</v>
      </c>
      <c r="E262" s="32">
        <v>20</v>
      </c>
      <c r="F262" s="72" t="s">
        <v>114</v>
      </c>
      <c r="G262" s="72" t="s">
        <v>2</v>
      </c>
      <c r="H262" s="27"/>
      <c r="I262" s="27"/>
      <c r="J262" s="27"/>
      <c r="K262" s="28">
        <v>2900</v>
      </c>
      <c r="L262" s="62">
        <v>2</v>
      </c>
      <c r="M262" s="62">
        <v>2</v>
      </c>
      <c r="N262" s="64" t="s">
        <v>198</v>
      </c>
      <c r="O262" s="29">
        <v>0</v>
      </c>
      <c r="P262" s="25"/>
      <c r="Q262" s="25"/>
      <c r="R262" s="39">
        <v>4.7</v>
      </c>
      <c r="S262" s="39">
        <v>4.5</v>
      </c>
      <c r="T262" s="44">
        <v>6.41</v>
      </c>
      <c r="U262" s="65"/>
    </row>
    <row r="263" spans="1:21" ht="38.25" customHeight="1" x14ac:dyDescent="0.3">
      <c r="A263" s="18">
        <v>43852</v>
      </c>
      <c r="B263" s="101">
        <v>0.71296296296296291</v>
      </c>
      <c r="C263" s="83"/>
      <c r="D263" s="83">
        <v>30</v>
      </c>
      <c r="E263" s="32">
        <v>20</v>
      </c>
      <c r="F263" s="72" t="s">
        <v>0</v>
      </c>
      <c r="G263" s="72" t="s">
        <v>128</v>
      </c>
      <c r="H263" s="27"/>
      <c r="I263" s="27"/>
      <c r="J263" s="27"/>
      <c r="K263" s="28">
        <v>2900</v>
      </c>
      <c r="L263" s="82">
        <v>3</v>
      </c>
      <c r="M263" s="62">
        <v>2</v>
      </c>
      <c r="N263" s="64" t="s">
        <v>198</v>
      </c>
      <c r="O263" s="29">
        <v>0</v>
      </c>
      <c r="P263" s="25"/>
      <c r="Q263" s="25"/>
      <c r="R263" s="39"/>
      <c r="S263" s="39"/>
      <c r="T263" s="44"/>
      <c r="U263" s="65"/>
    </row>
    <row r="264" spans="1:21" ht="38.25" customHeight="1" x14ac:dyDescent="0.3">
      <c r="A264" s="18">
        <v>43852</v>
      </c>
      <c r="B264" s="101">
        <v>0.71351851851851855</v>
      </c>
      <c r="C264" s="83"/>
      <c r="D264" s="83">
        <v>60</v>
      </c>
      <c r="E264" s="32">
        <v>20</v>
      </c>
      <c r="F264" s="72" t="s">
        <v>114</v>
      </c>
      <c r="G264" s="72" t="s">
        <v>2</v>
      </c>
      <c r="H264" s="27"/>
      <c r="I264" s="27"/>
      <c r="J264" s="27"/>
      <c r="K264" s="28">
        <v>2900</v>
      </c>
      <c r="L264" s="62">
        <v>3</v>
      </c>
      <c r="M264" s="62">
        <v>2</v>
      </c>
      <c r="N264" s="64" t="s">
        <v>198</v>
      </c>
      <c r="O264" s="29">
        <v>0</v>
      </c>
      <c r="P264" s="25"/>
      <c r="Q264" s="25"/>
      <c r="R264" s="39">
        <v>4.5999999999999996</v>
      </c>
      <c r="S264" s="39">
        <v>4.5</v>
      </c>
      <c r="T264" s="44">
        <v>6.4</v>
      </c>
      <c r="U264" s="65"/>
    </row>
    <row r="265" spans="1:21" ht="38.25" customHeight="1" x14ac:dyDescent="0.3">
      <c r="A265" s="18">
        <v>43852</v>
      </c>
      <c r="B265" s="100">
        <v>0.71454861111111112</v>
      </c>
      <c r="C265" s="20"/>
      <c r="D265" s="20">
        <v>0</v>
      </c>
      <c r="E265" s="21">
        <v>21</v>
      </c>
      <c r="F265" s="72" t="s">
        <v>0</v>
      </c>
      <c r="G265" s="72" t="s">
        <v>4</v>
      </c>
      <c r="H265" s="27"/>
      <c r="I265" s="27"/>
      <c r="J265" s="27"/>
      <c r="K265" s="23">
        <v>3200</v>
      </c>
      <c r="L265" s="62">
        <v>3</v>
      </c>
      <c r="M265" s="62">
        <v>2</v>
      </c>
      <c r="N265" s="64" t="s">
        <v>198</v>
      </c>
      <c r="O265" s="29">
        <v>0</v>
      </c>
      <c r="P265" s="25"/>
      <c r="Q265" s="25"/>
      <c r="R265" s="39"/>
      <c r="S265" s="39"/>
      <c r="T265" s="44"/>
      <c r="U265" s="65"/>
    </row>
    <row r="266" spans="1:21" ht="38.25" customHeight="1" x14ac:dyDescent="0.3">
      <c r="A266" s="18">
        <v>43852</v>
      </c>
      <c r="B266" s="100">
        <v>0.71462962962962961</v>
      </c>
      <c r="C266" s="20"/>
      <c r="D266" s="20">
        <v>30</v>
      </c>
      <c r="E266" s="21">
        <v>21</v>
      </c>
      <c r="F266" s="72" t="s">
        <v>0</v>
      </c>
      <c r="G266" s="72" t="s">
        <v>128</v>
      </c>
      <c r="H266" s="27"/>
      <c r="I266" s="27"/>
      <c r="J266" s="27"/>
      <c r="K266" s="28">
        <v>3200</v>
      </c>
      <c r="L266" s="82">
        <v>1</v>
      </c>
      <c r="M266" s="62">
        <v>2</v>
      </c>
      <c r="N266" s="64" t="s">
        <v>198</v>
      </c>
      <c r="O266" s="29">
        <v>0</v>
      </c>
      <c r="P266" s="25"/>
      <c r="Q266" s="25"/>
      <c r="R266" s="39"/>
      <c r="S266" s="39"/>
      <c r="T266" s="44"/>
      <c r="U266" s="65"/>
    </row>
    <row r="267" spans="1:21" ht="38.25" customHeight="1" x14ac:dyDescent="0.3">
      <c r="A267" s="18">
        <v>43852</v>
      </c>
      <c r="B267" s="100">
        <v>0.71505787037037039</v>
      </c>
      <c r="C267" s="20"/>
      <c r="D267" s="20">
        <v>60</v>
      </c>
      <c r="E267" s="21">
        <v>21</v>
      </c>
      <c r="F267" s="72" t="s">
        <v>114</v>
      </c>
      <c r="G267" s="72" t="s">
        <v>2</v>
      </c>
      <c r="H267" s="27"/>
      <c r="I267" s="27"/>
      <c r="J267" s="27"/>
      <c r="K267" s="28">
        <v>3200</v>
      </c>
      <c r="L267" s="62">
        <v>1</v>
      </c>
      <c r="M267" s="62">
        <v>2</v>
      </c>
      <c r="N267" s="64" t="s">
        <v>198</v>
      </c>
      <c r="O267" s="29">
        <v>0</v>
      </c>
      <c r="P267" s="25"/>
      <c r="Q267" s="25"/>
      <c r="R267" s="39">
        <v>5.5</v>
      </c>
      <c r="S267" s="39">
        <v>6.1</v>
      </c>
      <c r="T267" s="44">
        <v>7.11</v>
      </c>
      <c r="U267" s="65"/>
    </row>
    <row r="268" spans="1:21" ht="38.25" customHeight="1" x14ac:dyDescent="0.3">
      <c r="A268" s="18">
        <v>43852</v>
      </c>
      <c r="B268" s="101">
        <v>0.71582175925925917</v>
      </c>
      <c r="C268" s="83"/>
      <c r="D268" s="83">
        <v>30</v>
      </c>
      <c r="E268" s="21">
        <v>21</v>
      </c>
      <c r="F268" s="72" t="s">
        <v>0</v>
      </c>
      <c r="G268" s="72" t="s">
        <v>128</v>
      </c>
      <c r="H268" s="27"/>
      <c r="I268" s="27"/>
      <c r="J268" s="27"/>
      <c r="K268" s="28">
        <v>3200</v>
      </c>
      <c r="L268" s="82">
        <v>2</v>
      </c>
      <c r="M268" s="62">
        <v>2</v>
      </c>
      <c r="N268" s="64" t="s">
        <v>198</v>
      </c>
      <c r="O268" s="29">
        <v>0</v>
      </c>
      <c r="P268" s="25"/>
      <c r="Q268" s="25"/>
      <c r="R268" s="39"/>
      <c r="S268" s="39"/>
      <c r="T268" s="44"/>
      <c r="U268" s="65"/>
    </row>
    <row r="269" spans="1:21" ht="38.25" customHeight="1" x14ac:dyDescent="0.3">
      <c r="A269" s="18">
        <v>43852</v>
      </c>
      <c r="B269" s="101">
        <v>0.71616898148148145</v>
      </c>
      <c r="C269" s="83"/>
      <c r="D269" s="83">
        <v>60</v>
      </c>
      <c r="E269" s="21">
        <v>21</v>
      </c>
      <c r="F269" s="72" t="s">
        <v>114</v>
      </c>
      <c r="G269" s="72" t="s">
        <v>2</v>
      </c>
      <c r="H269" s="27"/>
      <c r="I269" s="27"/>
      <c r="J269" s="27"/>
      <c r="K269" s="28">
        <v>3200</v>
      </c>
      <c r="L269" s="62">
        <v>2</v>
      </c>
      <c r="M269" s="62">
        <v>2</v>
      </c>
      <c r="N269" s="64" t="s">
        <v>198</v>
      </c>
      <c r="O269" s="29">
        <v>0</v>
      </c>
      <c r="P269" s="25"/>
      <c r="Q269" s="25"/>
      <c r="R269" s="39">
        <v>5.5</v>
      </c>
      <c r="S269" s="39">
        <v>6.1</v>
      </c>
      <c r="T269" s="44">
        <v>7.11</v>
      </c>
      <c r="U269" s="65"/>
    </row>
    <row r="270" spans="1:21" ht="38.25" customHeight="1" x14ac:dyDescent="0.3">
      <c r="A270" s="18">
        <v>43852</v>
      </c>
      <c r="B270" s="101">
        <v>0.71688657407407408</v>
      </c>
      <c r="C270" s="83"/>
      <c r="D270" s="83">
        <v>30</v>
      </c>
      <c r="E270" s="21">
        <v>21</v>
      </c>
      <c r="F270" s="72" t="s">
        <v>0</v>
      </c>
      <c r="G270" s="72" t="s">
        <v>128</v>
      </c>
      <c r="H270" s="27"/>
      <c r="I270" s="27"/>
      <c r="J270" s="27"/>
      <c r="K270" s="28">
        <v>3200</v>
      </c>
      <c r="L270" s="82">
        <v>3</v>
      </c>
      <c r="M270" s="62">
        <v>2</v>
      </c>
      <c r="N270" s="64" t="s">
        <v>198</v>
      </c>
      <c r="O270" s="29">
        <v>0</v>
      </c>
      <c r="P270" s="25"/>
      <c r="Q270" s="25"/>
      <c r="R270" s="39"/>
      <c r="S270" s="39"/>
      <c r="T270" s="44"/>
      <c r="U270" s="65"/>
    </row>
    <row r="271" spans="1:21" ht="38.25" customHeight="1" x14ac:dyDescent="0.3">
      <c r="A271" s="18">
        <v>43852</v>
      </c>
      <c r="B271" s="101">
        <v>0.71725694444444443</v>
      </c>
      <c r="C271" s="83"/>
      <c r="D271" s="83">
        <v>60</v>
      </c>
      <c r="E271" s="21">
        <v>21</v>
      </c>
      <c r="F271" s="72" t="s">
        <v>114</v>
      </c>
      <c r="G271" s="72" t="s">
        <v>2</v>
      </c>
      <c r="H271" s="27"/>
      <c r="I271" s="27"/>
      <c r="J271" s="27"/>
      <c r="K271" s="28">
        <v>3200</v>
      </c>
      <c r="L271" s="62">
        <v>3</v>
      </c>
      <c r="M271" s="62">
        <v>2</v>
      </c>
      <c r="N271" s="64" t="s">
        <v>198</v>
      </c>
      <c r="O271" s="29">
        <v>0</v>
      </c>
      <c r="P271" s="25"/>
      <c r="Q271" s="25"/>
      <c r="R271" s="39">
        <v>5.5</v>
      </c>
      <c r="S271" s="39">
        <v>6.1</v>
      </c>
      <c r="T271" s="44">
        <v>7.11</v>
      </c>
      <c r="U271" s="65"/>
    </row>
    <row r="272" spans="1:21" ht="38.25" customHeight="1" x14ac:dyDescent="0.3">
      <c r="A272" s="18">
        <v>43852</v>
      </c>
      <c r="B272" s="101">
        <v>0.72737268518518527</v>
      </c>
      <c r="C272" s="83"/>
      <c r="D272" s="83">
        <v>30</v>
      </c>
      <c r="E272" s="32">
        <v>22</v>
      </c>
      <c r="F272" s="72" t="s">
        <v>0</v>
      </c>
      <c r="G272" s="72" t="s">
        <v>147</v>
      </c>
      <c r="H272" s="27"/>
      <c r="I272" s="27"/>
      <c r="J272" s="27"/>
      <c r="K272" s="23">
        <v>3200</v>
      </c>
      <c r="L272" s="82" t="s">
        <v>2</v>
      </c>
      <c r="M272" s="82" t="s">
        <v>2</v>
      </c>
      <c r="N272" s="64" t="s">
        <v>2</v>
      </c>
      <c r="O272" s="29">
        <v>0</v>
      </c>
      <c r="P272" s="25"/>
      <c r="Q272" s="25"/>
      <c r="R272" s="39"/>
      <c r="S272" s="39"/>
      <c r="T272" s="44"/>
      <c r="U272" s="65"/>
    </row>
    <row r="273" spans="1:21" ht="38.25" customHeight="1" x14ac:dyDescent="0.3">
      <c r="A273" s="18">
        <v>43852</v>
      </c>
      <c r="B273" s="101">
        <v>0.72895833333333337</v>
      </c>
      <c r="C273" s="83"/>
      <c r="D273" s="83">
        <v>60</v>
      </c>
      <c r="E273" s="32">
        <v>22</v>
      </c>
      <c r="F273" s="72" t="s">
        <v>136</v>
      </c>
      <c r="G273" s="72" t="s">
        <v>2</v>
      </c>
      <c r="H273" s="27"/>
      <c r="I273" s="27"/>
      <c r="J273" s="27"/>
      <c r="K273" s="28">
        <v>3200</v>
      </c>
      <c r="L273" s="62" t="s">
        <v>2</v>
      </c>
      <c r="M273" s="62" t="s">
        <v>2</v>
      </c>
      <c r="N273" s="64" t="s">
        <v>2</v>
      </c>
      <c r="O273" s="29">
        <v>0</v>
      </c>
      <c r="P273" s="25"/>
      <c r="Q273" s="25"/>
      <c r="R273" s="39">
        <v>5.4</v>
      </c>
      <c r="S273" s="39">
        <v>6.1</v>
      </c>
      <c r="T273" s="44">
        <v>7.12</v>
      </c>
      <c r="U273" s="65"/>
    </row>
    <row r="274" spans="1:21" ht="38.25" customHeight="1" x14ac:dyDescent="0.3">
      <c r="A274" s="18">
        <v>43852</v>
      </c>
      <c r="B274" s="101">
        <v>0.73039351851851853</v>
      </c>
      <c r="C274" s="83"/>
      <c r="D274" s="83">
        <v>60</v>
      </c>
      <c r="E274" s="32">
        <v>22</v>
      </c>
      <c r="F274" s="72" t="s">
        <v>0</v>
      </c>
      <c r="G274" s="72" t="s">
        <v>4</v>
      </c>
      <c r="H274" s="27"/>
      <c r="I274" s="27"/>
      <c r="J274" s="27"/>
      <c r="K274" s="23">
        <v>2600</v>
      </c>
      <c r="L274" s="62" t="s">
        <v>2</v>
      </c>
      <c r="M274" s="62" t="s">
        <v>2</v>
      </c>
      <c r="N274" s="64" t="s">
        <v>2</v>
      </c>
      <c r="O274" s="29">
        <v>0</v>
      </c>
      <c r="P274" s="25"/>
      <c r="Q274" s="25"/>
      <c r="R274" s="39"/>
      <c r="S274" s="39"/>
      <c r="T274" s="44"/>
      <c r="U274" s="65"/>
    </row>
    <row r="275" spans="1:21" ht="38.25" customHeight="1" x14ac:dyDescent="0.3">
      <c r="A275" s="18">
        <v>43852</v>
      </c>
      <c r="B275" s="101">
        <v>0.7311805555555555</v>
      </c>
      <c r="C275" s="83"/>
      <c r="D275" s="83">
        <v>60</v>
      </c>
      <c r="E275" s="32">
        <v>22</v>
      </c>
      <c r="F275" s="72" t="s">
        <v>136</v>
      </c>
      <c r="G275" s="72" t="s">
        <v>2</v>
      </c>
      <c r="H275" s="27"/>
      <c r="I275" s="27"/>
      <c r="J275" s="27"/>
      <c r="K275" s="28">
        <v>2600</v>
      </c>
      <c r="L275" s="62" t="s">
        <v>2</v>
      </c>
      <c r="M275" s="62" t="s">
        <v>2</v>
      </c>
      <c r="N275" s="64" t="s">
        <v>2</v>
      </c>
      <c r="O275" s="29">
        <v>0</v>
      </c>
      <c r="P275" s="25"/>
      <c r="Q275" s="25"/>
      <c r="R275" s="39">
        <v>3.9</v>
      </c>
      <c r="S275" s="39">
        <v>3.3</v>
      </c>
      <c r="T275" s="44">
        <v>5.72</v>
      </c>
      <c r="U275" s="65"/>
    </row>
    <row r="276" spans="1:21" ht="38.25" customHeight="1" x14ac:dyDescent="0.3">
      <c r="A276" s="18">
        <v>43852</v>
      </c>
      <c r="B276" s="101">
        <v>0.73228009259259252</v>
      </c>
      <c r="C276" s="83"/>
      <c r="D276" s="83" t="s">
        <v>2</v>
      </c>
      <c r="E276" s="30" t="s">
        <v>2</v>
      </c>
      <c r="F276" s="72" t="s">
        <v>124</v>
      </c>
      <c r="G276" s="72" t="s">
        <v>2</v>
      </c>
      <c r="H276" s="27"/>
      <c r="I276" s="27"/>
      <c r="J276" s="27"/>
      <c r="K276" s="28">
        <v>2600</v>
      </c>
      <c r="L276" s="62" t="s">
        <v>2</v>
      </c>
      <c r="M276" s="62" t="s">
        <v>2</v>
      </c>
      <c r="N276" s="64" t="s">
        <v>2</v>
      </c>
      <c r="O276" s="29">
        <v>0</v>
      </c>
      <c r="P276" s="25"/>
      <c r="Q276" s="25"/>
      <c r="R276" s="39"/>
      <c r="S276" s="39"/>
      <c r="T276" s="44"/>
      <c r="U276" s="65"/>
    </row>
  </sheetData>
  <protectedRanges>
    <protectedRange algorithmName="SHA-512" hashValue="4NhdbTyulRXZkBEq7Mn6+VKgOZdKtlfacISEdowO5xIUCa7OlX5LdkGNxnngfJg/0C5iD9A0fDWAkH//tV2WEg==" saltValue="4IZ1hkVaCZH46leZVUmsLQ==" spinCount="100000" sqref="A2:G3" name="Range1"/>
  </protectedRanges>
  <mergeCells count="2">
    <mergeCell ref="H1:O1"/>
    <mergeCell ref="P1:T1"/>
  </mergeCells>
  <dataValidations count="1">
    <dataValidation showInputMessage="1" showErrorMessage="1" sqref="A10:B10 A4:A9 A11:A276"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3">
        <x14:dataValidation type="list" errorStyle="warning" allowBlank="1" showInputMessage="1" showErrorMessage="1" xr:uid="{8CB59A59-67F1-4AD3-8683-379B68590BB0}">
          <x14:formula1>
            <xm:f>'Categories definitions'!$D$2:$D$1048576</xm:f>
          </x14:formula1>
          <xm:sqref>L277:N1048576 N4:N1048576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F16"/>
  <sheetViews>
    <sheetView showGridLines="0" workbookViewId="0">
      <selection activeCell="D10" sqref="D10"/>
    </sheetView>
  </sheetViews>
  <sheetFormatPr defaultColWidth="36.33203125" defaultRowHeight="14.4" x14ac:dyDescent="0.3"/>
  <cols>
    <col min="1" max="1" width="3.109375" customWidth="1"/>
    <col min="2" max="2" width="40.88671875" customWidth="1"/>
    <col min="3" max="3" width="5.33203125" style="94" bestFit="1" customWidth="1"/>
    <col min="4" max="4" width="35.21875" customWidth="1"/>
    <col min="5" max="5" width="27.33203125" bestFit="1" customWidth="1"/>
    <col min="6" max="6" width="47.44140625" customWidth="1"/>
  </cols>
  <sheetData>
    <row r="2" spans="2:6" x14ac:dyDescent="0.3">
      <c r="B2" s="103" t="s">
        <v>183</v>
      </c>
      <c r="C2" s="103"/>
      <c r="D2" s="103"/>
      <c r="E2" s="103"/>
      <c r="F2" s="103"/>
    </row>
    <row r="3" spans="2:6" x14ac:dyDescent="0.3">
      <c r="B3" s="91" t="s">
        <v>62</v>
      </c>
      <c r="C3" s="91" t="s">
        <v>103</v>
      </c>
      <c r="D3" s="91" t="s">
        <v>66</v>
      </c>
      <c r="E3" s="92" t="s">
        <v>63</v>
      </c>
      <c r="F3" s="91" t="s">
        <v>64</v>
      </c>
    </row>
    <row r="4" spans="2:6" ht="15.6" x14ac:dyDescent="0.3">
      <c r="B4" s="4" t="s">
        <v>172</v>
      </c>
      <c r="C4" s="93">
        <v>3</v>
      </c>
      <c r="D4" s="4" t="s">
        <v>79</v>
      </c>
      <c r="E4" s="4" t="s">
        <v>2</v>
      </c>
      <c r="F4" s="4" t="s">
        <v>2</v>
      </c>
    </row>
    <row r="5" spans="2:6" ht="15.6" x14ac:dyDescent="0.3">
      <c r="B5" s="4" t="s">
        <v>174</v>
      </c>
      <c r="C5" s="93">
        <v>1</v>
      </c>
      <c r="D5" s="4" t="s">
        <v>173</v>
      </c>
      <c r="E5" s="4" t="s">
        <v>2</v>
      </c>
      <c r="F5" s="4" t="s">
        <v>2</v>
      </c>
    </row>
    <row r="6" spans="2:6" ht="15.6" x14ac:dyDescent="0.3">
      <c r="B6" s="4" t="s">
        <v>174</v>
      </c>
      <c r="C6" s="93">
        <v>1</v>
      </c>
      <c r="D6" s="4" t="s">
        <v>74</v>
      </c>
      <c r="E6" s="4" t="s">
        <v>2</v>
      </c>
      <c r="F6" s="4" t="s">
        <v>2</v>
      </c>
    </row>
    <row r="7" spans="2:6" ht="15.6" x14ac:dyDescent="0.3">
      <c r="B7" s="4" t="s">
        <v>175</v>
      </c>
      <c r="C7" s="93">
        <v>1</v>
      </c>
      <c r="D7" s="4" t="s">
        <v>74</v>
      </c>
      <c r="E7" s="4" t="s">
        <v>2</v>
      </c>
      <c r="F7" s="4" t="s">
        <v>2</v>
      </c>
    </row>
    <row r="8" spans="2:6" ht="15.6" x14ac:dyDescent="0.3">
      <c r="B8" s="4" t="s">
        <v>102</v>
      </c>
      <c r="C8" s="93">
        <v>2</v>
      </c>
      <c r="D8" s="4" t="s">
        <v>67</v>
      </c>
      <c r="E8" s="4" t="s">
        <v>72</v>
      </c>
      <c r="F8" s="4" t="s">
        <v>8</v>
      </c>
    </row>
    <row r="9" spans="2:6" ht="15.6" x14ac:dyDescent="0.3">
      <c r="B9" s="4" t="s">
        <v>102</v>
      </c>
      <c r="C9" s="93">
        <v>3</v>
      </c>
      <c r="D9" s="4" t="s">
        <v>67</v>
      </c>
      <c r="E9" s="4" t="s">
        <v>71</v>
      </c>
      <c r="F9" s="4" t="s">
        <v>8</v>
      </c>
    </row>
    <row r="10" spans="2:6" ht="15.6" x14ac:dyDescent="0.3">
      <c r="B10" s="4" t="s">
        <v>68</v>
      </c>
      <c r="C10" s="93">
        <v>1</v>
      </c>
      <c r="D10" s="4" t="s">
        <v>69</v>
      </c>
      <c r="E10" s="4" t="s">
        <v>76</v>
      </c>
      <c r="F10" s="4" t="s">
        <v>70</v>
      </c>
    </row>
    <row r="11" spans="2:6" ht="15.6" x14ac:dyDescent="0.3">
      <c r="B11" s="4" t="s">
        <v>68</v>
      </c>
      <c r="C11" s="93">
        <v>2</v>
      </c>
      <c r="D11" s="4" t="s">
        <v>69</v>
      </c>
      <c r="E11" s="4" t="s">
        <v>75</v>
      </c>
      <c r="F11" s="4" t="s">
        <v>70</v>
      </c>
    </row>
    <row r="12" spans="2:6" ht="15.6" x14ac:dyDescent="0.3">
      <c r="B12" s="4" t="s">
        <v>73</v>
      </c>
      <c r="C12" s="93">
        <v>1</v>
      </c>
      <c r="D12" s="4" t="s">
        <v>74</v>
      </c>
      <c r="E12" s="4" t="s">
        <v>76</v>
      </c>
      <c r="F12" s="4" t="s">
        <v>77</v>
      </c>
    </row>
    <row r="13" spans="2:6" ht="15.6" x14ac:dyDescent="0.3">
      <c r="B13" s="4" t="s">
        <v>73</v>
      </c>
      <c r="C13" s="93">
        <v>2</v>
      </c>
      <c r="D13" s="4" t="s">
        <v>74</v>
      </c>
      <c r="E13" s="4" t="s">
        <v>75</v>
      </c>
      <c r="F13" s="4" t="s">
        <v>77</v>
      </c>
    </row>
    <row r="14" spans="2:6" ht="15.6" x14ac:dyDescent="0.3">
      <c r="B14" s="4" t="s">
        <v>83</v>
      </c>
      <c r="C14" s="93">
        <v>1</v>
      </c>
      <c r="D14" s="4" t="s">
        <v>74</v>
      </c>
      <c r="E14" s="4" t="s">
        <v>78</v>
      </c>
      <c r="F14" s="4" t="s">
        <v>83</v>
      </c>
    </row>
    <row r="15" spans="2:6" ht="15.6" x14ac:dyDescent="0.3">
      <c r="B15" s="4" t="s">
        <v>101</v>
      </c>
      <c r="C15" s="93">
        <v>1</v>
      </c>
      <c r="D15" s="4" t="s">
        <v>176</v>
      </c>
      <c r="E15" s="4" t="s">
        <v>2</v>
      </c>
      <c r="F15" s="4" t="s">
        <v>77</v>
      </c>
    </row>
    <row r="16" spans="2:6" ht="15.6" x14ac:dyDescent="0.3">
      <c r="B16" s="4" t="s">
        <v>80</v>
      </c>
      <c r="C16" s="93">
        <v>1</v>
      </c>
      <c r="D16" s="4" t="s">
        <v>182</v>
      </c>
      <c r="E16" s="4" t="s">
        <v>2</v>
      </c>
      <c r="F16" s="4" t="s">
        <v>78</v>
      </c>
    </row>
  </sheetData>
  <mergeCells count="1">
    <mergeCell ref="B2: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8"/>
  <sheetViews>
    <sheetView workbookViewId="0">
      <selection activeCell="D3" sqref="D3:D8"/>
    </sheetView>
  </sheetViews>
  <sheetFormatPr defaultColWidth="9.109375" defaultRowHeight="14.4" x14ac:dyDescent="0.3"/>
  <cols>
    <col min="1" max="1" width="19.6640625" bestFit="1" customWidth="1"/>
    <col min="2" max="2" width="28.33203125" bestFit="1" customWidth="1"/>
    <col min="3" max="3" width="26.6640625" bestFit="1" customWidth="1"/>
    <col min="4" max="4" width="20.21875" bestFit="1" customWidth="1"/>
  </cols>
  <sheetData>
    <row r="1" spans="1:4" x14ac:dyDescent="0.3">
      <c r="A1" s="5" t="s">
        <v>28</v>
      </c>
      <c r="B1" s="5" t="s">
        <v>27</v>
      </c>
      <c r="C1" s="5" t="s">
        <v>33</v>
      </c>
      <c r="D1" s="5" t="s">
        <v>120</v>
      </c>
    </row>
    <row r="2" spans="1:4" x14ac:dyDescent="0.3">
      <c r="A2" t="s">
        <v>12</v>
      </c>
      <c r="B2" t="s">
        <v>2</v>
      </c>
      <c r="C2" t="s">
        <v>2</v>
      </c>
      <c r="D2" s="47" t="s">
        <v>2</v>
      </c>
    </row>
    <row r="3" spans="1:4" x14ac:dyDescent="0.3">
      <c r="A3" t="s">
        <v>58</v>
      </c>
      <c r="B3" t="s">
        <v>3</v>
      </c>
      <c r="C3" t="s">
        <v>166</v>
      </c>
      <c r="D3" t="s">
        <v>194</v>
      </c>
    </row>
    <row r="4" spans="1:4" x14ac:dyDescent="0.3">
      <c r="A4" t="s">
        <v>11</v>
      </c>
      <c r="B4" t="s">
        <v>15</v>
      </c>
      <c r="C4" t="s">
        <v>163</v>
      </c>
      <c r="D4" t="s">
        <v>195</v>
      </c>
    </row>
    <row r="5" spans="1:4" x14ac:dyDescent="0.3">
      <c r="A5" t="s">
        <v>59</v>
      </c>
      <c r="B5" t="s">
        <v>14</v>
      </c>
      <c r="C5" t="s">
        <v>113</v>
      </c>
      <c r="D5" t="s">
        <v>196</v>
      </c>
    </row>
    <row r="6" spans="1:4" x14ac:dyDescent="0.3">
      <c r="A6" t="s">
        <v>60</v>
      </c>
      <c r="B6" t="s">
        <v>136</v>
      </c>
      <c r="C6" t="s">
        <v>147</v>
      </c>
      <c r="D6" t="s">
        <v>197</v>
      </c>
    </row>
    <row r="7" spans="1:4" x14ac:dyDescent="0.3">
      <c r="A7" t="s">
        <v>56</v>
      </c>
      <c r="B7" t="s">
        <v>53</v>
      </c>
      <c r="C7" t="s">
        <v>128</v>
      </c>
      <c r="D7" t="s">
        <v>198</v>
      </c>
    </row>
    <row r="8" spans="1:4" x14ac:dyDescent="0.3">
      <c r="A8" t="s">
        <v>61</v>
      </c>
      <c r="B8" t="s">
        <v>112</v>
      </c>
      <c r="C8" t="s">
        <v>55</v>
      </c>
      <c r="D8" t="s">
        <v>199</v>
      </c>
    </row>
    <row r="9" spans="1:4" x14ac:dyDescent="0.3">
      <c r="A9" t="s">
        <v>5</v>
      </c>
      <c r="B9" t="s">
        <v>108</v>
      </c>
      <c r="C9" t="s">
        <v>32</v>
      </c>
    </row>
    <row r="10" spans="1:4" x14ac:dyDescent="0.3">
      <c r="A10" t="s">
        <v>57</v>
      </c>
      <c r="B10" t="s">
        <v>0</v>
      </c>
      <c r="C10" t="s">
        <v>167</v>
      </c>
    </row>
    <row r="11" spans="1:4" x14ac:dyDescent="0.3">
      <c r="B11" t="s">
        <v>100</v>
      </c>
      <c r="C11" t="s">
        <v>164</v>
      </c>
    </row>
    <row r="12" spans="1:4" x14ac:dyDescent="0.3">
      <c r="B12" t="s">
        <v>7</v>
      </c>
      <c r="C12" t="s">
        <v>168</v>
      </c>
    </row>
    <row r="13" spans="1:4" x14ac:dyDescent="0.3">
      <c r="B13" t="s">
        <v>124</v>
      </c>
      <c r="C13" t="s">
        <v>161</v>
      </c>
    </row>
    <row r="14" spans="1:4" x14ac:dyDescent="0.3">
      <c r="B14" t="s">
        <v>123</v>
      </c>
      <c r="C14" t="s">
        <v>107</v>
      </c>
    </row>
    <row r="15" spans="1:4" x14ac:dyDescent="0.3">
      <c r="B15" t="s">
        <v>114</v>
      </c>
      <c r="C15" t="s">
        <v>107</v>
      </c>
    </row>
    <row r="16" spans="1:4" x14ac:dyDescent="0.3">
      <c r="B16" t="s">
        <v>6</v>
      </c>
      <c r="C16" t="s">
        <v>165</v>
      </c>
    </row>
    <row r="17" spans="3:3" x14ac:dyDescent="0.3">
      <c r="C17" t="s">
        <v>162</v>
      </c>
    </row>
    <row r="18" spans="3:3" x14ac:dyDescent="0.3">
      <c r="C18" t="s">
        <v>54</v>
      </c>
    </row>
    <row r="19" spans="3:3" x14ac:dyDescent="0.3">
      <c r="C19" t="s">
        <v>29</v>
      </c>
    </row>
    <row r="20" spans="3:3" x14ac:dyDescent="0.3">
      <c r="C20" t="s">
        <v>126</v>
      </c>
    </row>
    <row r="21" spans="3:3" x14ac:dyDescent="0.3">
      <c r="C21" t="s">
        <v>127</v>
      </c>
    </row>
    <row r="22" spans="3:3" x14ac:dyDescent="0.3">
      <c r="C22" t="s">
        <v>4</v>
      </c>
    </row>
    <row r="23" spans="3:3" x14ac:dyDescent="0.3">
      <c r="C23" t="s">
        <v>31</v>
      </c>
    </row>
    <row r="24" spans="3:3" x14ac:dyDescent="0.3">
      <c r="C24" t="s">
        <v>30</v>
      </c>
    </row>
    <row r="25" spans="3:3" x14ac:dyDescent="0.3">
      <c r="C25" t="s">
        <v>16</v>
      </c>
    </row>
    <row r="26" spans="3:3" x14ac:dyDescent="0.3">
      <c r="C26" t="s">
        <v>17</v>
      </c>
    </row>
    <row r="27" spans="3:3" x14ac:dyDescent="0.3">
      <c r="C27" t="s">
        <v>125</v>
      </c>
    </row>
    <row r="28" spans="3:3" x14ac:dyDescent="0.3">
      <c r="C28" t="s">
        <v>6</v>
      </c>
    </row>
  </sheetData>
  <sortState xmlns:xlrd2="http://schemas.microsoft.com/office/spreadsheetml/2017/richdata2" ref="B2:B16">
    <sortCondition ref="B2"/>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B19" sqref="B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22</v>
      </c>
    </row>
    <row r="3" spans="1:2" x14ac:dyDescent="0.3">
      <c r="A3" s="12">
        <v>1.1000000000000001</v>
      </c>
      <c r="B3" s="15" t="s">
        <v>24</v>
      </c>
    </row>
    <row r="4" spans="1:2" ht="31.2" x14ac:dyDescent="0.3">
      <c r="A4" s="12">
        <v>1.2</v>
      </c>
      <c r="B4" s="15" t="s">
        <v>81</v>
      </c>
    </row>
    <row r="6" spans="1:2" x14ac:dyDescent="0.3">
      <c r="B6" s="13" t="s">
        <v>86</v>
      </c>
    </row>
    <row r="7" spans="1:2" x14ac:dyDescent="0.3">
      <c r="A7" s="12">
        <v>2.1</v>
      </c>
      <c r="B7" s="15" t="s">
        <v>87</v>
      </c>
    </row>
    <row r="9" spans="1:2" x14ac:dyDescent="0.3">
      <c r="B9" s="13" t="s">
        <v>25</v>
      </c>
    </row>
    <row r="10" spans="1:2" ht="31.2" x14ac:dyDescent="0.3">
      <c r="A10" s="12">
        <v>3.1</v>
      </c>
      <c r="B10" s="15" t="s">
        <v>26</v>
      </c>
    </row>
    <row r="12" spans="1:2" x14ac:dyDescent="0.3">
      <c r="B12" s="13" t="s">
        <v>23</v>
      </c>
    </row>
    <row r="13" spans="1:2" ht="15" customHeight="1" x14ac:dyDescent="0.3">
      <c r="A13" s="12">
        <v>4.0999999999999996</v>
      </c>
      <c r="B13" s="15" t="s">
        <v>90</v>
      </c>
    </row>
    <row r="14" spans="1:2" x14ac:dyDescent="0.3">
      <c r="A14" s="12">
        <v>4.2</v>
      </c>
      <c r="B14" s="15" t="s">
        <v>93</v>
      </c>
    </row>
    <row r="15" spans="1:2" x14ac:dyDescent="0.3">
      <c r="A15" s="12">
        <v>4.3</v>
      </c>
      <c r="B15" s="15" t="s">
        <v>84</v>
      </c>
    </row>
    <row r="16" spans="1:2" ht="4.2" customHeight="1" x14ac:dyDescent="0.3"/>
    <row r="17" spans="1:2" ht="31.2" x14ac:dyDescent="0.3">
      <c r="B17" s="15" t="s">
        <v>94</v>
      </c>
    </row>
    <row r="18" spans="1:2" ht="4.2" customHeight="1" x14ac:dyDescent="0.3"/>
    <row r="19" spans="1:2" x14ac:dyDescent="0.3">
      <c r="B19" s="15" t="s">
        <v>96</v>
      </c>
    </row>
    <row r="20" spans="1:2" ht="4.2" customHeight="1" x14ac:dyDescent="0.3"/>
    <row r="21" spans="1:2" ht="29.4" customHeight="1" x14ac:dyDescent="0.3">
      <c r="B21" s="15" t="s">
        <v>95</v>
      </c>
    </row>
    <row r="23" spans="1:2" x14ac:dyDescent="0.3">
      <c r="B23" s="13" t="s">
        <v>20</v>
      </c>
    </row>
    <row r="24" spans="1:2" x14ac:dyDescent="0.3">
      <c r="A24" s="12">
        <v>5.0999999999999996</v>
      </c>
      <c r="B24" s="15" t="s">
        <v>82</v>
      </c>
    </row>
    <row r="25" spans="1:2" x14ac:dyDescent="0.3">
      <c r="A25" s="12">
        <v>5.2</v>
      </c>
      <c r="B25" s="15" t="s">
        <v>21</v>
      </c>
    </row>
    <row r="27" spans="1:2" x14ac:dyDescent="0.3">
      <c r="B27" s="16" t="s">
        <v>91</v>
      </c>
    </row>
    <row r="28" spans="1:2" x14ac:dyDescent="0.3">
      <c r="B28" s="17" t="s">
        <v>92</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Sequence description</vt:lpstr>
      <vt:lpstr>Notes</vt:lpstr>
      <vt:lpstr>Equipment</vt:lpstr>
      <vt:lpstr>Categories definitions</vt:lpstr>
      <vt:lpstr>Usage</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2020-02-18T09:34:13Z</dcterms:modified>
</cp:coreProperties>
</file>