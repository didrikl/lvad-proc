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Didrik\Dropbox\Arbeid\OUS\Proc\Excel\"/>
    </mc:Choice>
  </mc:AlternateContent>
  <xr:revisionPtr revIDLastSave="0" documentId="13_ncr:1_{576ED08F-9347-468D-834E-ECAF1C277465}" xr6:coauthVersionLast="45" xr6:coauthVersionMax="45" xr10:uidLastSave="{00000000-0000-0000-0000-000000000000}"/>
  <bookViews>
    <workbookView xWindow="-108" yWindow="-108" windowWidth="23256" windowHeight="12720" activeTab="4" xr2:uid="{00000000-000D-0000-FFFF-FFFF00000000}"/>
  </bookViews>
  <sheets>
    <sheet name="Recording notes" sheetId="1" r:id="rId1"/>
    <sheet name="Procedures" sheetId="9" r:id="rId2"/>
    <sheet name="Description" sheetId="17" r:id="rId3"/>
    <sheet name="Hand notes scheme" sheetId="10" r:id="rId4"/>
    <sheet name="Categories" sheetId="16" r:id="rId5"/>
    <sheet name="Usage" sheetId="18" r:id="rId6"/>
  </sheets>
  <externalReferences>
    <externalReference r:id="rId7"/>
  </externalReferences>
  <definedNames>
    <definedName name="Controlled_VarNames">'Recording notes'!$H$2:$Q$2</definedName>
    <definedName name="Equipment" localSheetId="3">#REF!</definedName>
    <definedName name="Header_VarNames" comment="Define which row that contains header info. The whole row is used, due to flexibility purposes">'Recording notes'!$A$2:$X$2</definedName>
    <definedName name="Header_VarUnits">'Recording notes'!$A$3:$X$3</definedName>
    <definedName name="Measured_VarNames">'Recording notes'!$R$2:$W$2</definedName>
    <definedName name="Notes" comment="Rectangular area for the notes made, to make it easy and robust for importing notes to e.g. Matlab">'Recording notes'!$A$4:$X$270</definedName>
    <definedName name="_xlnm.Print_Titles" localSheetId="3">'Hand notes scheme'!$1:$4</definedName>
    <definedName name="_xlnm.Print_Titles" localSheetId="0">'Recording notes'!$2:$3</definedName>
    <definedName name="Sequence_General_Info" localSheetId="3">Description!$B$9:$C$10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73" i="1" l="1"/>
  <c r="O74" i="1"/>
  <c r="O75" i="1"/>
  <c r="O76" i="1"/>
  <c r="O77" i="1"/>
  <c r="O78" i="1"/>
  <c r="O79" i="1"/>
  <c r="O80" i="1"/>
  <c r="O81" i="1"/>
  <c r="O82" i="1"/>
  <c r="O83" i="1"/>
  <c r="O84" i="1"/>
  <c r="O85" i="1"/>
  <c r="O86" i="1"/>
  <c r="O87" i="1"/>
  <c r="O88" i="1"/>
  <c r="O89" i="1"/>
  <c r="O90" i="1"/>
  <c r="O91" i="1"/>
  <c r="O72" i="1"/>
  <c r="O51" i="1"/>
  <c r="O52" i="1"/>
  <c r="O53" i="1"/>
  <c r="O54" i="1"/>
  <c r="O55" i="1"/>
  <c r="O56" i="1"/>
  <c r="O57" i="1"/>
  <c r="O58" i="1"/>
  <c r="O59" i="1"/>
  <c r="O60" i="1"/>
  <c r="O61" i="1"/>
  <c r="O62" i="1"/>
  <c r="O63" i="1"/>
  <c r="O64" i="1"/>
  <c r="O65" i="1"/>
  <c r="O66" i="1"/>
  <c r="O67" i="1"/>
  <c r="O68" i="1"/>
  <c r="O69" i="1"/>
  <c r="O50" i="1"/>
  <c r="O29" i="1"/>
  <c r="O30" i="1"/>
  <c r="O31" i="1"/>
  <c r="O32" i="1"/>
  <c r="O33" i="1"/>
  <c r="O34" i="1"/>
  <c r="O35" i="1"/>
  <c r="O36" i="1"/>
  <c r="O37" i="1"/>
  <c r="O38" i="1"/>
  <c r="O39" i="1"/>
  <c r="O40" i="1"/>
  <c r="O41" i="1"/>
  <c r="O42" i="1"/>
  <c r="O43" i="1"/>
  <c r="O44" i="1"/>
  <c r="O45" i="1"/>
  <c r="O46" i="1"/>
  <c r="O47" i="1"/>
  <c r="O28" i="1"/>
  <c r="O7" i="1"/>
  <c r="O8" i="1"/>
  <c r="O9" i="1"/>
  <c r="O10" i="1"/>
  <c r="O11" i="1"/>
  <c r="O12" i="1"/>
  <c r="O13" i="1"/>
  <c r="O14" i="1"/>
  <c r="O15" i="1"/>
  <c r="O16" i="1"/>
  <c r="O17" i="1"/>
  <c r="O18" i="1"/>
  <c r="O19" i="1"/>
  <c r="O20" i="1"/>
  <c r="O21" i="1"/>
  <c r="O22" i="1"/>
  <c r="O23" i="1"/>
  <c r="O24" i="1"/>
  <c r="O25" i="1"/>
  <c r="O26" i="1"/>
  <c r="O27" i="1"/>
  <c r="O48" i="1"/>
  <c r="O49" i="1"/>
  <c r="O70" i="1"/>
  <c r="O71" i="1"/>
  <c r="O6" i="1"/>
  <c r="C9" i="17"/>
  <c r="C8" i="17"/>
  <c r="L250" i="1" l="1"/>
  <c r="K250" i="1"/>
  <c r="D250" i="1"/>
  <c r="L249" i="1"/>
  <c r="K249" i="1"/>
  <c r="D249" i="1"/>
  <c r="L248" i="1"/>
  <c r="K248" i="1"/>
  <c r="D248" i="1"/>
  <c r="L247" i="1"/>
  <c r="K247" i="1"/>
  <c r="D247" i="1"/>
  <c r="L246" i="1"/>
  <c r="K246" i="1"/>
  <c r="D246" i="1"/>
  <c r="L245" i="1"/>
  <c r="K245" i="1"/>
  <c r="D245" i="1"/>
  <c r="L244" i="1"/>
  <c r="K244" i="1"/>
  <c r="D244" i="1"/>
  <c r="L243" i="1"/>
  <c r="K243" i="1"/>
  <c r="D243" i="1"/>
  <c r="L242" i="1"/>
  <c r="K242" i="1"/>
  <c r="D242" i="1"/>
  <c r="L241" i="1"/>
  <c r="K241" i="1"/>
  <c r="D241" i="1"/>
  <c r="L240" i="1"/>
  <c r="K240" i="1"/>
  <c r="D240" i="1"/>
  <c r="L239" i="1"/>
  <c r="K239" i="1"/>
  <c r="D239" i="1"/>
  <c r="L238" i="1"/>
  <c r="K238" i="1"/>
  <c r="D238" i="1"/>
  <c r="L237" i="1"/>
  <c r="K237" i="1"/>
  <c r="D237" i="1"/>
  <c r="L236" i="1"/>
  <c r="K236" i="1"/>
  <c r="D236" i="1"/>
  <c r="L235" i="1"/>
  <c r="K235" i="1"/>
  <c r="D235" i="1"/>
  <c r="L234" i="1"/>
  <c r="K234" i="1"/>
  <c r="D234" i="1"/>
  <c r="L233" i="1"/>
  <c r="K233" i="1"/>
  <c r="D233" i="1"/>
  <c r="L232" i="1"/>
  <c r="K232" i="1"/>
  <c r="D232" i="1"/>
  <c r="L231" i="1"/>
  <c r="K231" i="1"/>
  <c r="D231" i="1"/>
  <c r="L230" i="1"/>
  <c r="K230" i="1"/>
  <c r="D230" i="1"/>
  <c r="L229" i="1"/>
  <c r="K229" i="1"/>
  <c r="D229" i="1"/>
  <c r="L228" i="1"/>
  <c r="K228" i="1"/>
  <c r="D228" i="1"/>
  <c r="L227" i="1"/>
  <c r="K227" i="1"/>
  <c r="D227" i="1"/>
  <c r="L226" i="1"/>
  <c r="K226" i="1"/>
  <c r="D226" i="1"/>
  <c r="L225" i="1"/>
  <c r="K225" i="1"/>
  <c r="D225" i="1"/>
  <c r="L224" i="1"/>
  <c r="K224" i="1"/>
  <c r="D224" i="1"/>
  <c r="L223" i="1"/>
  <c r="K223" i="1"/>
  <c r="D223" i="1"/>
  <c r="L222" i="1"/>
  <c r="K222" i="1"/>
  <c r="D222" i="1"/>
  <c r="L221" i="1"/>
  <c r="K221" i="1"/>
  <c r="D221" i="1"/>
  <c r="L220" i="1"/>
  <c r="K220" i="1"/>
  <c r="D220" i="1"/>
  <c r="L219" i="1"/>
  <c r="K219" i="1"/>
  <c r="D219" i="1"/>
  <c r="L218" i="1"/>
  <c r="K218" i="1"/>
  <c r="D218" i="1"/>
  <c r="L217" i="1"/>
  <c r="K217" i="1"/>
  <c r="D217" i="1"/>
  <c r="L216" i="1"/>
  <c r="K216" i="1"/>
  <c r="D216" i="1"/>
  <c r="L150" i="1" l="1"/>
  <c r="K150" i="1"/>
  <c r="D150" i="1"/>
  <c r="L149" i="1"/>
  <c r="K149" i="1"/>
  <c r="D149" i="1"/>
  <c r="L148" i="1"/>
  <c r="K148" i="1"/>
  <c r="D148" i="1"/>
  <c r="L147" i="1"/>
  <c r="K147" i="1"/>
  <c r="D147" i="1"/>
  <c r="L146" i="1"/>
  <c r="K146" i="1"/>
  <c r="D146" i="1"/>
  <c r="L145" i="1"/>
  <c r="K145" i="1"/>
  <c r="D145" i="1"/>
  <c r="L144" i="1"/>
  <c r="K144" i="1"/>
  <c r="D144" i="1"/>
  <c r="L143" i="1"/>
  <c r="K143" i="1"/>
  <c r="D143" i="1"/>
  <c r="L142" i="1"/>
  <c r="K142" i="1"/>
  <c r="D142" i="1"/>
  <c r="L141" i="1"/>
  <c r="K141" i="1"/>
  <c r="D141" i="1"/>
  <c r="L140" i="1"/>
  <c r="K140" i="1"/>
  <c r="D140" i="1"/>
  <c r="L139" i="1"/>
  <c r="K139" i="1"/>
  <c r="D139" i="1"/>
  <c r="L138" i="1"/>
  <c r="K138" i="1"/>
  <c r="D138" i="1"/>
  <c r="L137" i="1"/>
  <c r="K137" i="1"/>
  <c r="D137" i="1"/>
  <c r="L136" i="1"/>
  <c r="K136" i="1"/>
  <c r="D136" i="1"/>
  <c r="L135" i="1"/>
  <c r="K135" i="1"/>
  <c r="D135" i="1"/>
  <c r="L134" i="1"/>
  <c r="K134" i="1"/>
  <c r="D134" i="1"/>
  <c r="L133" i="1"/>
  <c r="K133" i="1"/>
  <c r="D133" i="1"/>
  <c r="L132" i="1"/>
  <c r="K132" i="1"/>
  <c r="D132" i="1"/>
  <c r="L131" i="1"/>
  <c r="K131" i="1"/>
  <c r="D131" i="1"/>
  <c r="L130" i="1"/>
  <c r="K130" i="1"/>
  <c r="D130" i="1"/>
  <c r="L129" i="1"/>
  <c r="K129" i="1"/>
  <c r="D129" i="1"/>
  <c r="L128" i="1"/>
  <c r="K128" i="1"/>
  <c r="D128" i="1"/>
  <c r="L127" i="1"/>
  <c r="K127" i="1"/>
  <c r="D127" i="1"/>
  <c r="L126" i="1"/>
  <c r="K126" i="1"/>
  <c r="D126" i="1"/>
  <c r="L125" i="1"/>
  <c r="K125" i="1"/>
  <c r="D125" i="1"/>
  <c r="L124" i="1"/>
  <c r="K124" i="1"/>
  <c r="D124" i="1"/>
  <c r="L123" i="1"/>
  <c r="K123" i="1"/>
  <c r="D123" i="1"/>
  <c r="L122" i="1"/>
  <c r="K122" i="1"/>
  <c r="D122" i="1"/>
  <c r="L121" i="1"/>
  <c r="K121" i="1"/>
  <c r="D121" i="1"/>
  <c r="L120" i="1"/>
  <c r="K120" i="1"/>
  <c r="D120" i="1"/>
  <c r="L119" i="1"/>
  <c r="K119" i="1"/>
  <c r="D119" i="1"/>
  <c r="L118" i="1"/>
  <c r="K118" i="1"/>
  <c r="D118" i="1"/>
  <c r="L117" i="1"/>
  <c r="K117" i="1"/>
  <c r="D117" i="1"/>
  <c r="L116" i="1"/>
  <c r="K116" i="1"/>
  <c r="D116" i="1"/>
  <c r="L115" i="1"/>
  <c r="K115" i="1"/>
  <c r="D115" i="1"/>
  <c r="L114" i="1"/>
  <c r="K114" i="1"/>
  <c r="D114" i="1"/>
  <c r="L113" i="1"/>
  <c r="K113" i="1"/>
  <c r="D113" i="1"/>
  <c r="L112" i="1"/>
  <c r="K112" i="1"/>
  <c r="D112" i="1"/>
  <c r="L111" i="1"/>
  <c r="K111" i="1"/>
  <c r="D111" i="1"/>
  <c r="L110" i="1"/>
  <c r="K110" i="1"/>
  <c r="D110" i="1"/>
  <c r="L109" i="1"/>
  <c r="K109" i="1"/>
  <c r="D109" i="1"/>
  <c r="L108" i="1"/>
  <c r="K108" i="1"/>
  <c r="D108" i="1"/>
  <c r="L107" i="1"/>
  <c r="K107" i="1"/>
  <c r="D107" i="1"/>
  <c r="L106" i="1"/>
  <c r="K106" i="1"/>
  <c r="D106" i="1"/>
  <c r="L105" i="1"/>
  <c r="K105" i="1"/>
  <c r="D105" i="1"/>
  <c r="L104" i="1"/>
  <c r="K104" i="1"/>
  <c r="D104" i="1"/>
  <c r="L103" i="1"/>
  <c r="K103" i="1"/>
  <c r="D103" i="1"/>
  <c r="L102" i="1"/>
  <c r="K102" i="1"/>
  <c r="D102" i="1"/>
  <c r="L101" i="1"/>
  <c r="K101" i="1"/>
  <c r="D101" i="1"/>
  <c r="L100" i="1"/>
  <c r="K100" i="1"/>
  <c r="D100" i="1"/>
  <c r="L267" i="1"/>
  <c r="K267" i="1"/>
  <c r="D267" i="1"/>
  <c r="L266" i="1"/>
  <c r="K266" i="1"/>
  <c r="D266" i="1"/>
  <c r="L265" i="1"/>
  <c r="K265" i="1"/>
  <c r="D265" i="1"/>
  <c r="L264" i="1"/>
  <c r="K264" i="1"/>
  <c r="D264" i="1"/>
  <c r="L258" i="1"/>
  <c r="K258" i="1"/>
  <c r="D258" i="1"/>
  <c r="L269" i="1"/>
  <c r="K269" i="1"/>
  <c r="D269" i="1"/>
  <c r="L268" i="1"/>
  <c r="K268" i="1"/>
  <c r="D268" i="1"/>
  <c r="L263" i="1"/>
  <c r="K263" i="1"/>
  <c r="D263" i="1"/>
  <c r="L262" i="1"/>
  <c r="K262" i="1"/>
  <c r="D262" i="1"/>
  <c r="L261" i="1"/>
  <c r="K261" i="1"/>
  <c r="D261" i="1"/>
  <c r="L260" i="1"/>
  <c r="K260" i="1"/>
  <c r="D260" i="1"/>
  <c r="L259" i="1"/>
  <c r="K259" i="1"/>
  <c r="D259" i="1"/>
  <c r="L257" i="1"/>
  <c r="K257" i="1"/>
  <c r="D257" i="1"/>
  <c r="L256" i="1"/>
  <c r="K256" i="1"/>
  <c r="D256" i="1"/>
  <c r="L255" i="1"/>
  <c r="K255" i="1"/>
  <c r="D255" i="1"/>
  <c r="L254" i="1"/>
  <c r="K254" i="1"/>
  <c r="D254" i="1"/>
  <c r="L253" i="1"/>
  <c r="K253" i="1"/>
  <c r="D253" i="1"/>
  <c r="L252" i="1"/>
  <c r="K252" i="1"/>
  <c r="D252" i="1"/>
  <c r="L251" i="1"/>
  <c r="K251" i="1"/>
  <c r="D251" i="1"/>
  <c r="K184" i="1"/>
  <c r="D182" i="1"/>
  <c r="L183" i="1"/>
  <c r="K183" i="1"/>
  <c r="D183" i="1"/>
  <c r="L215" i="1"/>
  <c r="K215" i="1"/>
  <c r="D215" i="1"/>
  <c r="L214" i="1"/>
  <c r="K214" i="1"/>
  <c r="D214" i="1"/>
  <c r="L213" i="1"/>
  <c r="K213" i="1"/>
  <c r="D213" i="1"/>
  <c r="L212" i="1"/>
  <c r="K212" i="1"/>
  <c r="D212" i="1"/>
  <c r="L211" i="1"/>
  <c r="K211" i="1"/>
  <c r="D211" i="1"/>
  <c r="L210" i="1"/>
  <c r="K210" i="1"/>
  <c r="D210" i="1"/>
  <c r="L209" i="1"/>
  <c r="K209" i="1"/>
  <c r="D209" i="1"/>
  <c r="L208" i="1"/>
  <c r="K208" i="1"/>
  <c r="D208" i="1"/>
  <c r="L207" i="1"/>
  <c r="K207" i="1"/>
  <c r="D207" i="1"/>
  <c r="L206" i="1"/>
  <c r="K206" i="1"/>
  <c r="D206" i="1"/>
  <c r="L205" i="1"/>
  <c r="K205" i="1"/>
  <c r="D205" i="1"/>
  <c r="L204" i="1"/>
  <c r="K204" i="1"/>
  <c r="D204" i="1"/>
  <c r="L203" i="1"/>
  <c r="K203" i="1"/>
  <c r="D203" i="1"/>
  <c r="L202" i="1"/>
  <c r="K202" i="1"/>
  <c r="D202" i="1"/>
  <c r="L201" i="1"/>
  <c r="K201" i="1"/>
  <c r="D201" i="1"/>
  <c r="L200" i="1"/>
  <c r="K200" i="1"/>
  <c r="D200" i="1"/>
  <c r="L199" i="1"/>
  <c r="K199" i="1"/>
  <c r="D199" i="1"/>
  <c r="L198" i="1"/>
  <c r="K198" i="1"/>
  <c r="D198" i="1"/>
  <c r="L197" i="1"/>
  <c r="K197" i="1"/>
  <c r="D197" i="1"/>
  <c r="L196" i="1"/>
  <c r="K196" i="1"/>
  <c r="D196" i="1"/>
  <c r="L195" i="1"/>
  <c r="K195" i="1"/>
  <c r="D195" i="1"/>
  <c r="L194" i="1"/>
  <c r="K194" i="1"/>
  <c r="D194" i="1"/>
  <c r="L193" i="1"/>
  <c r="K193" i="1"/>
  <c r="D193" i="1"/>
  <c r="L192" i="1"/>
  <c r="K192" i="1"/>
  <c r="D192" i="1"/>
  <c r="L191" i="1"/>
  <c r="K191" i="1"/>
  <c r="D191" i="1"/>
  <c r="L190" i="1"/>
  <c r="K190" i="1"/>
  <c r="D190" i="1"/>
  <c r="L189" i="1"/>
  <c r="K189" i="1"/>
  <c r="D189" i="1"/>
  <c r="L188" i="1"/>
  <c r="K188" i="1"/>
  <c r="D188" i="1"/>
  <c r="L187" i="1"/>
  <c r="K187" i="1"/>
  <c r="D187" i="1"/>
  <c r="L186" i="1"/>
  <c r="K186" i="1"/>
  <c r="D186" i="1"/>
  <c r="L185" i="1"/>
  <c r="K185" i="1"/>
  <c r="D185" i="1"/>
  <c r="L184" i="1"/>
  <c r="D184" i="1"/>
  <c r="L181" i="1"/>
  <c r="K181" i="1"/>
  <c r="D181" i="1"/>
  <c r="L180" i="1"/>
  <c r="K180" i="1"/>
  <c r="D180" i="1"/>
  <c r="L179" i="1"/>
  <c r="K179" i="1"/>
  <c r="D179" i="1"/>
  <c r="L178" i="1"/>
  <c r="K178" i="1"/>
  <c r="D178" i="1"/>
  <c r="L177" i="1"/>
  <c r="K177" i="1"/>
  <c r="D177" i="1"/>
  <c r="L176" i="1"/>
  <c r="K176" i="1"/>
  <c r="D176" i="1"/>
  <c r="L175" i="1"/>
  <c r="K175" i="1"/>
  <c r="D175" i="1"/>
  <c r="L174" i="1"/>
  <c r="K174" i="1"/>
  <c r="D174" i="1"/>
  <c r="D158" i="1"/>
  <c r="L98" i="1"/>
  <c r="K98" i="1"/>
  <c r="D98" i="1"/>
  <c r="L96" i="1"/>
  <c r="K96" i="1"/>
  <c r="D96" i="1"/>
  <c r="L94" i="1"/>
  <c r="K94" i="1"/>
  <c r="D94" i="1"/>
  <c r="L93" i="1"/>
  <c r="K93" i="1"/>
  <c r="D93" i="1"/>
  <c r="L95" i="1"/>
  <c r="K95" i="1"/>
  <c r="D95" i="1"/>
  <c r="L97" i="1"/>
  <c r="K97" i="1"/>
  <c r="D97" i="1"/>
  <c r="L99" i="1"/>
  <c r="K99" i="1"/>
  <c r="D99"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160" i="1"/>
  <c r="D161" i="1"/>
  <c r="D162" i="1"/>
  <c r="D163" i="1"/>
  <c r="D164" i="1"/>
  <c r="D165" i="1"/>
  <c r="D166" i="1"/>
  <c r="D167" i="1"/>
  <c r="D168" i="1"/>
  <c r="D169" i="1"/>
  <c r="D170" i="1"/>
  <c r="D171" i="1"/>
  <c r="D172" i="1"/>
  <c r="D173" i="1"/>
  <c r="D270" i="1"/>
  <c r="D151" i="1"/>
  <c r="D152" i="1"/>
  <c r="D153" i="1"/>
  <c r="D154" i="1"/>
  <c r="D155" i="1"/>
  <c r="D156" i="1"/>
  <c r="D157" i="1"/>
  <c r="D159" i="1"/>
  <c r="L173" i="1"/>
  <c r="K173" i="1"/>
  <c r="L172" i="1"/>
  <c r="K172" i="1"/>
  <c r="L171" i="1"/>
  <c r="K171" i="1"/>
  <c r="L170" i="1"/>
  <c r="K170" i="1"/>
  <c r="L169" i="1"/>
  <c r="K169" i="1"/>
  <c r="L168" i="1"/>
  <c r="K168" i="1"/>
  <c r="L167" i="1"/>
  <c r="K167" i="1"/>
  <c r="L166" i="1"/>
  <c r="K166" i="1"/>
  <c r="L182" i="1"/>
  <c r="K182" i="1"/>
  <c r="L165" i="1"/>
  <c r="K165" i="1"/>
  <c r="L164" i="1"/>
  <c r="K164" i="1"/>
  <c r="L163" i="1"/>
  <c r="K163" i="1"/>
  <c r="L162" i="1"/>
  <c r="K162" i="1"/>
  <c r="L161" i="1"/>
  <c r="K161" i="1"/>
  <c r="L160" i="1"/>
  <c r="K160" i="1"/>
  <c r="L159" i="1"/>
  <c r="K159" i="1"/>
  <c r="K5" i="1" l="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151" i="1"/>
  <c r="K152" i="1"/>
  <c r="K153" i="1"/>
  <c r="K154" i="1"/>
  <c r="K155" i="1"/>
  <c r="K156" i="1"/>
  <c r="K157" i="1"/>
  <c r="K158" i="1"/>
  <c r="K270" i="1"/>
  <c r="K4" i="1"/>
  <c r="L151" i="1"/>
  <c r="L92" i="1"/>
  <c r="L158" i="1"/>
  <c r="L157" i="1"/>
  <c r="L156" i="1"/>
  <c r="L155" i="1"/>
  <c r="L154" i="1"/>
  <c r="L153" i="1"/>
  <c r="L152" i="1"/>
  <c r="L91" i="1" l="1"/>
  <c r="L90" i="1"/>
  <c r="L89" i="1"/>
  <c r="L88" i="1"/>
  <c r="L87" i="1"/>
  <c r="L86" i="1"/>
  <c r="L85" i="1"/>
  <c r="L84" i="1"/>
  <c r="L83" i="1"/>
  <c r="L82" i="1"/>
  <c r="L81" i="1"/>
  <c r="L80" i="1"/>
  <c r="L79" i="1"/>
  <c r="L78" i="1"/>
  <c r="L77" i="1"/>
  <c r="L76" i="1"/>
  <c r="L75" i="1"/>
  <c r="L74" i="1"/>
  <c r="L73" i="1"/>
  <c r="L72" i="1"/>
  <c r="L70" i="1"/>
  <c r="L69" i="1"/>
  <c r="L68" i="1"/>
  <c r="L67" i="1"/>
  <c r="L66" i="1"/>
  <c r="L65" i="1"/>
  <c r="L64" i="1"/>
  <c r="L63" i="1"/>
  <c r="L62" i="1"/>
  <c r="L61" i="1"/>
  <c r="L60" i="1"/>
  <c r="L59" i="1"/>
  <c r="L58" i="1"/>
  <c r="L57" i="1"/>
  <c r="L56" i="1"/>
  <c r="L55" i="1"/>
  <c r="L54" i="1"/>
  <c r="L53" i="1"/>
  <c r="L52" i="1"/>
  <c r="L51" i="1"/>
  <c r="L50" i="1"/>
  <c r="L48" i="1"/>
  <c r="L47" i="1"/>
  <c r="L46" i="1"/>
  <c r="L45" i="1"/>
  <c r="L44" i="1"/>
  <c r="L43" i="1"/>
  <c r="L42" i="1"/>
  <c r="L41" i="1"/>
  <c r="L40" i="1"/>
  <c r="L39" i="1"/>
  <c r="L38" i="1"/>
  <c r="L37" i="1"/>
  <c r="L36" i="1"/>
  <c r="L35" i="1"/>
  <c r="L34" i="1"/>
  <c r="L33" i="1"/>
  <c r="L32" i="1"/>
  <c r="L31" i="1"/>
  <c r="L30" i="1"/>
  <c r="L29" i="1"/>
  <c r="L28" i="1"/>
  <c r="L26" i="1"/>
  <c r="L15" i="1"/>
  <c r="L14" i="1"/>
  <c r="L13" i="1"/>
  <c r="L12" i="1"/>
  <c r="L11" i="1"/>
  <c r="L10" i="1"/>
  <c r="L9" i="1"/>
  <c r="L8" i="1"/>
  <c r="L7" i="1"/>
  <c r="L6" i="1"/>
  <c r="L4" i="1"/>
  <c r="L49" i="1"/>
  <c r="L27" i="1"/>
  <c r="L5" i="1"/>
  <c r="L16" i="1"/>
  <c r="L17" i="1"/>
  <c r="L18" i="1"/>
  <c r="L19" i="1"/>
  <c r="L20" i="1"/>
  <c r="L21" i="1"/>
  <c r="L22" i="1"/>
  <c r="L23" i="1"/>
  <c r="L24" i="1"/>
  <c r="L25" i="1"/>
  <c r="L270" i="1"/>
  <c r="G21" i="16" l="1"/>
  <c r="L71" i="1"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tc={C354A7D6-B6F7-47C7-8100-C4E881C79697}</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V2" authorId="2"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tc={400F11C9-C1AB-4ED8-8F2A-7B88A7A0F916}</author>
    <author>tc={CF058BFF-9261-4043-8883-E8389BFCD255}</author>
    <author>tc={6C5ADDAA-3943-41FD-9E3E-D34F5A781692}</author>
    <author>tc={6B459902-F0B5-49D1-A3B7-A6DE5DE8C258}</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3" authorId="1" shapeId="0" xr:uid="{400F11C9-C1AB-4ED8-8F2A-7B88A7A0F916}">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J3" authorId="2" shapeId="0" xr:uid="{CF058BFF-9261-4043-8883-E8389BFCD255}">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K3" authorId="3" shapeId="0" xr:uid="{6C5ADDAA-3943-41FD-9E3E-D34F5A781692}">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L3" authorId="4" shapeId="0" xr:uid="{6B459902-F0B5-49D1-A3B7-A6DE5DE8C25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<sst xmlns="http://schemas.openxmlformats.org/spreadsheetml/2006/main" count="1853" uniqueCount="302">
  <si>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</si>
  <si>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</si>
  <si>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</si>
  <si>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</si>
  <si>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</si>
  <si>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</si>
  <si>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</si>
  <si>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</si>
  <si>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</si>
  <si>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</si>
  <si>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</si>
  <si>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</si>
  <si>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</si>
  <si>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</si>
  <si>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</si>
  <si>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</si>
  <si>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</si>
  <si>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</si>
  <si>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</si>
  <si>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</si>
  <si>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</si>
  <si>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</si>
  <si>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</si>
  <si>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</si>
  <si>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</si>
  <si>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</si>
  <si>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</si>
  <si>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</si>
  <si>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</si>
  <si>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</si>
  <si>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</si>
  <si>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</si>
  <si>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</si>
  <si>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</si>
  <si>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</si>
  <si>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</si>
  <si>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</si>
  <si>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</si>
  <si>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</si>
  <si>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</si>
  <si>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</si>
  <si>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</si>
  <si>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3-component accelerometer + gyroscope</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</si>
  <si>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</si>
  <si>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</si>
  <si>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</si>
  <si>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</si>
  <si>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</si>
  <si>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</si>
  <si>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</si>
  <si>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</si>
  <si>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</si>
  <si>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</si>
  <si>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</si>
  <si>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</si>
  <si>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</si>
  <si>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</si>
  <si>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</si>
  <si>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Ultrasound</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</si>
  <si>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</si>
  <si>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</si>
  <si>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</si>
  <si>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</si>
  <si>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</si>
  <si>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</si>
  <si>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</si>
  <si>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</si>
  <si>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</si>
  <si>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</si>
  <si>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</si>
  <si>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</si>
  <si>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</si>
  <si>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Balloon diam.</t>
  </si>
  <si>
    <t>Clamp flow red.</t>
  </si>
  <si>
    <t>Baseline flow red.</t>
  </si>
  <si>
    <t>Flow est.</t>
  </si>
  <si>
    <t>Flow</t>
  </si>
  <si>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</si>
  <si>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</si>
  <si>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</si>
  <si>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</si>
  <si>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r>
      <t xml:space="preserve">Min pulm. </t>
    </r>
    <r>
      <rPr>
        <i/>
        <sz val="13"/>
        <color theme="1"/>
        <rFont val="Calibri"/>
        <family val="2"/>
        <scheme val="minor"/>
      </rPr>
      <t>P</t>
    </r>
  </si>
  <si>
    <r>
      <t xml:space="preserve">Mean pulm. </t>
    </r>
    <r>
      <rPr>
        <i/>
        <sz val="13"/>
        <color theme="1"/>
        <rFont val="Calibri"/>
        <family val="2"/>
        <scheme val="minor"/>
      </rPr>
      <t>P</t>
    </r>
  </si>
  <si>
    <t>HR</t>
  </si>
  <si>
    <t>CVP</t>
  </si>
  <si>
    <t xml:space="preserve">Cardiac output </t>
  </si>
  <si>
    <t>SVO2</t>
  </si>
  <si>
    <t>Plan and preparations</t>
  </si>
  <si>
    <t>Experiment</t>
  </si>
  <si>
    <t>Quality control</t>
  </si>
  <si>
    <t>(#)</t>
  </si>
  <si>
    <t>(L/min)</t>
  </si>
  <si>
    <t>(beat/min)</t>
  </si>
  <si>
    <t>(cmH2O2)</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</si>
  <si>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</si>
  <si>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</si>
  <si>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</si>
  <si>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</si>
  <si>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</si>
  <si>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</si>
  <si>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</si>
  <si>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</si>
  <si>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</si>
  <si>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</si>
  <si>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</si>
  <si>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</si>
  <si>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</si>
  <si>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</si>
  <si>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</si>
  <si>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</si>
  <si>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</si>
  <si>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</si>
  <si>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</si>
  <si>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</si>
  <si>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</si>
  <si>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</si>
  <si>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</si>
  <si>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</si>
  <si>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</si>
  <si>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</si>
  <si>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</si>
  <si>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</si>
  <si>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</si>
  <si>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</si>
  <si>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</si>
  <si>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</si>
  <si>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</si>
  <si>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</si>
  <si>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</si>
  <si>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</si>
  <si>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</si>
  <si>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</si>
  <si>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</si>
  <si>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</si>
  <si>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</si>
  <si>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</si>
  <si>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</si>
  <si>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</si>
  <si>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</si>
  <si>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</si>
  <si>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Pressure port on outflow/graft tube</t>
  </si>
  <si>
    <t>PowerLab</t>
  </si>
  <si>
    <t>LabChart</t>
  </si>
  <si>
    <t>Location on model</t>
  </si>
  <si>
    <t>Serial no.</t>
  </si>
  <si>
    <t>Recording equipment in use</t>
  </si>
  <si>
    <t>Right ventricle, myocaridum</t>
  </si>
  <si>
    <t>LVAD, flat part just before the outlet</t>
  </si>
  <si>
    <t>Driveline, 20 cm away from LVAD</t>
  </si>
  <si>
    <t>Outflow/graft tube</t>
  </si>
  <si>
    <t>Left ventricle, apex</t>
  </si>
  <si>
    <t>X-ray</t>
  </si>
  <si>
    <t>Signal isolation box</t>
  </si>
  <si>
    <t>Ultrasound, clip-on, monitor</t>
  </si>
  <si>
    <t>R-01.1</t>
  </si>
  <si>
    <t>R-01.2</t>
  </si>
  <si>
    <t>R-01.3</t>
  </si>
  <si>
    <t>R-09</t>
  </si>
  <si>
    <t>Directed against LVAD monitor?</t>
  </si>
  <si>
    <t>Camera, action</t>
  </si>
  <si>
    <t>R-07.1</t>
  </si>
  <si>
    <t>Ultrasound, clip-on, probe</t>
  </si>
  <si>
    <t>R-07.2</t>
  </si>
  <si>
    <t>DAC for CS1 accelerometer</t>
  </si>
  <si>
    <t>R-03.4</t>
  </si>
  <si>
    <t>DAC for accelerometer+gyroscope</t>
  </si>
  <si>
    <t>R-02.2</t>
  </si>
  <si>
    <t>R-03.2</t>
  </si>
  <si>
    <t>R-03.1</t>
  </si>
  <si>
    <t>R-02.1</t>
  </si>
  <si>
    <t>Matlab</t>
  </si>
  <si>
    <t>Monitor for CS1 accelerometer</t>
  </si>
  <si>
    <t>R-03.3</t>
  </si>
  <si>
    <t>R-08.1</t>
  </si>
  <si>
    <t>R-14.1</t>
  </si>
  <si>
    <t>R-08.2</t>
  </si>
  <si>
    <t>R-04</t>
  </si>
  <si>
    <t>Nihon Cohden monitor</t>
  </si>
  <si>
    <t>R-16</t>
  </si>
  <si>
    <t>Inflow tube</t>
  </si>
  <si>
    <t>(%)</t>
  </si>
  <si>
    <t>Manometer control</t>
  </si>
  <si>
    <t>Lev. 1</t>
  </si>
  <si>
    <t>Lev. 2</t>
  </si>
  <si>
    <t>Lev. 3</t>
  </si>
  <si>
    <t>Lev. 4</t>
  </si>
  <si>
    <t>Lev. 5</t>
  </si>
  <si>
    <t>Balloon diameters</t>
  </si>
  <si>
    <t>1.0 rev.</t>
  </si>
  <si>
    <t>1.5 rev.</t>
  </si>
  <si>
    <t>2.0 rev.</t>
  </si>
  <si>
    <t>2.5 rev.</t>
  </si>
  <si>
    <t>0 rev.</t>
  </si>
  <si>
    <t>8 ATM</t>
  </si>
  <si>
    <t>17 ATM</t>
  </si>
  <si>
    <t>0 ATM</t>
  </si>
  <si>
    <t>PCI, 6mm x 20mm</t>
  </si>
  <si>
    <t>2 ATM</t>
  </si>
  <si>
    <t>13 ATM</t>
  </si>
  <si>
    <t>9 ATM</t>
  </si>
  <si>
    <t>19 ATM</t>
  </si>
  <si>
    <t>6 ATM</t>
  </si>
  <si>
    <t>18 ATM</t>
  </si>
  <si>
    <t>3 ATM</t>
  </si>
  <si>
    <t>Manometer (applied pressure or revolutions)</t>
  </si>
  <si>
    <t>22 ATM*</t>
  </si>
  <si>
    <t>* RBP</t>
  </si>
  <si>
    <t>4 ATM</t>
  </si>
  <si>
    <t>14 ATM</t>
  </si>
  <si>
    <t>~9</t>
  </si>
  <si>
    <t>~10</t>
  </si>
  <si>
    <t>~11</t>
  </si>
  <si>
    <t>~12</t>
  </si>
  <si>
    <t>** Max listed pressure, &gt;RBP</t>
  </si>
  <si>
    <t>PCI, 2mm x 28mm**</t>
  </si>
  <si>
    <t>20 ATM**</t>
  </si>
  <si>
    <t>C-1</t>
  </si>
  <si>
    <t>C-2</t>
  </si>
  <si>
    <t>C-4</t>
  </si>
  <si>
    <t>C-6</t>
  </si>
  <si>
    <t>C-8</t>
  </si>
  <si>
    <t>C-11</t>
  </si>
  <si>
    <t>C-3</t>
  </si>
  <si>
    <t>C-5</t>
  </si>
  <si>
    <t>C-7</t>
  </si>
  <si>
    <t>C-10</t>
  </si>
  <si>
    <t>C-12</t>
  </si>
  <si>
    <t>C-13</t>
  </si>
  <si>
    <t>PCI, 6mm x 18mm*</t>
  </si>
  <si>
    <t>PCI, 4mm x 20mm*</t>
  </si>
  <si>
    <t>7 ATM</t>
  </si>
  <si>
    <t>16 ATM*</t>
  </si>
  <si>
    <t>PCI, 4mm x 20mm Papyrus*</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</si>
  <si>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</si>
  <si>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</si>
  <si>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</si>
  <si>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</si>
  <si>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</si>
  <si>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</si>
  <si>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</si>
  <si>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</si>
  <si>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</si>
  <si>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</si>
  <si>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</si>
  <si>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</si>
  <si>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</si>
  <si>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</si>
  <si>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</si>
  <si>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</si>
  <si>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</si>
  <si>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</si>
  <si>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</si>
  <si>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</si>
  <si>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</si>
  <si>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</si>
  <si>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</si>
  <si>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</si>
  <si>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</si>
  <si>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</si>
  <si>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</si>
  <si>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</si>
  <si>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</si>
  <si>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</si>
  <si>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</si>
  <si>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</si>
  <si>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Baseline with no catheter</t>
  </si>
  <si>
    <t>Baseline, in vitro</t>
  </si>
  <si>
    <t>New LabChart file</t>
  </si>
  <si>
    <t>File denoted</t>
  </si>
  <si>
    <t>IV2</t>
  </si>
  <si>
    <t>Sequence No</t>
  </si>
  <si>
    <t>Pilot</t>
  </si>
  <si>
    <t>Sequence type</t>
  </si>
  <si>
    <t>Sequence types</t>
  </si>
  <si>
    <t>Retake</t>
  </si>
  <si>
    <t>Regular</t>
  </si>
  <si>
    <t>Infill</t>
  </si>
  <si>
    <t>Pressure port on inflow tube</t>
  </si>
  <si>
    <t>Record on film</t>
  </si>
  <si>
    <t>Check and note System M clock drift</t>
  </si>
  <si>
    <t>System M time:  sec ahead</t>
  </si>
  <si>
    <t>No clamping, no catheter</t>
  </si>
  <si>
    <t>Preparations, before data recording</t>
  </si>
  <si>
    <t>Round up</t>
  </si>
  <si>
    <t>Set hematocrit to 20 in LVAD monitor</t>
  </si>
  <si>
    <t>Sync System M time to be the same as notes computer (laptop)</t>
  </si>
  <si>
    <t>Sync LabChart time to be the same as notes computer (laptop)</t>
  </si>
  <si>
    <t>Measure and note down time difference for each Cardibox/Teguar monitor</t>
  </si>
  <si>
    <t>Teguar monitor 1 time difference:</t>
  </si>
  <si>
    <t>Sync System M and LabChart
Set hematocrit to 20 and start LVAD</t>
  </si>
  <si>
    <t>Check that syringe port on reservoir bag is close</t>
  </si>
  <si>
    <t>Put in USB stick in each Teguar monitor</t>
  </si>
  <si>
    <t>Recording protocol</t>
  </si>
  <si>
    <t>Set LVAD ID and date in LVAD monitor</t>
  </si>
  <si>
    <t>Sequence folder</t>
  </si>
  <si>
    <t>Simulated pre-pump thrombosis in glucose solution</t>
  </si>
  <si>
    <t>Trombolytics administrated*</t>
  </si>
  <si>
    <t>Coagulant administrated*</t>
  </si>
  <si>
    <t>* May be regarded as parallell events</t>
  </si>
  <si>
    <t>Balloon diam. est.</t>
  </si>
  <si>
    <t>File tag: F1</t>
  </si>
  <si>
    <t xml:space="preserve">File tag: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</si>
</sst>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4"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5" tint="-0.249977111117893"/>
        <bgColor indexed="64"/>
      </patternFill>
    </fill>
  </fills>
  <borders count="5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style="thin">
        <color theme="0" tint="-0.249977111117893"/>
      </top>
      <bottom/>
      <diagonal/>
    </border>
    <border>
      <left style="thin">
        <color indexed="64"/>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s>
  <cellStyleXfs count="1">
    <xf numFmtId="0" fontId="0" fillId="0" borderId="0"/>
  </cellStyleXfs>
  <cellXfs count="237">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21" fontId="7" fillId="0" borderId="10" xfId="0" applyNumberFormat="1" applyFont="1" applyBorder="1" applyAlignment="1">
      <alignment horizontal="center" vertical="center"/>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7" fillId="0" borderId="0" xfId="0" applyNumberFormat="1" applyFont="1" applyAlignment="1">
      <alignmen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3" borderId="23" xfId="0" applyNumberFormat="1" applyFont="1" applyFill="1" applyBorder="1" applyAlignment="1">
      <alignment horizontal="center" wrapText="1"/>
    </xf>
    <xf numFmtId="2" fontId="27" fillId="7" borderId="23" xfId="0" applyNumberFormat="1" applyFont="1" applyFill="1" applyBorder="1" applyAlignment="1">
      <alignment horizontal="center" wrapText="1"/>
    </xf>
    <xf numFmtId="164" fontId="27" fillId="3" borderId="23" xfId="0" applyNumberFormat="1" applyFont="1" applyFill="1" applyBorder="1" applyAlignment="1">
      <alignment horizontal="center" wrapText="1"/>
    </xf>
    <xf numFmtId="1" fontId="27" fillId="3" borderId="23" xfId="0" applyNumberFormat="1" applyFont="1" applyFill="1" applyBorder="1" applyAlignment="1">
      <alignment horizontal="center" wrapText="1"/>
    </xf>
    <xf numFmtId="1" fontId="27" fillId="7" borderId="24" xfId="0" applyNumberFormat="1" applyFont="1" applyFill="1" applyBorder="1" applyAlignment="1">
      <alignment horizontal="center" wrapText="1"/>
    </xf>
    <xf numFmtId="0" fontId="8" fillId="2" borderId="25" xfId="0" applyFont="1" applyFill="1" applyBorder="1" applyAlignment="1">
      <alignment horizontal="center" wrapText="1"/>
    </xf>
    <xf numFmtId="0" fontId="8" fillId="0" borderId="0" xfId="0" applyFont="1" applyAlignment="1">
      <alignment horizontal="center" wrapText="1"/>
    </xf>
    <xf numFmtId="0" fontId="2" fillId="2" borderId="26" xfId="0" applyFont="1" applyFill="1" applyBorder="1" applyAlignment="1">
      <alignment horizontal="center" vertical="center" wrapText="1"/>
    </xf>
    <xf numFmtId="2" fontId="30" fillId="8" borderId="27" xfId="0" applyNumberFormat="1" applyFont="1" applyFill="1" applyBorder="1" applyAlignment="1">
      <alignment horizontal="center" vertical="center" wrapText="1"/>
    </xf>
    <xf numFmtId="2" fontId="30" fillId="8" borderId="28" xfId="0" applyNumberFormat="1" applyFont="1" applyFill="1" applyBorder="1" applyAlignment="1">
      <alignment horizontal="center" vertical="center" wrapText="1"/>
    </xf>
    <xf numFmtId="2" fontId="30" fillId="7" borderId="28" xfId="0" applyNumberFormat="1" applyFont="1" applyFill="1" applyBorder="1" applyAlignment="1">
      <alignment horizontal="center" vertical="center" wrapText="1"/>
    </xf>
    <xf numFmtId="164" fontId="30" fillId="8" borderId="28" xfId="0" applyNumberFormat="1" applyFont="1" applyFill="1" applyBorder="1" applyAlignment="1">
      <alignment horizontal="center" vertical="center" wrapText="1"/>
    </xf>
    <xf numFmtId="1" fontId="30" fillId="8" borderId="28" xfId="0" applyNumberFormat="1" applyFont="1" applyFill="1" applyBorder="1" applyAlignment="1">
      <alignment horizontal="center" vertical="center" wrapText="1"/>
    </xf>
    <xf numFmtId="1" fontId="30" fillId="7" borderId="29" xfId="0" applyNumberFormat="1"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0" borderId="0" xfId="0" applyFont="1" applyAlignment="1">
      <alignment horizontal="center" vertical="center" wrapText="1"/>
    </xf>
    <xf numFmtId="21" fontId="7" fillId="0" borderId="26"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8" xfId="0" applyNumberFormat="1" applyFont="1" applyBorder="1" applyAlignment="1">
      <alignment horizontal="center" vertical="center"/>
    </xf>
    <xf numFmtId="1" fontId="7" fillId="0" borderId="28"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30"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31" xfId="0" applyNumberFormat="1" applyFont="1" applyBorder="1" applyAlignment="1">
      <alignment horizontal="center" vertical="center"/>
    </xf>
    <xf numFmtId="2" fontId="7" fillId="0" borderId="31" xfId="0" applyNumberFormat="1" applyFont="1" applyBorder="1" applyAlignment="1">
      <alignment horizontal="center" vertical="center"/>
    </xf>
    <xf numFmtId="21" fontId="7" fillId="4" borderId="26"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31"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21" fontId="7" fillId="0" borderId="1" xfId="0" applyNumberFormat="1" applyFont="1" applyBorder="1" applyAlignment="1">
      <alignment horizontal="center" vertical="center"/>
    </xf>
    <xf numFmtId="14" fontId="0" fillId="0" borderId="0" xfId="0" applyNumberFormat="1"/>
    <xf numFmtId="164" fontId="28" fillId="11" borderId="13" xfId="0" applyNumberFormat="1" applyFont="1" applyFill="1" applyBorder="1" applyAlignment="1">
      <alignment horizontal="center" vertical="center"/>
    </xf>
    <xf numFmtId="0" fontId="0" fillId="0" borderId="36" xfId="0" applyBorder="1"/>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3"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2" xfId="0" applyNumberFormat="1" applyFont="1" applyFill="1" applyBorder="1" applyAlignment="1">
      <alignment horizontal="center" vertical="center"/>
    </xf>
    <xf numFmtId="0" fontId="30" fillId="9" borderId="1" xfId="0" applyFont="1" applyFill="1" applyBorder="1" applyAlignment="1">
      <alignment horizontal="left" vertical="center" wrapText="1" indent="1"/>
    </xf>
    <xf numFmtId="0" fontId="2" fillId="9" borderId="1" xfId="0" applyFont="1" applyFill="1" applyBorder="1" applyAlignment="1">
      <alignment horizontal="left" vertical="center" wrapText="1" indent="1"/>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3" xfId="0" applyNumberFormat="1" applyFont="1" applyBorder="1" applyAlignment="1">
      <alignment horizontal="left" vertical="center" wrapText="1" indent="1"/>
    </xf>
    <xf numFmtId="2" fontId="23" fillId="0" borderId="41"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4" xfId="0" applyNumberFormat="1" applyFont="1" applyFill="1" applyBorder="1" applyAlignment="1">
      <alignment horizontal="center" wrapText="1"/>
    </xf>
    <xf numFmtId="9" fontId="19" fillId="5" borderId="45"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2" fontId="30" fillId="9" borderId="17" xfId="0" applyNumberFormat="1" applyFont="1" applyFill="1" applyBorder="1" applyAlignment="1">
      <alignment horizontal="left" vertical="center" wrapText="1" indent="1"/>
    </xf>
    <xf numFmtId="2" fontId="30" fillId="9" borderId="1" xfId="0" applyNumberFormat="1" applyFont="1" applyFill="1" applyBorder="1" applyAlignment="1">
      <alignment horizontal="left" vertical="center" wrapText="1" indent="1"/>
    </xf>
    <xf numFmtId="2" fontId="30" fillId="9" borderId="8" xfId="0" applyNumberFormat="1" applyFont="1" applyFill="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6" borderId="10"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3" borderId="47" xfId="0" applyNumberFormat="1" applyFont="1" applyFill="1" applyBorder="1" applyAlignment="1">
      <alignment horizontal="center" wrapText="1"/>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8" xfId="0" applyNumberFormat="1" applyFont="1" applyFill="1" applyBorder="1" applyAlignment="1">
      <alignment horizontal="center" wrapText="1"/>
    </xf>
    <xf numFmtId="2" fontId="18" fillId="3" borderId="49" xfId="0" applyNumberFormat="1" applyFont="1" applyFill="1" applyBorder="1" applyAlignment="1">
      <alignment horizontal="center" vertic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50"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53"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1" fillId="4" borderId="11" xfId="0" applyNumberFormat="1" applyFont="1" applyFill="1" applyBorder="1" applyAlignment="1">
      <alignment horizontal="center" vertical="center"/>
    </xf>
    <xf numFmtId="2" fontId="21" fillId="4" borderId="8" xfId="0" applyNumberFormat="1" applyFont="1" applyFill="1" applyBorder="1" applyAlignment="1">
      <alignment horizontal="center" vertical="center"/>
    </xf>
    <xf numFmtId="1" fontId="21" fillId="4" borderId="52" xfId="0" applyNumberFormat="1" applyFont="1" applyFill="1" applyBorder="1" applyAlignment="1">
      <alignment horizontal="center" vertical="center"/>
    </xf>
    <xf numFmtId="1" fontId="21" fillId="4" borderId="10" xfId="0" applyNumberFormat="1" applyFont="1" applyFill="1" applyBorder="1" applyAlignment="1">
      <alignment horizontal="center" vertical="center"/>
    </xf>
    <xf numFmtId="2" fontId="22" fillId="4" borderId="14" xfId="0" applyNumberFormat="1" applyFont="1" applyFill="1" applyBorder="1" applyAlignment="1">
      <alignment horizontal="center" vertical="center"/>
    </xf>
    <xf numFmtId="2" fontId="22" fillId="4" borderId="54" xfId="0" applyNumberFormat="1" applyFont="1" applyFill="1" applyBorder="1" applyAlignment="1">
      <alignment horizontal="center" vertical="center"/>
    </xf>
    <xf numFmtId="2" fontId="20" fillId="4" borderId="46"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0" fontId="30" fillId="9" borderId="1" xfId="0" applyFont="1" applyFill="1" applyBorder="1" applyAlignment="1">
      <alignment horizontal="center" vertical="center" wrapText="1"/>
    </xf>
    <xf numFmtId="164" fontId="32" fillId="11" borderId="1" xfId="0" applyNumberFormat="1" applyFont="1" applyFill="1" applyBorder="1" applyAlignment="1">
      <alignment horizontal="center" vertical="center"/>
    </xf>
    <xf numFmtId="1" fontId="32" fillId="10" borderId="0" xfId="0" applyNumberFormat="1" applyFont="1" applyFill="1" applyBorder="1" applyAlignment="1">
      <alignment horizontal="center" vertical="center"/>
    </xf>
    <xf numFmtId="1" fontId="32" fillId="10" borderId="42"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164" fontId="32" fillId="11" borderId="8" xfId="0" applyNumberFormat="1" applyFont="1" applyFill="1" applyBorder="1" applyAlignment="1">
      <alignment horizontal="center" vertical="center"/>
    </xf>
    <xf numFmtId="164" fontId="32" fillId="10" borderId="12" xfId="0" applyNumberFormat="1" applyFont="1" applyFill="1" applyBorder="1" applyAlignment="1">
      <alignment horizontal="center" vertical="center" wrapText="1"/>
    </xf>
    <xf numFmtId="164" fontId="32" fillId="10" borderId="9" xfId="0" applyNumberFormat="1" applyFont="1" applyFill="1" applyBorder="1" applyAlignment="1">
      <alignment horizontal="center" vertical="center" wrapText="1"/>
    </xf>
    <xf numFmtId="164" fontId="32" fillId="6" borderId="1"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6"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7" xfId="0" applyNumberFormat="1" applyFont="1" applyFill="1" applyBorder="1" applyAlignment="1">
      <alignment horizontal="left" wrapText="1" indent="1"/>
    </xf>
    <xf numFmtId="164" fontId="28" fillId="6" borderId="38"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11" borderId="34" xfId="0" applyNumberFormat="1" applyFont="1" applyFill="1" applyBorder="1" applyAlignment="1">
      <alignment horizontal="center" vertical="center"/>
    </xf>
    <xf numFmtId="164" fontId="28" fillId="11" borderId="35" xfId="0" applyNumberFormat="1" applyFont="1" applyFill="1" applyBorder="1" applyAlignment="1">
      <alignment horizontal="center" vertical="center"/>
    </xf>
    <xf numFmtId="164" fontId="15" fillId="6" borderId="41"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40" xfId="0" applyNumberFormat="1" applyFont="1" applyFill="1" applyBorder="1" applyAlignment="1">
      <alignment horizontal="center" vertical="center"/>
    </xf>
    <xf numFmtId="164" fontId="15" fillId="6" borderId="51" xfId="0" applyNumberFormat="1" applyFont="1" applyFill="1" applyBorder="1" applyAlignment="1">
      <alignment horizontal="center" vertical="center"/>
    </xf>
  </cellXfs>
  <cellStyles count="1">
    <cellStyle name="Normal" xfId="0" builtinId="0"/>
  </cellStyles>
  <dxfs count="430">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V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E3" dT="2020-01-16T11:14:41.49" personId="{01489622-67B5-4CAB-9B8B-F09804CE9929}" id="{400F11C9-C1AB-4ED8-8F2A-7B88A7A0F916}">
    <text>Ven flow shown on Spectrum ultrasound monitor when unclamped and at corresponding baseline pump speed. Used primarily for documentation and bookkeeping when running the experiment.</text>
  </threadedComment>
  <threadedComment ref="J3" dT="2020-01-16T11:14:41.49" personId="{01489622-67B5-4CAB-9B8B-F09804CE9929}" id="{CF058BFF-9261-4043-8883-E8389BFCD255}">
    <text>Ven flow shown on Spectrum ultrasound monitor when unclamped and at corresponding baseline pump speed. Used primarily for documentation and bookkeeping when running the experiment.</text>
  </threadedComment>
  <threadedComment ref="K3" dT="2020-01-16T11:14:41.49" personId="{01489622-67B5-4CAB-9B8B-F09804CE9929}" id="{6C5ADDAA-3943-41FD-9E3E-D34F5A781692}">
    <text>Ven flow shown on Spectrum ultrasound monitor when unclamped and at corresponding baseline pump speed. Used primarily for documentation and bookkeeping when running the experiment.</text>
  </threadedComment>
  <threadedComment ref="L3" dT="2020-01-16T11:14:41.49" personId="{01489622-67B5-4CAB-9B8B-F09804CE9929}" id="{6B459902-F0B5-49D1-A3B7-A6DE5DE8C258}">
    <text>Ven flow shown on Spectrum ultrasound monitor when unclamped and at corresponding baseline pump speed. Used primarily for documentation and bookkeeping when running the experiment.</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J270"/>
  <sheetViews>
    <sheetView showGridLines="0" zoomScale="70" zoomScaleNormal="70" workbookViewId="0">
      <pane ySplit="3" topLeftCell="A172" activePane="bottomLeft" state="frozen"/>
      <selection activeCell="D1" sqref="D1"/>
      <selection pane="bottomLeft" activeCell="A13" sqref="A13"/>
    </sheetView>
  </sheetViews>
  <sheetFormatPr defaultColWidth="8.88671875" defaultRowHeight="31.95" customHeight="1" x14ac:dyDescent="0.3"/>
  <cols>
    <col min="1" max="1" width="16.109375" style="14" bestFit="1" customWidth="1"/>
    <col min="2" max="2" width="12.6640625" style="14" bestFit="1" customWidth="1"/>
    <col min="3" max="3" width="8.88671875" style="28" hidden="1" customWidth="1"/>
    <col min="4" max="4" width="6.88671875" style="28" customWidth="1"/>
    <col min="5" max="5" width="5.21875" style="57" bestFit="1" customWidth="1"/>
    <col min="6" max="6" width="24.33203125" style="20" bestFit="1" customWidth="1"/>
    <col min="7" max="7" width="23.33203125" style="20" bestFit="1" customWidth="1"/>
    <col min="8" max="8" width="14.88671875" style="58" hidden="1" customWidth="1"/>
    <col min="9" max="9" width="7.77734375" style="57" customWidth="1"/>
    <col min="10" max="10" width="8.33203125" style="59" customWidth="1"/>
    <col min="11" max="11" width="10" style="19" customWidth="1"/>
    <col min="12" max="12" width="12.6640625" style="19" customWidth="1"/>
    <col min="13" max="13" width="24" style="19" bestFit="1" customWidth="1"/>
    <col min="14" max="14" width="10.109375" style="57" bestFit="1" customWidth="1"/>
    <col min="15" max="15" width="10.109375" style="60" bestFit="1" customWidth="1"/>
    <col min="16" max="16" width="8.6640625" style="59" hidden="1" customWidth="1"/>
    <col min="17" max="17" width="9.88671875" style="15" hidden="1" customWidth="1"/>
    <col min="18" max="18" width="10.5546875" style="15" hidden="1" customWidth="1"/>
    <col min="19" max="19" width="11" style="15" hidden="1" customWidth="1"/>
    <col min="20" max="21" width="8.77734375" style="61" customWidth="1"/>
    <col min="22" max="22" width="8.77734375" style="62" customWidth="1"/>
    <col min="23" max="23" width="8.77734375" style="63" hidden="1" customWidth="1"/>
    <col min="24" max="24" width="8.109375" style="63" hidden="1" customWidth="1"/>
    <col min="25" max="28" width="8.77734375" style="63" hidden="1" customWidth="1"/>
    <col min="29" max="29" width="9.33203125" style="63" hidden="1" customWidth="1"/>
    <col min="30" max="30" width="9.44140625" style="63" hidden="1" customWidth="1"/>
    <col min="31" max="31" width="8.5546875" style="64" hidden="1" customWidth="1"/>
    <col min="32" max="32" width="6.33203125" style="65" hidden="1" customWidth="1"/>
    <col min="33" max="33" width="33.33203125" style="66" bestFit="1" customWidth="1"/>
    <col min="34" max="34" width="28.44140625" style="66" customWidth="1"/>
    <col min="35" max="36" width="28.44140625" style="67" customWidth="1"/>
    <col min="37" max="16384" width="8.88671875" style="13"/>
  </cols>
  <sheetData>
    <row r="1" spans="1:36" s="169" customFormat="1" ht="13.8" x14ac:dyDescent="0.3">
      <c r="A1" s="165"/>
      <c r="B1" s="165"/>
      <c r="C1" s="166"/>
      <c r="D1" s="166"/>
      <c r="E1" s="166"/>
      <c r="F1" s="166"/>
      <c r="G1" s="166"/>
      <c r="H1" s="211" t="s">
        <v>66</v>
      </c>
      <c r="I1" s="211"/>
      <c r="J1" s="211"/>
      <c r="K1" s="211"/>
      <c r="L1" s="211"/>
      <c r="M1" s="211"/>
      <c r="N1" s="211"/>
      <c r="O1" s="212"/>
      <c r="P1" s="167" t="s">
        <v>151</v>
      </c>
      <c r="Q1" s="213" t="s">
        <v>235</v>
      </c>
      <c r="R1" s="213"/>
      <c r="S1" s="210" t="s">
        <v>151</v>
      </c>
      <c r="T1" s="217" t="s">
        <v>29</v>
      </c>
      <c r="U1" s="217"/>
      <c r="V1" s="168" t="s">
        <v>234</v>
      </c>
      <c r="W1" s="217" t="s">
        <v>139</v>
      </c>
      <c r="X1" s="217"/>
      <c r="Y1" s="217"/>
      <c r="Z1" s="217"/>
      <c r="AA1" s="217"/>
      <c r="AB1" s="217"/>
      <c r="AC1" s="217"/>
      <c r="AD1" s="217"/>
      <c r="AE1" s="213" t="s">
        <v>68</v>
      </c>
      <c r="AF1" s="214"/>
      <c r="AG1" s="215" t="s">
        <v>69</v>
      </c>
      <c r="AH1" s="216"/>
      <c r="AI1" s="216"/>
      <c r="AJ1" s="216"/>
    </row>
    <row r="2" spans="1:36" s="17" customFormat="1" ht="34.799999999999997" customHeight="1" x14ac:dyDescent="0.35">
      <c r="A2" s="121" t="s">
        <v>21</v>
      </c>
      <c r="B2" s="30" t="s">
        <v>23</v>
      </c>
      <c r="C2" s="29" t="s">
        <v>26</v>
      </c>
      <c r="D2" s="29" t="s">
        <v>70</v>
      </c>
      <c r="E2" s="30" t="s">
        <v>41</v>
      </c>
      <c r="F2" s="30" t="s">
        <v>251</v>
      </c>
      <c r="G2" s="31" t="s">
        <v>13</v>
      </c>
      <c r="H2" s="32" t="s">
        <v>71</v>
      </c>
      <c r="I2" s="33" t="s">
        <v>18</v>
      </c>
      <c r="J2" s="34" t="s">
        <v>49</v>
      </c>
      <c r="K2" s="35" t="s">
        <v>72</v>
      </c>
      <c r="L2" s="35" t="s">
        <v>181</v>
      </c>
      <c r="M2" s="34" t="s">
        <v>50</v>
      </c>
      <c r="N2" s="193" t="s">
        <v>73</v>
      </c>
      <c r="O2" s="152" t="s">
        <v>74</v>
      </c>
      <c r="P2" s="170" t="s">
        <v>51</v>
      </c>
      <c r="Q2" s="171" t="s">
        <v>19</v>
      </c>
      <c r="R2" s="171" t="s">
        <v>20</v>
      </c>
      <c r="S2" s="171" t="s">
        <v>299</v>
      </c>
      <c r="T2" s="172" t="s">
        <v>75</v>
      </c>
      <c r="U2" s="172" t="s">
        <v>17</v>
      </c>
      <c r="V2" s="171" t="s">
        <v>76</v>
      </c>
      <c r="W2" s="173" t="s">
        <v>77</v>
      </c>
      <c r="X2" s="173" t="s">
        <v>78</v>
      </c>
      <c r="Y2" s="173" t="s">
        <v>79</v>
      </c>
      <c r="Z2" s="173" t="s">
        <v>80</v>
      </c>
      <c r="AA2" s="173" t="s">
        <v>81</v>
      </c>
      <c r="AB2" s="173" t="s">
        <v>82</v>
      </c>
      <c r="AC2" s="173" t="s">
        <v>83</v>
      </c>
      <c r="AD2" s="173" t="s">
        <v>84</v>
      </c>
      <c r="AE2" s="174" t="s">
        <v>85</v>
      </c>
      <c r="AF2" s="175" t="s">
        <v>86</v>
      </c>
      <c r="AG2" s="140" t="s">
        <v>87</v>
      </c>
      <c r="AH2" s="35" t="s">
        <v>88</v>
      </c>
      <c r="AI2" s="35" t="s">
        <v>89</v>
      </c>
      <c r="AJ2" s="35" t="s">
        <v>242</v>
      </c>
    </row>
    <row r="3" spans="1:36" s="18" customFormat="1" ht="18" thickBot="1" x14ac:dyDescent="0.35">
      <c r="A3" s="36" t="s">
        <v>22</v>
      </c>
      <c r="B3" s="36" t="s">
        <v>24</v>
      </c>
      <c r="C3" s="36" t="s">
        <v>27</v>
      </c>
      <c r="D3" s="36" t="s">
        <v>27</v>
      </c>
      <c r="E3" s="37" t="s">
        <v>90</v>
      </c>
      <c r="F3" s="37"/>
      <c r="G3" s="38"/>
      <c r="H3" s="37" t="s">
        <v>25</v>
      </c>
      <c r="I3" s="39" t="s">
        <v>14</v>
      </c>
      <c r="J3" s="40"/>
      <c r="K3" s="41" t="s">
        <v>48</v>
      </c>
      <c r="L3" s="41"/>
      <c r="M3" s="40"/>
      <c r="N3" s="194" t="s">
        <v>180</v>
      </c>
      <c r="O3" s="153" t="s">
        <v>91</v>
      </c>
      <c r="P3" s="176" t="s">
        <v>48</v>
      </c>
      <c r="Q3" s="177" t="s">
        <v>15</v>
      </c>
      <c r="R3" s="177" t="s">
        <v>15</v>
      </c>
      <c r="S3" s="177"/>
      <c r="T3" s="178" t="s">
        <v>91</v>
      </c>
      <c r="U3" s="178" t="s">
        <v>16</v>
      </c>
      <c r="V3" s="177" t="s">
        <v>91</v>
      </c>
      <c r="W3" s="179" t="s">
        <v>15</v>
      </c>
      <c r="X3" s="179" t="s">
        <v>15</v>
      </c>
      <c r="Y3" s="179" t="s">
        <v>15</v>
      </c>
      <c r="Z3" s="179" t="s">
        <v>15</v>
      </c>
      <c r="AA3" s="179" t="s">
        <v>15</v>
      </c>
      <c r="AB3" s="179" t="s">
        <v>15</v>
      </c>
      <c r="AC3" s="179" t="s">
        <v>92</v>
      </c>
      <c r="AD3" s="179" t="s">
        <v>93</v>
      </c>
      <c r="AE3" s="180" t="s">
        <v>91</v>
      </c>
      <c r="AF3" s="181" t="s">
        <v>180</v>
      </c>
      <c r="AG3" s="141"/>
      <c r="AH3" s="42"/>
      <c r="AI3" s="42"/>
      <c r="AJ3" s="42"/>
    </row>
    <row r="4" spans="1:36" ht="31.95" customHeight="1" thickBot="1" x14ac:dyDescent="0.35">
      <c r="A4" s="12"/>
      <c r="B4" s="122"/>
      <c r="C4" s="49"/>
      <c r="D4" s="49" t="str">
        <f>IF(G4=Categories!$E$4,VLOOKUP(F4,Categories!$A$4:$C$13,3,1),VLOOKUP(G4,Categories!$E$4:$G$24,3,1))</f>
        <v>-</v>
      </c>
      <c r="E4" s="44" t="s">
        <v>0</v>
      </c>
      <c r="F4" s="50" t="s">
        <v>0</v>
      </c>
      <c r="G4" s="50" t="s">
        <v>246</v>
      </c>
      <c r="H4" s="52"/>
      <c r="I4" s="131">
        <v>2200</v>
      </c>
      <c r="J4" s="53" t="s">
        <v>0</v>
      </c>
      <c r="K4" s="54" t="str">
        <f>IFERROR(VLOOKUP(VLOOKUP(M4,M4,1,1),Categories!$K$4:$V$18,2+VLOOKUP(J4,J4,1,1)),"-"  )</f>
        <v>-</v>
      </c>
      <c r="L4" s="54" t="str">
        <f>IFERROR(VLOOKUP(VLOOKUP(M4,M4,1,1),Categories!$K$3:$V$18,7+VLOOKUP(J4,J4,1,1)),"-")</f>
        <v>-</v>
      </c>
      <c r="M4" s="55" t="s">
        <v>0</v>
      </c>
      <c r="N4" s="195" t="s">
        <v>0</v>
      </c>
      <c r="O4" s="204" t="s">
        <v>0</v>
      </c>
      <c r="P4" s="151"/>
      <c r="Q4" s="144"/>
      <c r="R4" s="144"/>
      <c r="S4" s="144"/>
      <c r="T4" s="147"/>
      <c r="U4" s="147"/>
      <c r="V4" s="202"/>
      <c r="W4" s="149"/>
      <c r="X4" s="149"/>
      <c r="Y4" s="149"/>
      <c r="Z4" s="149"/>
      <c r="AA4" s="149"/>
      <c r="AB4" s="149"/>
      <c r="AC4" s="149"/>
      <c r="AD4" s="149"/>
      <c r="AE4" s="148"/>
      <c r="AF4" s="150"/>
      <c r="AG4" s="143" t="s">
        <v>289</v>
      </c>
      <c r="AH4" s="48" t="s">
        <v>288</v>
      </c>
      <c r="AI4" s="56"/>
      <c r="AJ4" s="56"/>
    </row>
    <row r="5" spans="1:36" ht="31.95" customHeight="1" thickBot="1" x14ac:dyDescent="0.35">
      <c r="A5" s="12"/>
      <c r="B5" s="122"/>
      <c r="C5" s="49"/>
      <c r="D5" s="49">
        <f>IF(G5=Categories!$E$4,VLOOKUP(F5,Categories!$A$4:$C$13,3,1),VLOOKUP(G5,Categories!$E$4:$G$24,3,1))</f>
        <v>120</v>
      </c>
      <c r="E5" s="44">
        <v>1</v>
      </c>
      <c r="F5" s="50" t="s">
        <v>1</v>
      </c>
      <c r="G5" s="45" t="s">
        <v>0</v>
      </c>
      <c r="H5" s="52"/>
      <c r="I5" s="131">
        <v>2200</v>
      </c>
      <c r="J5" s="53" t="s">
        <v>0</v>
      </c>
      <c r="K5" s="54" t="str">
        <f>IFERROR(VLOOKUP(VLOOKUP(M5,M5,1,1),Categories!$K$4:$V$18,2+VLOOKUP(J5,J5,1,1)),"-"  )</f>
        <v>-</v>
      </c>
      <c r="L5" s="54" t="str">
        <f>IFERROR(VLOOKUP(VLOOKUP(M5,M5,1,1),Categories!$K$3:$V$18,7+VLOOKUP(J5,J5,1,1)),"-")</f>
        <v>-</v>
      </c>
      <c r="M5" s="55" t="s">
        <v>0</v>
      </c>
      <c r="N5" s="195" t="s">
        <v>0</v>
      </c>
      <c r="O5" s="204" t="s">
        <v>0</v>
      </c>
      <c r="P5" s="151"/>
      <c r="Q5" s="144"/>
      <c r="R5" s="144"/>
      <c r="S5" s="144"/>
      <c r="T5" s="147"/>
      <c r="U5" s="199"/>
      <c r="V5" s="203"/>
      <c r="W5" s="201"/>
      <c r="X5" s="149"/>
      <c r="Y5" s="149"/>
      <c r="Z5" s="149"/>
      <c r="AA5" s="149"/>
      <c r="AB5" s="149"/>
      <c r="AC5" s="149"/>
      <c r="AD5" s="149"/>
      <c r="AE5" s="148"/>
      <c r="AF5" s="150"/>
      <c r="AG5" s="143" t="s">
        <v>267</v>
      </c>
      <c r="AH5" s="56" t="s">
        <v>300</v>
      </c>
      <c r="AI5" s="56"/>
      <c r="AJ5" s="56" t="s">
        <v>281</v>
      </c>
    </row>
    <row r="6" spans="1:36" ht="31.95" customHeight="1" x14ac:dyDescent="0.3">
      <c r="A6" s="185"/>
      <c r="B6" s="186"/>
      <c r="C6" s="49"/>
      <c r="D6" s="49">
        <f>IF(G6=Categories!$E$4,VLOOKUP(F6,Categories!$A$4:$C$13,3,1),VLOOKUP(G6,Categories!$E$4:$G$24,3,1))</f>
        <v>60</v>
      </c>
      <c r="E6" s="44">
        <v>1</v>
      </c>
      <c r="F6" s="50" t="s">
        <v>257</v>
      </c>
      <c r="G6" s="51" t="s">
        <v>62</v>
      </c>
      <c r="H6" s="52"/>
      <c r="I6" s="131">
        <v>2200</v>
      </c>
      <c r="J6" s="53" t="s">
        <v>0</v>
      </c>
      <c r="K6" s="54" t="str">
        <f>IFERROR(VLOOKUP(VLOOKUP(M6,M6,1,1),Categories!$K$4:$V$18,2+VLOOKUP(J6,J6,1,1)),"-"  )</f>
        <v>-</v>
      </c>
      <c r="L6" s="54" t="str">
        <f>IFERROR(VLOOKUP(VLOOKUP(M6,M6,1,1),Categories!$K$3:$V$18,7+VLOOKUP(J6,J6,1,1)),"-")</f>
        <v>-</v>
      </c>
      <c r="M6" s="55" t="s">
        <v>0</v>
      </c>
      <c r="N6" s="197">
        <v>20</v>
      </c>
      <c r="O6" s="204">
        <f>IF(N6="-","-",$V$5*(1-N6/100))</f>
        <v>0</v>
      </c>
      <c r="P6" s="187"/>
      <c r="Q6" s="188"/>
      <c r="R6" s="188"/>
      <c r="S6" s="188"/>
      <c r="T6" s="189"/>
      <c r="U6" s="189"/>
      <c r="V6" s="190"/>
      <c r="W6" s="191"/>
      <c r="X6" s="191"/>
      <c r="Y6" s="191"/>
      <c r="Z6" s="191"/>
      <c r="AA6" s="191"/>
      <c r="AB6" s="191"/>
      <c r="AC6" s="191"/>
      <c r="AD6" s="191"/>
      <c r="AE6" s="190"/>
      <c r="AF6" s="192"/>
      <c r="AG6" s="143"/>
      <c r="AH6" s="56"/>
      <c r="AI6" s="56"/>
      <c r="AJ6" s="56"/>
    </row>
    <row r="7" spans="1:36" ht="31.95" customHeight="1" x14ac:dyDescent="0.3">
      <c r="A7" s="12"/>
      <c r="B7" s="122"/>
      <c r="C7" s="49"/>
      <c r="D7" s="49">
        <f>IF(G7=Categories!$E$4,VLOOKUP(F7,Categories!$A$4:$C$13,3,1),VLOOKUP(G7,Categories!$E$4:$G$24,3,1))</f>
        <v>120</v>
      </c>
      <c r="E7" s="44">
        <v>1</v>
      </c>
      <c r="F7" s="50" t="s">
        <v>45</v>
      </c>
      <c r="G7" s="45" t="s">
        <v>0</v>
      </c>
      <c r="H7" s="52"/>
      <c r="I7" s="131">
        <v>2200</v>
      </c>
      <c r="J7" s="53" t="s">
        <v>0</v>
      </c>
      <c r="K7" s="54" t="str">
        <f>IFERROR(VLOOKUP(VLOOKUP(M7,M7,1,1),Categories!$K$4:$V$18,2+VLOOKUP(J7,J7,1,1)),"-"  )</f>
        <v>-</v>
      </c>
      <c r="L7" s="54" t="str">
        <f>IFERROR(VLOOKUP(VLOOKUP(M7,M7,1,1),Categories!$K$3:$V$18,7+VLOOKUP(J7,J7,1,1)),"-")</f>
        <v>-</v>
      </c>
      <c r="M7" s="55" t="s">
        <v>0</v>
      </c>
      <c r="N7" s="195">
        <v>20</v>
      </c>
      <c r="O7" s="204">
        <f t="shared" ref="O7:O70" si="0">IF(N7="-","-",$V$5*(1-N7/100))</f>
        <v>0</v>
      </c>
      <c r="P7" s="151"/>
      <c r="Q7" s="144"/>
      <c r="R7" s="144"/>
      <c r="S7" s="144"/>
      <c r="T7" s="147"/>
      <c r="U7" s="147"/>
      <c r="V7" s="148"/>
      <c r="W7" s="149"/>
      <c r="X7" s="149"/>
      <c r="Y7" s="149"/>
      <c r="Z7" s="149"/>
      <c r="AA7" s="149"/>
      <c r="AB7" s="149"/>
      <c r="AC7" s="149"/>
      <c r="AD7" s="149"/>
      <c r="AE7" s="148"/>
      <c r="AF7" s="150"/>
      <c r="AG7" s="143"/>
      <c r="AH7" s="48"/>
      <c r="AI7" s="56"/>
      <c r="AJ7" s="56"/>
    </row>
    <row r="8" spans="1:36" ht="31.95" customHeight="1" x14ac:dyDescent="0.3">
      <c r="A8" s="12"/>
      <c r="B8" s="122"/>
      <c r="C8" s="49"/>
      <c r="D8" s="49">
        <f>IF(G8=Categories!$E$4,VLOOKUP(F8,Categories!$A$4:$C$13,3,1),VLOOKUP(G8,Categories!$E$4:$G$24,3,1))</f>
        <v>60</v>
      </c>
      <c r="E8" s="44">
        <v>1</v>
      </c>
      <c r="F8" s="50" t="s">
        <v>257</v>
      </c>
      <c r="G8" s="51" t="s">
        <v>62</v>
      </c>
      <c r="H8" s="52"/>
      <c r="I8" s="131">
        <v>2200</v>
      </c>
      <c r="J8" s="53" t="s">
        <v>0</v>
      </c>
      <c r="K8" s="54" t="str">
        <f>IFERROR(VLOOKUP(VLOOKUP(M8,M8,1,1),Categories!$K$4:$V$18,2+VLOOKUP(J8,J8,1,1)),"-"  )</f>
        <v>-</v>
      </c>
      <c r="L8" s="54" t="str">
        <f>IFERROR(VLOOKUP(VLOOKUP(M8,M8,1,1),Categories!$K$3:$V$18,7+VLOOKUP(J8,J8,1,1)),"-")</f>
        <v>-</v>
      </c>
      <c r="M8" s="55" t="s">
        <v>0</v>
      </c>
      <c r="N8" s="197">
        <v>40</v>
      </c>
      <c r="O8" s="204">
        <f t="shared" si="0"/>
        <v>0</v>
      </c>
      <c r="P8" s="151"/>
      <c r="Q8" s="144"/>
      <c r="R8" s="144"/>
      <c r="S8" s="188"/>
      <c r="T8" s="147"/>
      <c r="U8" s="147"/>
      <c r="V8" s="148"/>
      <c r="W8" s="149"/>
      <c r="X8" s="149"/>
      <c r="Y8" s="149"/>
      <c r="Z8" s="149"/>
      <c r="AA8" s="149"/>
      <c r="AB8" s="149"/>
      <c r="AC8" s="149"/>
      <c r="AD8" s="149"/>
      <c r="AE8" s="148"/>
      <c r="AF8" s="150"/>
      <c r="AG8" s="143"/>
      <c r="AH8" s="48"/>
      <c r="AI8" s="56"/>
      <c r="AJ8" s="56"/>
    </row>
    <row r="9" spans="1:36" ht="31.95" customHeight="1" x14ac:dyDescent="0.3">
      <c r="A9" s="12"/>
      <c r="B9" s="122"/>
      <c r="C9" s="49"/>
      <c r="D9" s="49">
        <f>IF(G9=Categories!$E$4,VLOOKUP(F9,Categories!$A$4:$C$13,3,1),VLOOKUP(G9,Categories!$E$4:$G$24,3,1))</f>
        <v>120</v>
      </c>
      <c r="E9" s="44">
        <v>1</v>
      </c>
      <c r="F9" s="50" t="s">
        <v>45</v>
      </c>
      <c r="G9" s="45" t="s">
        <v>0</v>
      </c>
      <c r="H9" s="52"/>
      <c r="I9" s="131">
        <v>2200</v>
      </c>
      <c r="J9" s="53" t="s">
        <v>0</v>
      </c>
      <c r="K9" s="54" t="str">
        <f>IFERROR(VLOOKUP(VLOOKUP(M9,M9,1,1),Categories!$K$4:$V$18,2+VLOOKUP(J9,J9,1,1)),"-"  )</f>
        <v>-</v>
      </c>
      <c r="L9" s="54" t="str">
        <f>IFERROR(VLOOKUP(VLOOKUP(M9,M9,1,1),Categories!$K$3:$V$18,7+VLOOKUP(J9,J9,1,1)),"-")</f>
        <v>-</v>
      </c>
      <c r="M9" s="55" t="s">
        <v>0</v>
      </c>
      <c r="N9" s="195">
        <v>40</v>
      </c>
      <c r="O9" s="204">
        <f t="shared" si="0"/>
        <v>0</v>
      </c>
      <c r="P9" s="151"/>
      <c r="Q9" s="144"/>
      <c r="R9" s="144"/>
      <c r="S9" s="144"/>
      <c r="T9" s="147"/>
      <c r="U9" s="147"/>
      <c r="V9" s="148"/>
      <c r="W9" s="149"/>
      <c r="X9" s="149"/>
      <c r="Y9" s="149"/>
      <c r="Z9" s="149"/>
      <c r="AA9" s="149"/>
      <c r="AB9" s="149"/>
      <c r="AC9" s="149"/>
      <c r="AD9" s="149"/>
      <c r="AE9" s="148"/>
      <c r="AF9" s="150"/>
      <c r="AG9" s="143"/>
      <c r="AH9" s="48"/>
      <c r="AI9" s="56"/>
      <c r="AJ9" s="56"/>
    </row>
    <row r="10" spans="1:36" ht="31.95" customHeight="1" x14ac:dyDescent="0.3">
      <c r="A10" s="12"/>
      <c r="B10" s="122"/>
      <c r="C10" s="49"/>
      <c r="D10" s="49">
        <f>IF(G10=Categories!$E$4,VLOOKUP(F10,Categories!$A$4:$C$13,3,1),VLOOKUP(G10,Categories!$E$4:$G$24,3,1))</f>
        <v>60</v>
      </c>
      <c r="E10" s="44">
        <v>1</v>
      </c>
      <c r="F10" s="50" t="s">
        <v>257</v>
      </c>
      <c r="G10" s="51" t="s">
        <v>62</v>
      </c>
      <c r="H10" s="52"/>
      <c r="I10" s="131">
        <v>2200</v>
      </c>
      <c r="J10" s="53" t="s">
        <v>0</v>
      </c>
      <c r="K10" s="54" t="str">
        <f>IFERROR(VLOOKUP(VLOOKUP(M10,M10,1,1),Categories!$K$4:$V$18,2+VLOOKUP(J10,J10,1,1)),"-"  )</f>
        <v>-</v>
      </c>
      <c r="L10" s="54" t="str">
        <f>IFERROR(VLOOKUP(VLOOKUP(M10,M10,1,1),Categories!$K$3:$V$18,7+VLOOKUP(J10,J10,1,1)),"-")</f>
        <v>-</v>
      </c>
      <c r="M10" s="55" t="s">
        <v>0</v>
      </c>
      <c r="N10" s="197">
        <v>60</v>
      </c>
      <c r="O10" s="204">
        <f t="shared" si="0"/>
        <v>0</v>
      </c>
      <c r="P10" s="151"/>
      <c r="Q10" s="144"/>
      <c r="R10" s="144"/>
      <c r="S10" s="188"/>
      <c r="T10" s="147"/>
      <c r="U10" s="147"/>
      <c r="V10" s="148"/>
      <c r="W10" s="149"/>
      <c r="X10" s="149"/>
      <c r="Y10" s="149"/>
      <c r="Z10" s="149"/>
      <c r="AA10" s="149"/>
      <c r="AB10" s="149"/>
      <c r="AC10" s="149"/>
      <c r="AD10" s="149"/>
      <c r="AE10" s="148"/>
      <c r="AF10" s="150"/>
      <c r="AG10" s="143"/>
      <c r="AH10" s="48"/>
      <c r="AI10" s="56"/>
      <c r="AJ10" s="56"/>
    </row>
    <row r="11" spans="1:36" ht="31.95" customHeight="1" x14ac:dyDescent="0.3">
      <c r="A11" s="12"/>
      <c r="B11" s="122"/>
      <c r="C11" s="49"/>
      <c r="D11" s="49">
        <f>IF(G11=Categories!$E$4,VLOOKUP(F11,Categories!$A$4:$C$13,3,1),VLOOKUP(G11,Categories!$E$4:$G$24,3,1))</f>
        <v>120</v>
      </c>
      <c r="E11" s="44">
        <v>1</v>
      </c>
      <c r="F11" s="50" t="s">
        <v>45</v>
      </c>
      <c r="G11" s="45" t="s">
        <v>0</v>
      </c>
      <c r="H11" s="52"/>
      <c r="I11" s="131">
        <v>2200</v>
      </c>
      <c r="J11" s="53" t="s">
        <v>0</v>
      </c>
      <c r="K11" s="54" t="str">
        <f>IFERROR(VLOOKUP(VLOOKUP(M11,M11,1,1),Categories!$K$4:$V$18,2+VLOOKUP(J11,J11,1,1)),"-"  )</f>
        <v>-</v>
      </c>
      <c r="L11" s="54" t="str">
        <f>IFERROR(VLOOKUP(VLOOKUP(M11,M11,1,1),Categories!$K$3:$V$18,7+VLOOKUP(J11,J11,1,1)),"-")</f>
        <v>-</v>
      </c>
      <c r="M11" s="55" t="s">
        <v>0</v>
      </c>
      <c r="N11" s="195">
        <v>60</v>
      </c>
      <c r="O11" s="204">
        <f t="shared" si="0"/>
        <v>0</v>
      </c>
      <c r="P11" s="151"/>
      <c r="Q11" s="144"/>
      <c r="R11" s="144"/>
      <c r="S11" s="144"/>
      <c r="T11" s="147"/>
      <c r="U11" s="147"/>
      <c r="V11" s="148"/>
      <c r="W11" s="149"/>
      <c r="X11" s="149"/>
      <c r="Y11" s="149"/>
      <c r="Z11" s="149"/>
      <c r="AA11" s="149"/>
      <c r="AB11" s="149"/>
      <c r="AC11" s="149"/>
      <c r="AD11" s="149"/>
      <c r="AE11" s="148"/>
      <c r="AF11" s="150"/>
      <c r="AG11" s="143"/>
      <c r="AH11" s="48"/>
      <c r="AI11" s="56"/>
      <c r="AJ11" s="56"/>
    </row>
    <row r="12" spans="1:36" ht="31.95" customHeight="1" x14ac:dyDescent="0.3">
      <c r="A12" s="12"/>
      <c r="B12" s="122"/>
      <c r="C12" s="49"/>
      <c r="D12" s="49">
        <f>IF(G12=Categories!$E$4,VLOOKUP(F12,Categories!$A$4:$C$13,3,1),VLOOKUP(G12,Categories!$E$4:$G$24,3,1))</f>
        <v>60</v>
      </c>
      <c r="E12" s="44">
        <v>1</v>
      </c>
      <c r="F12" s="50" t="s">
        <v>257</v>
      </c>
      <c r="G12" s="51" t="s">
        <v>62</v>
      </c>
      <c r="H12" s="52"/>
      <c r="I12" s="131">
        <v>2200</v>
      </c>
      <c r="J12" s="53" t="s">
        <v>0</v>
      </c>
      <c r="K12" s="54" t="str">
        <f>IFERROR(VLOOKUP(VLOOKUP(M12,M12,1,1),Categories!$K$4:$V$18,2+VLOOKUP(J12,J12,1,1)),"-"  )</f>
        <v>-</v>
      </c>
      <c r="L12" s="54" t="str">
        <f>IFERROR(VLOOKUP(VLOOKUP(M12,M12,1,1),Categories!$K$3:$V$18,7+VLOOKUP(J12,J12,1,1)),"-")</f>
        <v>-</v>
      </c>
      <c r="M12" s="55" t="s">
        <v>0</v>
      </c>
      <c r="N12" s="197">
        <v>80</v>
      </c>
      <c r="O12" s="204">
        <f t="shared" si="0"/>
        <v>0</v>
      </c>
      <c r="P12" s="151"/>
      <c r="Q12" s="144"/>
      <c r="R12" s="144"/>
      <c r="S12" s="188"/>
      <c r="T12" s="147"/>
      <c r="U12" s="147"/>
      <c r="V12" s="148"/>
      <c r="W12" s="149"/>
      <c r="X12" s="149"/>
      <c r="Y12" s="149"/>
      <c r="Z12" s="149"/>
      <c r="AA12" s="149"/>
      <c r="AB12" s="149"/>
      <c r="AC12" s="149"/>
      <c r="AD12" s="149"/>
      <c r="AE12" s="148"/>
      <c r="AF12" s="150"/>
      <c r="AG12" s="143"/>
      <c r="AH12" s="48"/>
      <c r="AI12" s="56"/>
      <c r="AJ12" s="56"/>
    </row>
    <row r="13" spans="1:36" ht="31.95" customHeight="1" x14ac:dyDescent="0.3">
      <c r="A13" s="12"/>
      <c r="B13" s="122"/>
      <c r="C13" s="49"/>
      <c r="D13" s="49">
        <f>IF(G13=Categories!$E$4,VLOOKUP(F13,Categories!$A$4:$C$13,3,1),VLOOKUP(G13,Categories!$E$4:$G$24,3,1))</f>
        <v>120</v>
      </c>
      <c r="E13" s="44">
        <v>1</v>
      </c>
      <c r="F13" s="50" t="s">
        <v>45</v>
      </c>
      <c r="G13" s="45" t="s">
        <v>0</v>
      </c>
      <c r="H13" s="52"/>
      <c r="I13" s="131">
        <v>2200</v>
      </c>
      <c r="J13" s="53" t="s">
        <v>0</v>
      </c>
      <c r="K13" s="54" t="str">
        <f>IFERROR(VLOOKUP(VLOOKUP(M13,M13,1,1),Categories!$K$4:$V$18,2+VLOOKUP(J13,J13,1,1)),"-"  )</f>
        <v>-</v>
      </c>
      <c r="L13" s="54" t="str">
        <f>IFERROR(VLOOKUP(VLOOKUP(M13,M13,1,1),Categories!$K$3:$V$18,7+VLOOKUP(J13,J13,1,1)),"-")</f>
        <v>-</v>
      </c>
      <c r="M13" s="55" t="s">
        <v>0</v>
      </c>
      <c r="N13" s="195">
        <v>80</v>
      </c>
      <c r="O13" s="204">
        <f t="shared" si="0"/>
        <v>0</v>
      </c>
      <c r="P13" s="151"/>
      <c r="Q13" s="144"/>
      <c r="R13" s="144"/>
      <c r="S13" s="144"/>
      <c r="T13" s="147"/>
      <c r="U13" s="147"/>
      <c r="V13" s="148"/>
      <c r="W13" s="149"/>
      <c r="X13" s="149"/>
      <c r="Y13" s="149"/>
      <c r="Z13" s="149"/>
      <c r="AA13" s="149"/>
      <c r="AB13" s="149"/>
      <c r="AC13" s="149"/>
      <c r="AD13" s="149"/>
      <c r="AE13" s="148"/>
      <c r="AF13" s="150"/>
      <c r="AG13" s="143"/>
      <c r="AH13" s="48"/>
      <c r="AI13" s="56"/>
      <c r="AJ13" s="56"/>
    </row>
    <row r="14" spans="1:36" ht="31.95" customHeight="1" x14ac:dyDescent="0.3">
      <c r="A14" s="12"/>
      <c r="B14" s="122"/>
      <c r="C14" s="49"/>
      <c r="D14" s="49">
        <f>IF(G14=Categories!$E$4,VLOOKUP(F14,Categories!$A$4:$C$13,3,1),VLOOKUP(G14,Categories!$E$4:$G$24,3,1))</f>
        <v>60</v>
      </c>
      <c r="E14" s="44">
        <v>1</v>
      </c>
      <c r="F14" s="50" t="s">
        <v>257</v>
      </c>
      <c r="G14" s="51" t="s">
        <v>62</v>
      </c>
      <c r="H14" s="52"/>
      <c r="I14" s="131">
        <v>2200</v>
      </c>
      <c r="J14" s="53" t="s">
        <v>0</v>
      </c>
      <c r="K14" s="54" t="str">
        <f>IFERROR(VLOOKUP(VLOOKUP(M14,M14,1,1),Categories!$K$4:$V$18,2+VLOOKUP(J14,J14,1,1)),"-"  )</f>
        <v>-</v>
      </c>
      <c r="L14" s="54" t="str">
        <f>IFERROR(VLOOKUP(VLOOKUP(M14,M14,1,1),Categories!$K$3:$V$18,7+VLOOKUP(J14,J14,1,1)),"-")</f>
        <v>-</v>
      </c>
      <c r="M14" s="55" t="s">
        <v>0</v>
      </c>
      <c r="N14" s="197">
        <v>0</v>
      </c>
      <c r="O14" s="204">
        <f t="shared" si="0"/>
        <v>0</v>
      </c>
      <c r="P14" s="151"/>
      <c r="Q14" s="144"/>
      <c r="R14" s="144"/>
      <c r="S14" s="144"/>
      <c r="T14" s="147"/>
      <c r="U14" s="147"/>
      <c r="V14" s="148"/>
      <c r="W14" s="149"/>
      <c r="X14" s="149"/>
      <c r="Y14" s="149"/>
      <c r="Z14" s="149"/>
      <c r="AA14" s="149"/>
      <c r="AB14" s="149"/>
      <c r="AC14" s="149"/>
      <c r="AD14" s="149"/>
      <c r="AE14" s="148"/>
      <c r="AF14" s="150"/>
      <c r="AG14" s="143"/>
      <c r="AH14" s="48"/>
      <c r="AI14" s="56"/>
      <c r="AJ14" s="56"/>
    </row>
    <row r="15" spans="1:36" ht="31.95" customHeight="1" x14ac:dyDescent="0.3">
      <c r="A15" s="12"/>
      <c r="B15" s="122"/>
      <c r="C15" s="49"/>
      <c r="D15" s="49">
        <f>IF(G15=Categories!$E$4,VLOOKUP(F15,Categories!$A$4:$C$13,3,1),VLOOKUP(G15,Categories!$E$4:$G$24,3,1))</f>
        <v>120</v>
      </c>
      <c r="E15" s="44">
        <v>1</v>
      </c>
      <c r="F15" s="50" t="s">
        <v>259</v>
      </c>
      <c r="G15" s="51" t="s">
        <v>0</v>
      </c>
      <c r="H15" s="52"/>
      <c r="I15" s="131">
        <v>2200</v>
      </c>
      <c r="J15" s="53" t="s">
        <v>0</v>
      </c>
      <c r="K15" s="54" t="str">
        <f>IFERROR(VLOOKUP(VLOOKUP(M15,M15,1,1),Categories!$K$4:$V$18,2+VLOOKUP(J15,J15,1,1)),"-"  )</f>
        <v>-</v>
      </c>
      <c r="L15" s="54" t="str">
        <f>IFERROR(VLOOKUP(VLOOKUP(M15,M15,1,1),Categories!$K$3:$V$18,7+VLOOKUP(J15,J15,1,1)),"-")</f>
        <v>-</v>
      </c>
      <c r="M15" s="55" t="s">
        <v>0</v>
      </c>
      <c r="N15" s="195">
        <v>0</v>
      </c>
      <c r="O15" s="204">
        <f t="shared" si="0"/>
        <v>0</v>
      </c>
      <c r="P15" s="151"/>
      <c r="Q15" s="144"/>
      <c r="R15" s="144"/>
      <c r="S15" s="144"/>
      <c r="T15" s="147"/>
      <c r="U15" s="147"/>
      <c r="V15" s="148"/>
      <c r="W15" s="149"/>
      <c r="X15" s="149"/>
      <c r="Y15" s="149"/>
      <c r="Z15" s="149"/>
      <c r="AA15" s="149"/>
      <c r="AB15" s="149"/>
      <c r="AC15" s="149"/>
      <c r="AD15" s="149"/>
      <c r="AE15" s="148"/>
      <c r="AF15" s="150"/>
      <c r="AG15" s="143"/>
      <c r="AH15" s="48"/>
      <c r="AI15" s="56"/>
      <c r="AJ15" s="56"/>
    </row>
    <row r="16" spans="1:36" ht="31.95" customHeight="1" x14ac:dyDescent="0.3">
      <c r="A16" s="185"/>
      <c r="B16" s="186"/>
      <c r="C16" s="49"/>
      <c r="D16" s="49">
        <f>IF(G16=Categories!$E$4,VLOOKUP(F16,Categories!$A$4:$C$13,3,1),VLOOKUP(G16,Categories!$E$4:$G$24,3,1))</f>
        <v>60</v>
      </c>
      <c r="E16" s="44">
        <v>2</v>
      </c>
      <c r="F16" s="50" t="s">
        <v>257</v>
      </c>
      <c r="G16" s="51" t="s">
        <v>61</v>
      </c>
      <c r="H16" s="52"/>
      <c r="I16" s="131">
        <v>2200</v>
      </c>
      <c r="J16" s="53" t="s">
        <v>0</v>
      </c>
      <c r="K16" s="54" t="str">
        <f>IFERROR(VLOOKUP(VLOOKUP(M16,M16,1,1),Categories!$K$4:$V$18,2+VLOOKUP(J16,J16,1,1)),"-"  )</f>
        <v>-</v>
      </c>
      <c r="L16" s="54" t="str">
        <f>IFERROR(VLOOKUP(VLOOKUP(M16,M16,1,1),Categories!$K$3:$V$18,7+VLOOKUP(J16,J16,1,1)),"-")</f>
        <v>-</v>
      </c>
      <c r="M16" s="55" t="s">
        <v>0</v>
      </c>
      <c r="N16" s="197">
        <v>20</v>
      </c>
      <c r="O16" s="204">
        <f t="shared" si="0"/>
        <v>0</v>
      </c>
      <c r="P16" s="187"/>
      <c r="Q16" s="188"/>
      <c r="R16" s="188"/>
      <c r="S16" s="144"/>
      <c r="T16" s="189"/>
      <c r="U16" s="189"/>
      <c r="V16" s="190"/>
      <c r="W16" s="191"/>
      <c r="X16" s="191"/>
      <c r="Y16" s="191"/>
      <c r="Z16" s="191"/>
      <c r="AA16" s="191"/>
      <c r="AB16" s="191"/>
      <c r="AC16" s="191"/>
      <c r="AD16" s="191"/>
      <c r="AE16" s="190"/>
      <c r="AF16" s="192"/>
      <c r="AG16" s="143"/>
      <c r="AH16" s="56"/>
      <c r="AI16" s="56"/>
      <c r="AJ16" s="56"/>
    </row>
    <row r="17" spans="1:36" ht="31.95" customHeight="1" x14ac:dyDescent="0.3">
      <c r="A17" s="12"/>
      <c r="B17" s="122"/>
      <c r="C17" s="49"/>
      <c r="D17" s="49">
        <f>IF(G17=Categories!$E$4,VLOOKUP(F17,Categories!$A$4:$C$13,3,1),VLOOKUP(G17,Categories!$E$4:$G$24,3,1))</f>
        <v>120</v>
      </c>
      <c r="E17" s="44">
        <v>2</v>
      </c>
      <c r="F17" s="50" t="s">
        <v>45</v>
      </c>
      <c r="G17" s="45" t="s">
        <v>0</v>
      </c>
      <c r="H17" s="52"/>
      <c r="I17" s="131">
        <v>2200</v>
      </c>
      <c r="J17" s="53" t="s">
        <v>0</v>
      </c>
      <c r="K17" s="54" t="str">
        <f>IFERROR(VLOOKUP(VLOOKUP(M17,M17,1,1),Categories!$K$4:$V$18,2+VLOOKUP(J17,J17,1,1)),"-"  )</f>
        <v>-</v>
      </c>
      <c r="L17" s="54" t="str">
        <f>IFERROR(VLOOKUP(VLOOKUP(M17,M17,1,1),Categories!$K$3:$V$18,7+VLOOKUP(J17,J17,1,1)),"-")</f>
        <v>-</v>
      </c>
      <c r="M17" s="55" t="s">
        <v>0</v>
      </c>
      <c r="N17" s="195">
        <v>20</v>
      </c>
      <c r="O17" s="204">
        <f t="shared" si="0"/>
        <v>0</v>
      </c>
      <c r="P17" s="151"/>
      <c r="Q17" s="144"/>
      <c r="R17" s="144"/>
      <c r="S17" s="144"/>
      <c r="T17" s="147"/>
      <c r="U17" s="147"/>
      <c r="V17" s="148"/>
      <c r="W17" s="149"/>
      <c r="X17" s="149"/>
      <c r="Y17" s="149"/>
      <c r="Z17" s="149"/>
      <c r="AA17" s="149"/>
      <c r="AB17" s="149"/>
      <c r="AC17" s="149"/>
      <c r="AD17" s="149"/>
      <c r="AE17" s="148"/>
      <c r="AF17" s="150"/>
      <c r="AG17" s="143"/>
      <c r="AH17" s="48"/>
      <c r="AI17" s="56"/>
      <c r="AJ17" s="56"/>
    </row>
    <row r="18" spans="1:36" ht="31.95" customHeight="1" x14ac:dyDescent="0.3">
      <c r="A18" s="12"/>
      <c r="B18" s="122"/>
      <c r="C18" s="49"/>
      <c r="D18" s="49">
        <f>IF(G18=Categories!$E$4,VLOOKUP(F18,Categories!$A$4:$C$13,3,1),VLOOKUP(G18,Categories!$E$4:$G$24,3,1))</f>
        <v>60</v>
      </c>
      <c r="E18" s="44">
        <v>2</v>
      </c>
      <c r="F18" s="50" t="s">
        <v>257</v>
      </c>
      <c r="G18" s="51" t="s">
        <v>61</v>
      </c>
      <c r="H18" s="52"/>
      <c r="I18" s="131">
        <v>2200</v>
      </c>
      <c r="J18" s="53" t="s">
        <v>0</v>
      </c>
      <c r="K18" s="54" t="str">
        <f>IFERROR(VLOOKUP(VLOOKUP(M18,M18,1,1),Categories!$K$4:$V$18,2+VLOOKUP(J18,J18,1,1)),"-"  )</f>
        <v>-</v>
      </c>
      <c r="L18" s="54" t="str">
        <f>IFERROR(VLOOKUP(VLOOKUP(M18,M18,1,1),Categories!$K$3:$V$18,7+VLOOKUP(J18,J18,1,1)),"-")</f>
        <v>-</v>
      </c>
      <c r="M18" s="55" t="s">
        <v>0</v>
      </c>
      <c r="N18" s="197">
        <v>40</v>
      </c>
      <c r="O18" s="204">
        <f t="shared" si="0"/>
        <v>0</v>
      </c>
      <c r="P18" s="151"/>
      <c r="Q18" s="144"/>
      <c r="R18" s="144"/>
      <c r="S18" s="144"/>
      <c r="T18" s="147"/>
      <c r="U18" s="147"/>
      <c r="V18" s="148"/>
      <c r="W18" s="149"/>
      <c r="X18" s="149"/>
      <c r="Y18" s="149"/>
      <c r="Z18" s="149"/>
      <c r="AA18" s="149"/>
      <c r="AB18" s="149"/>
      <c r="AC18" s="149"/>
      <c r="AD18" s="149"/>
      <c r="AE18" s="148"/>
      <c r="AF18" s="150"/>
      <c r="AG18" s="143"/>
      <c r="AH18" s="48"/>
      <c r="AI18" s="56"/>
      <c r="AJ18" s="56"/>
    </row>
    <row r="19" spans="1:36" ht="31.95" customHeight="1" x14ac:dyDescent="0.3">
      <c r="A19" s="12"/>
      <c r="B19" s="122"/>
      <c r="C19" s="49"/>
      <c r="D19" s="49">
        <f>IF(G19=Categories!$E$4,VLOOKUP(F19,Categories!$A$4:$C$13,3,1),VLOOKUP(G19,Categories!$E$4:$G$24,3,1))</f>
        <v>120</v>
      </c>
      <c r="E19" s="44">
        <v>2</v>
      </c>
      <c r="F19" s="50" t="s">
        <v>45</v>
      </c>
      <c r="G19" s="45" t="s">
        <v>0</v>
      </c>
      <c r="H19" s="52"/>
      <c r="I19" s="131">
        <v>2200</v>
      </c>
      <c r="J19" s="53" t="s">
        <v>0</v>
      </c>
      <c r="K19" s="54" t="str">
        <f>IFERROR(VLOOKUP(VLOOKUP(M19,M19,1,1),Categories!$K$4:$V$18,2+VLOOKUP(J19,J19,1,1)),"-"  )</f>
        <v>-</v>
      </c>
      <c r="L19" s="54" t="str">
        <f>IFERROR(VLOOKUP(VLOOKUP(M19,M19,1,1),Categories!$K$3:$V$18,7+VLOOKUP(J19,J19,1,1)),"-")</f>
        <v>-</v>
      </c>
      <c r="M19" s="55" t="s">
        <v>0</v>
      </c>
      <c r="N19" s="195">
        <v>40</v>
      </c>
      <c r="O19" s="204">
        <f t="shared" si="0"/>
        <v>0</v>
      </c>
      <c r="P19" s="151"/>
      <c r="Q19" s="144"/>
      <c r="R19" s="144"/>
      <c r="S19" s="144"/>
      <c r="T19" s="147"/>
      <c r="U19" s="147"/>
      <c r="V19" s="148"/>
      <c r="W19" s="149"/>
      <c r="X19" s="149"/>
      <c r="Y19" s="149"/>
      <c r="Z19" s="149"/>
      <c r="AA19" s="149"/>
      <c r="AB19" s="149"/>
      <c r="AC19" s="149"/>
      <c r="AD19" s="149"/>
      <c r="AE19" s="148"/>
      <c r="AF19" s="150"/>
      <c r="AG19" s="143"/>
      <c r="AH19" s="48"/>
      <c r="AI19" s="56"/>
      <c r="AJ19" s="56"/>
    </row>
    <row r="20" spans="1:36" ht="31.95" customHeight="1" x14ac:dyDescent="0.3">
      <c r="A20" s="12"/>
      <c r="B20" s="122"/>
      <c r="C20" s="49"/>
      <c r="D20" s="49">
        <f>IF(G20=Categories!$E$4,VLOOKUP(F20,Categories!$A$4:$C$13,3,1),VLOOKUP(G20,Categories!$E$4:$G$24,3,1))</f>
        <v>60</v>
      </c>
      <c r="E20" s="44">
        <v>2</v>
      </c>
      <c r="F20" s="50" t="s">
        <v>257</v>
      </c>
      <c r="G20" s="51" t="s">
        <v>61</v>
      </c>
      <c r="H20" s="52"/>
      <c r="I20" s="131">
        <v>2200</v>
      </c>
      <c r="J20" s="53" t="s">
        <v>0</v>
      </c>
      <c r="K20" s="54" t="str">
        <f>IFERROR(VLOOKUP(VLOOKUP(M20,M20,1,1),Categories!$K$4:$V$18,2+VLOOKUP(J20,J20,1,1)),"-"  )</f>
        <v>-</v>
      </c>
      <c r="L20" s="54" t="str">
        <f>IFERROR(VLOOKUP(VLOOKUP(M20,M20,1,1),Categories!$K$3:$V$18,7+VLOOKUP(J20,J20,1,1)),"-")</f>
        <v>-</v>
      </c>
      <c r="M20" s="55" t="s">
        <v>0</v>
      </c>
      <c r="N20" s="197">
        <v>60</v>
      </c>
      <c r="O20" s="204">
        <f t="shared" si="0"/>
        <v>0</v>
      </c>
      <c r="P20" s="151"/>
      <c r="Q20" s="144"/>
      <c r="R20" s="144"/>
      <c r="S20" s="144"/>
      <c r="T20" s="147"/>
      <c r="U20" s="147"/>
      <c r="V20" s="148"/>
      <c r="W20" s="149"/>
      <c r="X20" s="149"/>
      <c r="Y20" s="149"/>
      <c r="Z20" s="149"/>
      <c r="AA20" s="149"/>
      <c r="AB20" s="149"/>
      <c r="AC20" s="149"/>
      <c r="AD20" s="149"/>
      <c r="AE20" s="148"/>
      <c r="AF20" s="150"/>
      <c r="AG20" s="143"/>
      <c r="AH20" s="48"/>
      <c r="AI20" s="56"/>
      <c r="AJ20" s="56"/>
    </row>
    <row r="21" spans="1:36" ht="31.95" customHeight="1" x14ac:dyDescent="0.3">
      <c r="A21" s="12"/>
      <c r="B21" s="122"/>
      <c r="C21" s="49"/>
      <c r="D21" s="49">
        <f>IF(G21=Categories!$E$4,VLOOKUP(F21,Categories!$A$4:$C$13,3,1),VLOOKUP(G21,Categories!$E$4:$G$24,3,1))</f>
        <v>120</v>
      </c>
      <c r="E21" s="44">
        <v>2</v>
      </c>
      <c r="F21" s="50" t="s">
        <v>45</v>
      </c>
      <c r="G21" s="45" t="s">
        <v>0</v>
      </c>
      <c r="H21" s="52"/>
      <c r="I21" s="131">
        <v>2200</v>
      </c>
      <c r="J21" s="53" t="s">
        <v>0</v>
      </c>
      <c r="K21" s="54" t="str">
        <f>IFERROR(VLOOKUP(VLOOKUP(M21,M21,1,1),Categories!$K$4:$V$18,2+VLOOKUP(J21,J21,1,1)),"-"  )</f>
        <v>-</v>
      </c>
      <c r="L21" s="54" t="str">
        <f>IFERROR(VLOOKUP(VLOOKUP(M21,M21,1,1),Categories!$K$3:$V$18,7+VLOOKUP(J21,J21,1,1)),"-")</f>
        <v>-</v>
      </c>
      <c r="M21" s="55" t="s">
        <v>0</v>
      </c>
      <c r="N21" s="195">
        <v>60</v>
      </c>
      <c r="O21" s="204">
        <f t="shared" si="0"/>
        <v>0</v>
      </c>
      <c r="P21" s="151"/>
      <c r="Q21" s="144"/>
      <c r="R21" s="144"/>
      <c r="S21" s="144"/>
      <c r="T21" s="147"/>
      <c r="U21" s="147"/>
      <c r="V21" s="148"/>
      <c r="W21" s="149"/>
      <c r="X21" s="149"/>
      <c r="Y21" s="149"/>
      <c r="Z21" s="149"/>
      <c r="AA21" s="149"/>
      <c r="AB21" s="149"/>
      <c r="AC21" s="149"/>
      <c r="AD21" s="149"/>
      <c r="AE21" s="148"/>
      <c r="AF21" s="150"/>
      <c r="AG21" s="143"/>
      <c r="AH21" s="48"/>
      <c r="AI21" s="56"/>
      <c r="AJ21" s="56"/>
    </row>
    <row r="22" spans="1:36" ht="31.95" customHeight="1" x14ac:dyDescent="0.3">
      <c r="A22" s="12"/>
      <c r="B22" s="122"/>
      <c r="C22" s="49"/>
      <c r="D22" s="49">
        <f>IF(G22=Categories!$E$4,VLOOKUP(F22,Categories!$A$4:$C$13,3,1),VLOOKUP(G22,Categories!$E$4:$G$24,3,1))</f>
        <v>60</v>
      </c>
      <c r="E22" s="44">
        <v>2</v>
      </c>
      <c r="F22" s="50" t="s">
        <v>257</v>
      </c>
      <c r="G22" s="51" t="s">
        <v>61</v>
      </c>
      <c r="H22" s="52"/>
      <c r="I22" s="131">
        <v>2200</v>
      </c>
      <c r="J22" s="53" t="s">
        <v>0</v>
      </c>
      <c r="K22" s="54" t="str">
        <f>IFERROR(VLOOKUP(VLOOKUP(M22,M22,1,1),Categories!$K$4:$V$18,2+VLOOKUP(J22,J22,1,1)),"-"  )</f>
        <v>-</v>
      </c>
      <c r="L22" s="54" t="str">
        <f>IFERROR(VLOOKUP(VLOOKUP(M22,M22,1,1),Categories!$K$3:$V$18,7+VLOOKUP(J22,J22,1,1)),"-")</f>
        <v>-</v>
      </c>
      <c r="M22" s="55" t="s">
        <v>0</v>
      </c>
      <c r="N22" s="197">
        <v>80</v>
      </c>
      <c r="O22" s="204">
        <f t="shared" si="0"/>
        <v>0</v>
      </c>
      <c r="P22" s="151"/>
      <c r="Q22" s="144"/>
      <c r="R22" s="144"/>
      <c r="S22" s="144"/>
      <c r="T22" s="147"/>
      <c r="U22" s="147"/>
      <c r="V22" s="148"/>
      <c r="W22" s="149"/>
      <c r="X22" s="149"/>
      <c r="Y22" s="149"/>
      <c r="Z22" s="149"/>
      <c r="AA22" s="149"/>
      <c r="AB22" s="149"/>
      <c r="AC22" s="149"/>
      <c r="AD22" s="149"/>
      <c r="AE22" s="148"/>
      <c r="AF22" s="150"/>
      <c r="AG22" s="143"/>
      <c r="AH22" s="48"/>
      <c r="AI22" s="56"/>
      <c r="AJ22" s="56"/>
    </row>
    <row r="23" spans="1:36" ht="31.95" customHeight="1" x14ac:dyDescent="0.3">
      <c r="A23" s="12"/>
      <c r="B23" s="122"/>
      <c r="C23" s="49"/>
      <c r="D23" s="49">
        <f>IF(G23=Categories!$E$4,VLOOKUP(F23,Categories!$A$4:$C$13,3,1),VLOOKUP(G23,Categories!$E$4:$G$24,3,1))</f>
        <v>120</v>
      </c>
      <c r="E23" s="44">
        <v>2</v>
      </c>
      <c r="F23" s="50" t="s">
        <v>45</v>
      </c>
      <c r="G23" s="45" t="s">
        <v>0</v>
      </c>
      <c r="H23" s="52"/>
      <c r="I23" s="131">
        <v>2200</v>
      </c>
      <c r="J23" s="53" t="s">
        <v>0</v>
      </c>
      <c r="K23" s="54" t="str">
        <f>IFERROR(VLOOKUP(VLOOKUP(M23,M23,1,1),Categories!$K$4:$V$18,2+VLOOKUP(J23,J23,1,1)),"-"  )</f>
        <v>-</v>
      </c>
      <c r="L23" s="54" t="str">
        <f>IFERROR(VLOOKUP(VLOOKUP(M23,M23,1,1),Categories!$K$3:$V$18,7+VLOOKUP(J23,J23,1,1)),"-")</f>
        <v>-</v>
      </c>
      <c r="M23" s="55" t="s">
        <v>0</v>
      </c>
      <c r="N23" s="195">
        <v>80</v>
      </c>
      <c r="O23" s="204">
        <f t="shared" si="0"/>
        <v>0</v>
      </c>
      <c r="P23" s="151"/>
      <c r="Q23" s="144"/>
      <c r="R23" s="144"/>
      <c r="S23" s="144"/>
      <c r="T23" s="147"/>
      <c r="U23" s="147"/>
      <c r="V23" s="148"/>
      <c r="W23" s="149"/>
      <c r="X23" s="149"/>
      <c r="Y23" s="149"/>
      <c r="Z23" s="149"/>
      <c r="AA23" s="149"/>
      <c r="AB23" s="149"/>
      <c r="AC23" s="149"/>
      <c r="AD23" s="149"/>
      <c r="AE23" s="148"/>
      <c r="AF23" s="150"/>
      <c r="AG23" s="143"/>
      <c r="AH23" s="48"/>
      <c r="AI23" s="56"/>
      <c r="AJ23" s="56"/>
    </row>
    <row r="24" spans="1:36" ht="31.95" customHeight="1" x14ac:dyDescent="0.3">
      <c r="A24" s="12"/>
      <c r="B24" s="122"/>
      <c r="C24" s="49"/>
      <c r="D24" s="49">
        <f>IF(G24=Categories!$E$4,VLOOKUP(F24,Categories!$A$4:$C$13,3,1),VLOOKUP(G24,Categories!$E$4:$G$24,3,1))</f>
        <v>60</v>
      </c>
      <c r="E24" s="44">
        <v>2</v>
      </c>
      <c r="F24" s="50" t="s">
        <v>257</v>
      </c>
      <c r="G24" s="51" t="s">
        <v>61</v>
      </c>
      <c r="H24" s="52"/>
      <c r="I24" s="131">
        <v>2200</v>
      </c>
      <c r="J24" s="53" t="s">
        <v>0</v>
      </c>
      <c r="K24" s="54" t="str">
        <f>IFERROR(VLOOKUP(VLOOKUP(M24,M24,1,1),Categories!$K$4:$V$18,2+VLOOKUP(J24,J24,1,1)),"-"  )</f>
        <v>-</v>
      </c>
      <c r="L24" s="54" t="str">
        <f>IFERROR(VLOOKUP(VLOOKUP(M24,M24,1,1),Categories!$K$3:$V$18,7+VLOOKUP(J24,J24,1,1)),"-")</f>
        <v>-</v>
      </c>
      <c r="M24" s="55" t="s">
        <v>0</v>
      </c>
      <c r="N24" s="197">
        <v>0</v>
      </c>
      <c r="O24" s="204">
        <f t="shared" si="0"/>
        <v>0</v>
      </c>
      <c r="P24" s="151"/>
      <c r="Q24" s="144"/>
      <c r="R24" s="144"/>
      <c r="S24" s="144"/>
      <c r="T24" s="147"/>
      <c r="U24" s="147"/>
      <c r="V24" s="148"/>
      <c r="W24" s="149"/>
      <c r="X24" s="149"/>
      <c r="Y24" s="149"/>
      <c r="Z24" s="149"/>
      <c r="AA24" s="149"/>
      <c r="AB24" s="149"/>
      <c r="AC24" s="149"/>
      <c r="AD24" s="149"/>
      <c r="AE24" s="148"/>
      <c r="AF24" s="150"/>
      <c r="AG24" s="143"/>
      <c r="AH24" s="48"/>
      <c r="AI24" s="56"/>
      <c r="AJ24" s="56"/>
    </row>
    <row r="25" spans="1:36" ht="31.95" customHeight="1" x14ac:dyDescent="0.3">
      <c r="A25" s="12"/>
      <c r="B25" s="122"/>
      <c r="C25" s="49"/>
      <c r="D25" s="49">
        <f>IF(G25=Categories!$E$4,VLOOKUP(F25,Categories!$A$4:$C$13,3,1),VLOOKUP(G25,Categories!$E$4:$G$24,3,1))</f>
        <v>120</v>
      </c>
      <c r="E25" s="44">
        <v>2</v>
      </c>
      <c r="F25" s="50" t="s">
        <v>259</v>
      </c>
      <c r="G25" s="51" t="s">
        <v>0</v>
      </c>
      <c r="H25" s="52"/>
      <c r="I25" s="131">
        <v>2200</v>
      </c>
      <c r="J25" s="53" t="s">
        <v>0</v>
      </c>
      <c r="K25" s="54" t="str">
        <f>IFERROR(VLOOKUP(VLOOKUP(M25,M25,1,1),Categories!$K$4:$V$18,2+VLOOKUP(J25,J25,1,1)),"-"  )</f>
        <v>-</v>
      </c>
      <c r="L25" s="54" t="str">
        <f>IFERROR(VLOOKUP(VLOOKUP(M25,M25,1,1),Categories!$K$3:$V$18,7+VLOOKUP(J25,J25,1,1)),"-")</f>
        <v>-</v>
      </c>
      <c r="M25" s="55" t="s">
        <v>0</v>
      </c>
      <c r="N25" s="195">
        <v>0</v>
      </c>
      <c r="O25" s="204">
        <f t="shared" si="0"/>
        <v>0</v>
      </c>
      <c r="P25" s="151"/>
      <c r="Q25" s="144"/>
      <c r="R25" s="144"/>
      <c r="S25" s="144"/>
      <c r="T25" s="147"/>
      <c r="U25" s="147"/>
      <c r="V25" s="148"/>
      <c r="W25" s="149"/>
      <c r="X25" s="149"/>
      <c r="Y25" s="149"/>
      <c r="Z25" s="149"/>
      <c r="AA25" s="149"/>
      <c r="AB25" s="149"/>
      <c r="AC25" s="149"/>
      <c r="AD25" s="149"/>
      <c r="AE25" s="148"/>
      <c r="AF25" s="150"/>
      <c r="AG25" s="143"/>
      <c r="AH25" s="48"/>
      <c r="AI25" s="56"/>
      <c r="AJ25" s="56"/>
    </row>
    <row r="26" spans="1:36" ht="31.95" customHeight="1" thickBot="1" x14ac:dyDescent="0.35">
      <c r="A26" s="185"/>
      <c r="B26" s="186"/>
      <c r="C26" s="49"/>
      <c r="D26" s="49">
        <f>IF(G26=Categories!$E$4,VLOOKUP(F26,Categories!$A$4:$C$13,3,1),VLOOKUP(G26,Categories!$E$4:$G$24,3,1))</f>
        <v>30</v>
      </c>
      <c r="E26" s="44" t="s">
        <v>0</v>
      </c>
      <c r="F26" s="50" t="s">
        <v>257</v>
      </c>
      <c r="G26" s="51" t="s">
        <v>2</v>
      </c>
      <c r="H26" s="52"/>
      <c r="I26" s="131">
        <v>2500</v>
      </c>
      <c r="J26" s="53" t="s">
        <v>0</v>
      </c>
      <c r="K26" s="54" t="str">
        <f>IFERROR(VLOOKUP(VLOOKUP(M26,M26,1,1),Categories!$K$4:$V$18,2+VLOOKUP(J26,J26,1,1)),"-"  )</f>
        <v>-</v>
      </c>
      <c r="L26" s="54" t="str">
        <f>IFERROR(VLOOKUP(VLOOKUP(M26,M26,1,1),Categories!$K$3:$V$18,7+VLOOKUP(J26,J26,1,1)),"-")</f>
        <v>-</v>
      </c>
      <c r="M26" s="55" t="s">
        <v>0</v>
      </c>
      <c r="N26" s="195" t="s">
        <v>0</v>
      </c>
      <c r="O26" s="204" t="str">
        <f t="shared" si="0"/>
        <v>-</v>
      </c>
      <c r="P26" s="187"/>
      <c r="Q26" s="188"/>
      <c r="R26" s="188"/>
      <c r="S26" s="188"/>
      <c r="T26" s="189"/>
      <c r="U26" s="189"/>
      <c r="V26" s="190"/>
      <c r="W26" s="191"/>
      <c r="X26" s="191"/>
      <c r="Y26" s="191"/>
      <c r="Z26" s="191"/>
      <c r="AA26" s="191"/>
      <c r="AB26" s="191"/>
      <c r="AC26" s="191"/>
      <c r="AD26" s="191"/>
      <c r="AE26" s="190"/>
      <c r="AF26" s="192"/>
      <c r="AG26" s="143"/>
      <c r="AH26" s="56"/>
      <c r="AI26" s="56"/>
      <c r="AJ26" s="56"/>
    </row>
    <row r="27" spans="1:36" ht="31.95" customHeight="1" thickBot="1" x14ac:dyDescent="0.35">
      <c r="A27" s="12"/>
      <c r="B27" s="122"/>
      <c r="C27" s="49"/>
      <c r="D27" s="49">
        <f>IF(G27=Categories!$E$4,VLOOKUP(F27,Categories!$A$4:$C$13,3,1),VLOOKUP(G27,Categories!$E$4:$G$24,3,1))</f>
        <v>120</v>
      </c>
      <c r="E27" s="44">
        <v>3</v>
      </c>
      <c r="F27" s="50" t="s">
        <v>1</v>
      </c>
      <c r="G27" s="51" t="s">
        <v>0</v>
      </c>
      <c r="H27" s="52"/>
      <c r="I27" s="131">
        <v>2500</v>
      </c>
      <c r="J27" s="53" t="s">
        <v>0</v>
      </c>
      <c r="K27" s="54" t="str">
        <f>IFERROR(VLOOKUP(VLOOKUP(M27,M27,1,1),Categories!$K$4:$V$18,2+VLOOKUP(J27,J27,1,1)),"-"  )</f>
        <v>-</v>
      </c>
      <c r="L27" s="54" t="str">
        <f>IFERROR(VLOOKUP(VLOOKUP(M27,M27,1,1),Categories!$K$3:$V$18,7+VLOOKUP(J27,J27,1,1)),"-")</f>
        <v>-</v>
      </c>
      <c r="M27" s="55" t="s">
        <v>0</v>
      </c>
      <c r="N27" s="195" t="s">
        <v>0</v>
      </c>
      <c r="O27" s="204" t="str">
        <f t="shared" si="0"/>
        <v>-</v>
      </c>
      <c r="P27" s="151"/>
      <c r="Q27" s="144"/>
      <c r="R27" s="144"/>
      <c r="S27" s="144"/>
      <c r="T27" s="147"/>
      <c r="U27" s="199"/>
      <c r="V27" s="203"/>
      <c r="W27" s="201"/>
      <c r="X27" s="149"/>
      <c r="Y27" s="149"/>
      <c r="Z27" s="149"/>
      <c r="AA27" s="149"/>
      <c r="AB27" s="149"/>
      <c r="AC27" s="149"/>
      <c r="AD27" s="149"/>
      <c r="AE27" s="148"/>
      <c r="AF27" s="150"/>
      <c r="AG27" s="143"/>
      <c r="AH27" s="48"/>
      <c r="AI27" s="56"/>
      <c r="AJ27" s="56"/>
    </row>
    <row r="28" spans="1:36" ht="31.95" customHeight="1" x14ac:dyDescent="0.3">
      <c r="A28" s="185"/>
      <c r="B28" s="186"/>
      <c r="C28" s="49"/>
      <c r="D28" s="49">
        <f>IF(G28=Categories!$E$4,VLOOKUP(F28,Categories!$A$4:$C$13,3,1),VLOOKUP(G28,Categories!$E$4:$G$24,3,1))</f>
        <v>60</v>
      </c>
      <c r="E28" s="44">
        <v>3</v>
      </c>
      <c r="F28" s="50" t="s">
        <v>257</v>
      </c>
      <c r="G28" s="51" t="s">
        <v>62</v>
      </c>
      <c r="H28" s="52"/>
      <c r="I28" s="131">
        <v>2500</v>
      </c>
      <c r="J28" s="53" t="s">
        <v>0</v>
      </c>
      <c r="K28" s="54" t="str">
        <f>IFERROR(VLOOKUP(VLOOKUP(M28,M28,1,1),Categories!$K$4:$V$18,2+VLOOKUP(J28,J28,1,1)),"-"  )</f>
        <v>-</v>
      </c>
      <c r="L28" s="54" t="str">
        <f>IFERROR(VLOOKUP(VLOOKUP(M28,M28,1,1),Categories!$K$3:$V$18,7+VLOOKUP(J28,J28,1,1)),"-")</f>
        <v>-</v>
      </c>
      <c r="M28" s="55" t="s">
        <v>0</v>
      </c>
      <c r="N28" s="197">
        <v>20</v>
      </c>
      <c r="O28" s="204">
        <f>IF(N28="-","-",$V$27*(1-N28/100))</f>
        <v>0</v>
      </c>
      <c r="P28" s="187"/>
      <c r="Q28" s="188"/>
      <c r="R28" s="188"/>
      <c r="S28" s="144"/>
      <c r="T28" s="189"/>
      <c r="U28" s="189"/>
      <c r="V28" s="190"/>
      <c r="W28" s="191"/>
      <c r="X28" s="191"/>
      <c r="Y28" s="191"/>
      <c r="Z28" s="191"/>
      <c r="AA28" s="191"/>
      <c r="AB28" s="191"/>
      <c r="AC28" s="191"/>
      <c r="AD28" s="191"/>
      <c r="AE28" s="190"/>
      <c r="AF28" s="192"/>
      <c r="AG28" s="143"/>
      <c r="AH28" s="56"/>
      <c r="AI28" s="56"/>
      <c r="AJ28" s="56"/>
    </row>
    <row r="29" spans="1:36" ht="31.95" customHeight="1" x14ac:dyDescent="0.3">
      <c r="A29" s="12"/>
      <c r="B29" s="122"/>
      <c r="C29" s="49"/>
      <c r="D29" s="49">
        <f>IF(G29=Categories!$E$4,VLOOKUP(F29,Categories!$A$4:$C$13,3,1),VLOOKUP(G29,Categories!$E$4:$G$24,3,1))</f>
        <v>120</v>
      </c>
      <c r="E29" s="44">
        <v>3</v>
      </c>
      <c r="F29" s="50" t="s">
        <v>45</v>
      </c>
      <c r="G29" s="45" t="s">
        <v>0</v>
      </c>
      <c r="H29" s="52"/>
      <c r="I29" s="131">
        <v>2500</v>
      </c>
      <c r="J29" s="53" t="s">
        <v>0</v>
      </c>
      <c r="K29" s="54" t="str">
        <f>IFERROR(VLOOKUP(VLOOKUP(M29,M29,1,1),Categories!$K$4:$V$18,2+VLOOKUP(J29,J29,1,1)),"-"  )</f>
        <v>-</v>
      </c>
      <c r="L29" s="54" t="str">
        <f>IFERROR(VLOOKUP(VLOOKUP(M29,M29,1,1),Categories!$K$3:$V$18,7+VLOOKUP(J29,J29,1,1)),"-")</f>
        <v>-</v>
      </c>
      <c r="M29" s="55" t="s">
        <v>0</v>
      </c>
      <c r="N29" s="195">
        <v>20</v>
      </c>
      <c r="O29" s="204">
        <f t="shared" ref="O29:O47" si="1">IF(N29="-","-",$V$27*(1-N29/100))</f>
        <v>0</v>
      </c>
      <c r="P29" s="151"/>
      <c r="Q29" s="144"/>
      <c r="R29" s="144"/>
      <c r="S29" s="144"/>
      <c r="T29" s="147"/>
      <c r="U29" s="147"/>
      <c r="V29" s="148"/>
      <c r="W29" s="149"/>
      <c r="X29" s="149"/>
      <c r="Y29" s="149"/>
      <c r="Z29" s="149"/>
      <c r="AA29" s="149"/>
      <c r="AB29" s="149"/>
      <c r="AC29" s="149"/>
      <c r="AD29" s="149"/>
      <c r="AE29" s="148"/>
      <c r="AF29" s="150"/>
      <c r="AG29" s="143"/>
      <c r="AH29" s="48"/>
      <c r="AI29" s="56"/>
      <c r="AJ29" s="56"/>
    </row>
    <row r="30" spans="1:36" ht="31.95" customHeight="1" x14ac:dyDescent="0.3">
      <c r="A30" s="12"/>
      <c r="B30" s="122"/>
      <c r="C30" s="49"/>
      <c r="D30" s="49">
        <f>IF(G30=Categories!$E$4,VLOOKUP(F30,Categories!$A$4:$C$13,3,1),VLOOKUP(G30,Categories!$E$4:$G$24,3,1))</f>
        <v>60</v>
      </c>
      <c r="E30" s="44">
        <v>3</v>
      </c>
      <c r="F30" s="50" t="s">
        <v>257</v>
      </c>
      <c r="G30" s="51" t="s">
        <v>62</v>
      </c>
      <c r="H30" s="52"/>
      <c r="I30" s="131">
        <v>2500</v>
      </c>
      <c r="J30" s="53" t="s">
        <v>0</v>
      </c>
      <c r="K30" s="54" t="str">
        <f>IFERROR(VLOOKUP(VLOOKUP(M30,M30,1,1),Categories!$K$4:$V$18,2+VLOOKUP(J30,J30,1,1)),"-"  )</f>
        <v>-</v>
      </c>
      <c r="L30" s="54" t="str">
        <f>IFERROR(VLOOKUP(VLOOKUP(M30,M30,1,1),Categories!$K$3:$V$18,7+VLOOKUP(J30,J30,1,1)),"-")</f>
        <v>-</v>
      </c>
      <c r="M30" s="55" t="s">
        <v>0</v>
      </c>
      <c r="N30" s="197">
        <v>40</v>
      </c>
      <c r="O30" s="204">
        <f t="shared" si="1"/>
        <v>0</v>
      </c>
      <c r="P30" s="151"/>
      <c r="Q30" s="144"/>
      <c r="R30" s="144"/>
      <c r="S30" s="144"/>
      <c r="T30" s="147"/>
      <c r="U30" s="147"/>
      <c r="V30" s="148"/>
      <c r="W30" s="149"/>
      <c r="X30" s="149"/>
      <c r="Y30" s="149"/>
      <c r="Z30" s="149"/>
      <c r="AA30" s="149"/>
      <c r="AB30" s="149"/>
      <c r="AC30" s="149"/>
      <c r="AD30" s="149"/>
      <c r="AE30" s="148"/>
      <c r="AF30" s="150"/>
      <c r="AG30" s="143"/>
      <c r="AH30" s="48"/>
      <c r="AI30" s="56"/>
      <c r="AJ30" s="56"/>
    </row>
    <row r="31" spans="1:36" ht="31.95" customHeight="1" x14ac:dyDescent="0.3">
      <c r="A31" s="12"/>
      <c r="B31" s="122"/>
      <c r="C31" s="49"/>
      <c r="D31" s="49">
        <f>IF(G31=Categories!$E$4,VLOOKUP(F31,Categories!$A$4:$C$13,3,1),VLOOKUP(G31,Categories!$E$4:$G$24,3,1))</f>
        <v>120</v>
      </c>
      <c r="E31" s="44">
        <v>3</v>
      </c>
      <c r="F31" s="50" t="s">
        <v>45</v>
      </c>
      <c r="G31" s="45" t="s">
        <v>0</v>
      </c>
      <c r="H31" s="52"/>
      <c r="I31" s="131">
        <v>2500</v>
      </c>
      <c r="J31" s="53" t="s">
        <v>0</v>
      </c>
      <c r="K31" s="54" t="str">
        <f>IFERROR(VLOOKUP(VLOOKUP(M31,M31,1,1),Categories!$K$4:$V$18,2+VLOOKUP(J31,J31,1,1)),"-"  )</f>
        <v>-</v>
      </c>
      <c r="L31" s="54" t="str">
        <f>IFERROR(VLOOKUP(VLOOKUP(M31,M31,1,1),Categories!$K$3:$V$18,7+VLOOKUP(J31,J31,1,1)),"-")</f>
        <v>-</v>
      </c>
      <c r="M31" s="55" t="s">
        <v>0</v>
      </c>
      <c r="N31" s="195">
        <v>40</v>
      </c>
      <c r="O31" s="204">
        <f t="shared" si="1"/>
        <v>0</v>
      </c>
      <c r="P31" s="151"/>
      <c r="Q31" s="144"/>
      <c r="R31" s="144"/>
      <c r="S31" s="144"/>
      <c r="T31" s="147"/>
      <c r="U31" s="147"/>
      <c r="V31" s="148"/>
      <c r="W31" s="149"/>
      <c r="X31" s="149"/>
      <c r="Y31" s="149"/>
      <c r="Z31" s="149"/>
      <c r="AA31" s="149"/>
      <c r="AB31" s="149"/>
      <c r="AC31" s="149"/>
      <c r="AD31" s="149"/>
      <c r="AE31" s="148"/>
      <c r="AF31" s="150"/>
      <c r="AG31" s="143"/>
      <c r="AH31" s="48"/>
      <c r="AI31" s="56"/>
      <c r="AJ31" s="56"/>
    </row>
    <row r="32" spans="1:36" ht="31.95" customHeight="1" x14ac:dyDescent="0.3">
      <c r="A32" s="12"/>
      <c r="B32" s="122"/>
      <c r="C32" s="49"/>
      <c r="D32" s="49">
        <f>IF(G32=Categories!$E$4,VLOOKUP(F32,Categories!$A$4:$C$13,3,1),VLOOKUP(G32,Categories!$E$4:$G$24,3,1))</f>
        <v>60</v>
      </c>
      <c r="E32" s="44">
        <v>3</v>
      </c>
      <c r="F32" s="50" t="s">
        <v>257</v>
      </c>
      <c r="G32" s="51" t="s">
        <v>62</v>
      </c>
      <c r="H32" s="52"/>
      <c r="I32" s="131">
        <v>2500</v>
      </c>
      <c r="J32" s="53" t="s">
        <v>0</v>
      </c>
      <c r="K32" s="54" t="str">
        <f>IFERROR(VLOOKUP(VLOOKUP(M32,M32,1,1),Categories!$K$4:$V$18,2+VLOOKUP(J32,J32,1,1)),"-"  )</f>
        <v>-</v>
      </c>
      <c r="L32" s="54" t="str">
        <f>IFERROR(VLOOKUP(VLOOKUP(M32,M32,1,1),Categories!$K$3:$V$18,7+VLOOKUP(J32,J32,1,1)),"-")</f>
        <v>-</v>
      </c>
      <c r="M32" s="55" t="s">
        <v>0</v>
      </c>
      <c r="N32" s="197">
        <v>60</v>
      </c>
      <c r="O32" s="204">
        <f t="shared" si="1"/>
        <v>0</v>
      </c>
      <c r="P32" s="151"/>
      <c r="Q32" s="144"/>
      <c r="R32" s="144"/>
      <c r="S32" s="144"/>
      <c r="T32" s="147"/>
      <c r="U32" s="147"/>
      <c r="V32" s="148"/>
      <c r="W32" s="149"/>
      <c r="X32" s="149"/>
      <c r="Y32" s="149"/>
      <c r="Z32" s="149"/>
      <c r="AA32" s="149"/>
      <c r="AB32" s="149"/>
      <c r="AC32" s="149"/>
      <c r="AD32" s="149"/>
      <c r="AE32" s="148"/>
      <c r="AF32" s="150"/>
      <c r="AG32" s="143"/>
      <c r="AH32" s="48"/>
      <c r="AI32" s="56"/>
      <c r="AJ32" s="56"/>
    </row>
    <row r="33" spans="1:36" ht="31.95" customHeight="1" x14ac:dyDescent="0.3">
      <c r="A33" s="12"/>
      <c r="B33" s="122"/>
      <c r="C33" s="49"/>
      <c r="D33" s="49">
        <f>IF(G33=Categories!$E$4,VLOOKUP(F33,Categories!$A$4:$C$13,3,1),VLOOKUP(G33,Categories!$E$4:$G$24,3,1))</f>
        <v>120</v>
      </c>
      <c r="E33" s="44">
        <v>3</v>
      </c>
      <c r="F33" s="50" t="s">
        <v>45</v>
      </c>
      <c r="G33" s="45" t="s">
        <v>0</v>
      </c>
      <c r="H33" s="52"/>
      <c r="I33" s="131">
        <v>2500</v>
      </c>
      <c r="J33" s="53" t="s">
        <v>0</v>
      </c>
      <c r="K33" s="54" t="str">
        <f>IFERROR(VLOOKUP(VLOOKUP(M33,M33,1,1),Categories!$K$4:$V$18,2+VLOOKUP(J33,J33,1,1)),"-"  )</f>
        <v>-</v>
      </c>
      <c r="L33" s="54" t="str">
        <f>IFERROR(VLOOKUP(VLOOKUP(M33,M33,1,1),Categories!$K$3:$V$18,7+VLOOKUP(J33,J33,1,1)),"-")</f>
        <v>-</v>
      </c>
      <c r="M33" s="55" t="s">
        <v>0</v>
      </c>
      <c r="N33" s="195">
        <v>60</v>
      </c>
      <c r="O33" s="204">
        <f t="shared" si="1"/>
        <v>0</v>
      </c>
      <c r="P33" s="151"/>
      <c r="Q33" s="144"/>
      <c r="R33" s="144"/>
      <c r="S33" s="144"/>
      <c r="T33" s="147"/>
      <c r="U33" s="147"/>
      <c r="V33" s="148"/>
      <c r="W33" s="149"/>
      <c r="X33" s="149"/>
      <c r="Y33" s="149"/>
      <c r="Z33" s="149"/>
      <c r="AA33" s="149"/>
      <c r="AB33" s="149"/>
      <c r="AC33" s="149"/>
      <c r="AD33" s="149"/>
      <c r="AE33" s="148"/>
      <c r="AF33" s="150"/>
      <c r="AG33" s="143"/>
      <c r="AH33" s="48"/>
      <c r="AI33" s="56"/>
      <c r="AJ33" s="56"/>
    </row>
    <row r="34" spans="1:36" ht="31.95" customHeight="1" x14ac:dyDescent="0.3">
      <c r="A34" s="12"/>
      <c r="B34" s="122"/>
      <c r="C34" s="49"/>
      <c r="D34" s="49">
        <f>IF(G34=Categories!$E$4,VLOOKUP(F34,Categories!$A$4:$C$13,3,1),VLOOKUP(G34,Categories!$E$4:$G$24,3,1))</f>
        <v>60</v>
      </c>
      <c r="E34" s="44">
        <v>3</v>
      </c>
      <c r="F34" s="50" t="s">
        <v>257</v>
      </c>
      <c r="G34" s="51" t="s">
        <v>62</v>
      </c>
      <c r="H34" s="52"/>
      <c r="I34" s="131">
        <v>2500</v>
      </c>
      <c r="J34" s="53" t="s">
        <v>0</v>
      </c>
      <c r="K34" s="54" t="str">
        <f>IFERROR(VLOOKUP(VLOOKUP(M34,M34,1,1),Categories!$K$4:$V$18,2+VLOOKUP(J34,J34,1,1)),"-"  )</f>
        <v>-</v>
      </c>
      <c r="L34" s="54" t="str">
        <f>IFERROR(VLOOKUP(VLOOKUP(M34,M34,1,1),Categories!$K$3:$V$18,7+VLOOKUP(J34,J34,1,1)),"-")</f>
        <v>-</v>
      </c>
      <c r="M34" s="55" t="s">
        <v>0</v>
      </c>
      <c r="N34" s="197">
        <v>80</v>
      </c>
      <c r="O34" s="204">
        <f t="shared" si="1"/>
        <v>0</v>
      </c>
      <c r="P34" s="151"/>
      <c r="Q34" s="144"/>
      <c r="R34" s="144"/>
      <c r="S34" s="144"/>
      <c r="T34" s="147"/>
      <c r="U34" s="147"/>
      <c r="V34" s="148"/>
      <c r="W34" s="149"/>
      <c r="X34" s="149"/>
      <c r="Y34" s="149"/>
      <c r="Z34" s="149"/>
      <c r="AA34" s="149"/>
      <c r="AB34" s="149"/>
      <c r="AC34" s="149"/>
      <c r="AD34" s="149"/>
      <c r="AE34" s="148"/>
      <c r="AF34" s="150"/>
      <c r="AG34" s="143"/>
      <c r="AH34" s="48"/>
      <c r="AI34" s="56"/>
      <c r="AJ34" s="56"/>
    </row>
    <row r="35" spans="1:36" ht="31.95" customHeight="1" x14ac:dyDescent="0.3">
      <c r="A35" s="12"/>
      <c r="B35" s="122"/>
      <c r="C35" s="49"/>
      <c r="D35" s="49">
        <f>IF(G35=Categories!$E$4,VLOOKUP(F35,Categories!$A$4:$C$13,3,1),VLOOKUP(G35,Categories!$E$4:$G$24,3,1))</f>
        <v>120</v>
      </c>
      <c r="E35" s="44">
        <v>3</v>
      </c>
      <c r="F35" s="50" t="s">
        <v>45</v>
      </c>
      <c r="G35" s="45" t="s">
        <v>0</v>
      </c>
      <c r="H35" s="52"/>
      <c r="I35" s="131">
        <v>2500</v>
      </c>
      <c r="J35" s="53" t="s">
        <v>0</v>
      </c>
      <c r="K35" s="54" t="str">
        <f>IFERROR(VLOOKUP(VLOOKUP(M35,M35,1,1),Categories!$K$4:$V$18,2+VLOOKUP(J35,J35,1,1)),"-"  )</f>
        <v>-</v>
      </c>
      <c r="L35" s="54" t="str">
        <f>IFERROR(VLOOKUP(VLOOKUP(M35,M35,1,1),Categories!$K$3:$V$18,7+VLOOKUP(J35,J35,1,1)),"-")</f>
        <v>-</v>
      </c>
      <c r="M35" s="55" t="s">
        <v>0</v>
      </c>
      <c r="N35" s="195">
        <v>80</v>
      </c>
      <c r="O35" s="204">
        <f t="shared" si="1"/>
        <v>0</v>
      </c>
      <c r="P35" s="151"/>
      <c r="Q35" s="144"/>
      <c r="R35" s="144"/>
      <c r="S35" s="144"/>
      <c r="T35" s="147"/>
      <c r="U35" s="147"/>
      <c r="V35" s="148"/>
      <c r="W35" s="149"/>
      <c r="X35" s="149"/>
      <c r="Y35" s="149"/>
      <c r="Z35" s="149"/>
      <c r="AA35" s="149"/>
      <c r="AB35" s="149"/>
      <c r="AC35" s="149"/>
      <c r="AD35" s="149"/>
      <c r="AE35" s="148"/>
      <c r="AF35" s="150"/>
      <c r="AG35" s="143"/>
      <c r="AH35" s="48"/>
      <c r="AI35" s="56"/>
      <c r="AJ35" s="56"/>
    </row>
    <row r="36" spans="1:36" ht="31.95" customHeight="1" x14ac:dyDescent="0.3">
      <c r="A36" s="12"/>
      <c r="B36" s="122"/>
      <c r="C36" s="49"/>
      <c r="D36" s="49">
        <f>IF(G36=Categories!$E$4,VLOOKUP(F36,Categories!$A$4:$C$13,3,1),VLOOKUP(G36,Categories!$E$4:$G$24,3,1))</f>
        <v>60</v>
      </c>
      <c r="E36" s="44">
        <v>3</v>
      </c>
      <c r="F36" s="50" t="s">
        <v>257</v>
      </c>
      <c r="G36" s="51" t="s">
        <v>62</v>
      </c>
      <c r="H36" s="52"/>
      <c r="I36" s="131">
        <v>2500</v>
      </c>
      <c r="J36" s="53" t="s">
        <v>0</v>
      </c>
      <c r="K36" s="54" t="str">
        <f>IFERROR(VLOOKUP(VLOOKUP(M36,M36,1,1),Categories!$K$4:$V$18,2+VLOOKUP(J36,J36,1,1)),"-"  )</f>
        <v>-</v>
      </c>
      <c r="L36" s="54" t="str">
        <f>IFERROR(VLOOKUP(VLOOKUP(M36,M36,1,1),Categories!$K$3:$V$18,7+VLOOKUP(J36,J36,1,1)),"-")</f>
        <v>-</v>
      </c>
      <c r="M36" s="55" t="s">
        <v>0</v>
      </c>
      <c r="N36" s="197">
        <v>0</v>
      </c>
      <c r="O36" s="204">
        <f t="shared" si="1"/>
        <v>0</v>
      </c>
      <c r="P36" s="151"/>
      <c r="Q36" s="144"/>
      <c r="R36" s="144"/>
      <c r="S36" s="144"/>
      <c r="T36" s="147"/>
      <c r="U36" s="147"/>
      <c r="V36" s="148"/>
      <c r="W36" s="149"/>
      <c r="X36" s="149"/>
      <c r="Y36" s="149"/>
      <c r="Z36" s="149"/>
      <c r="AA36" s="149"/>
      <c r="AB36" s="149"/>
      <c r="AC36" s="149"/>
      <c r="AD36" s="149"/>
      <c r="AE36" s="148"/>
      <c r="AF36" s="150"/>
      <c r="AG36" s="143"/>
      <c r="AH36" s="48"/>
      <c r="AI36" s="56"/>
      <c r="AJ36" s="56"/>
    </row>
    <row r="37" spans="1:36" ht="31.95" customHeight="1" x14ac:dyDescent="0.3">
      <c r="A37" s="12"/>
      <c r="B37" s="122"/>
      <c r="C37" s="49"/>
      <c r="D37" s="49">
        <f>IF(G37=Categories!$E$4,VLOOKUP(F37,Categories!$A$4:$C$13,3,1),VLOOKUP(G37,Categories!$E$4:$G$24,3,1))</f>
        <v>120</v>
      </c>
      <c r="E37" s="44">
        <v>3</v>
      </c>
      <c r="F37" s="50" t="s">
        <v>259</v>
      </c>
      <c r="G37" s="51" t="s">
        <v>0</v>
      </c>
      <c r="H37" s="52"/>
      <c r="I37" s="131">
        <v>2500</v>
      </c>
      <c r="J37" s="53" t="s">
        <v>0</v>
      </c>
      <c r="K37" s="54" t="str">
        <f>IFERROR(VLOOKUP(VLOOKUP(M37,M37,1,1),Categories!$K$4:$V$18,2+VLOOKUP(J37,J37,1,1)),"-"  )</f>
        <v>-</v>
      </c>
      <c r="L37" s="54" t="str">
        <f>IFERROR(VLOOKUP(VLOOKUP(M37,M37,1,1),Categories!$K$3:$V$18,7+VLOOKUP(J37,J37,1,1)),"-")</f>
        <v>-</v>
      </c>
      <c r="M37" s="55" t="s">
        <v>0</v>
      </c>
      <c r="N37" s="195">
        <v>0</v>
      </c>
      <c r="O37" s="204">
        <f t="shared" si="1"/>
        <v>0</v>
      </c>
      <c r="P37" s="151"/>
      <c r="Q37" s="144"/>
      <c r="R37" s="144"/>
      <c r="S37" s="144"/>
      <c r="T37" s="147"/>
      <c r="U37" s="147"/>
      <c r="V37" s="148"/>
      <c r="W37" s="149"/>
      <c r="X37" s="149"/>
      <c r="Y37" s="149"/>
      <c r="Z37" s="149"/>
      <c r="AA37" s="149"/>
      <c r="AB37" s="149"/>
      <c r="AC37" s="149"/>
      <c r="AD37" s="149"/>
      <c r="AE37" s="148"/>
      <c r="AF37" s="150"/>
      <c r="AG37" s="143"/>
      <c r="AH37" s="48"/>
      <c r="AI37" s="56"/>
      <c r="AJ37" s="56"/>
    </row>
    <row r="38" spans="1:36" ht="31.95" customHeight="1" x14ac:dyDescent="0.3">
      <c r="A38" s="185"/>
      <c r="B38" s="186"/>
      <c r="C38" s="49"/>
      <c r="D38" s="49">
        <f>IF(G38=Categories!$E$4,VLOOKUP(F38,Categories!$A$4:$C$13,3,1),VLOOKUP(G38,Categories!$E$4:$G$24,3,1))</f>
        <v>60</v>
      </c>
      <c r="E38" s="44">
        <v>4</v>
      </c>
      <c r="F38" s="50" t="s">
        <v>257</v>
      </c>
      <c r="G38" s="51" t="s">
        <v>61</v>
      </c>
      <c r="H38" s="52"/>
      <c r="I38" s="131">
        <v>2500</v>
      </c>
      <c r="J38" s="53" t="s">
        <v>0</v>
      </c>
      <c r="K38" s="54" t="str">
        <f>IFERROR(VLOOKUP(VLOOKUP(M38,M38,1,1),Categories!$K$4:$V$18,2+VLOOKUP(J38,J38,1,1)),"-"  )</f>
        <v>-</v>
      </c>
      <c r="L38" s="54" t="str">
        <f>IFERROR(VLOOKUP(VLOOKUP(M38,M38,1,1),Categories!$K$3:$V$18,7+VLOOKUP(J38,J38,1,1)),"-")</f>
        <v>-</v>
      </c>
      <c r="M38" s="55" t="s">
        <v>0</v>
      </c>
      <c r="N38" s="197">
        <v>20</v>
      </c>
      <c r="O38" s="204">
        <f t="shared" si="1"/>
        <v>0</v>
      </c>
      <c r="P38" s="187"/>
      <c r="Q38" s="188"/>
      <c r="R38" s="188"/>
      <c r="S38" s="144"/>
      <c r="T38" s="189"/>
      <c r="U38" s="189"/>
      <c r="V38" s="190"/>
      <c r="W38" s="191"/>
      <c r="X38" s="191"/>
      <c r="Y38" s="191"/>
      <c r="Z38" s="191"/>
      <c r="AA38" s="191"/>
      <c r="AB38" s="191"/>
      <c r="AC38" s="191"/>
      <c r="AD38" s="191"/>
      <c r="AE38" s="190"/>
      <c r="AF38" s="192"/>
      <c r="AG38" s="143"/>
      <c r="AH38" s="56"/>
      <c r="AI38" s="56"/>
      <c r="AJ38" s="56"/>
    </row>
    <row r="39" spans="1:36" ht="31.95" customHeight="1" x14ac:dyDescent="0.3">
      <c r="A39" s="12"/>
      <c r="B39" s="122"/>
      <c r="C39" s="49"/>
      <c r="D39" s="49">
        <f>IF(G39=Categories!$E$4,VLOOKUP(F39,Categories!$A$4:$C$13,3,1),VLOOKUP(G39,Categories!$E$4:$G$24,3,1))</f>
        <v>120</v>
      </c>
      <c r="E39" s="44">
        <v>4</v>
      </c>
      <c r="F39" s="50" t="s">
        <v>45</v>
      </c>
      <c r="G39" s="45" t="s">
        <v>0</v>
      </c>
      <c r="H39" s="52"/>
      <c r="I39" s="131">
        <v>2500</v>
      </c>
      <c r="J39" s="53" t="s">
        <v>0</v>
      </c>
      <c r="K39" s="54" t="str">
        <f>IFERROR(VLOOKUP(VLOOKUP(M39,M39,1,1),Categories!$K$4:$V$18,2+VLOOKUP(J39,J39,1,1)),"-"  )</f>
        <v>-</v>
      </c>
      <c r="L39" s="54" t="str">
        <f>IFERROR(VLOOKUP(VLOOKUP(M39,M39,1,1),Categories!$K$3:$V$18,7+VLOOKUP(J39,J39,1,1)),"-")</f>
        <v>-</v>
      </c>
      <c r="M39" s="55" t="s">
        <v>0</v>
      </c>
      <c r="N39" s="195">
        <v>20</v>
      </c>
      <c r="O39" s="204">
        <f t="shared" si="1"/>
        <v>0</v>
      </c>
      <c r="P39" s="151"/>
      <c r="Q39" s="144"/>
      <c r="R39" s="144"/>
      <c r="S39" s="188"/>
      <c r="T39" s="147"/>
      <c r="U39" s="147"/>
      <c r="V39" s="148"/>
      <c r="W39" s="149"/>
      <c r="X39" s="149"/>
      <c r="Y39" s="149"/>
      <c r="Z39" s="149"/>
      <c r="AA39" s="149"/>
      <c r="AB39" s="149"/>
      <c r="AC39" s="149"/>
      <c r="AD39" s="149"/>
      <c r="AE39" s="148"/>
      <c r="AF39" s="150"/>
      <c r="AG39" s="143"/>
      <c r="AH39" s="48"/>
      <c r="AI39" s="56"/>
      <c r="AJ39" s="56"/>
    </row>
    <row r="40" spans="1:36" ht="31.95" customHeight="1" x14ac:dyDescent="0.3">
      <c r="A40" s="12"/>
      <c r="B40" s="122"/>
      <c r="C40" s="49"/>
      <c r="D40" s="49">
        <f>IF(G40=Categories!$E$4,VLOOKUP(F40,Categories!$A$4:$C$13,3,1),VLOOKUP(G40,Categories!$E$4:$G$24,3,1))</f>
        <v>60</v>
      </c>
      <c r="E40" s="44">
        <v>4</v>
      </c>
      <c r="F40" s="50" t="s">
        <v>257</v>
      </c>
      <c r="G40" s="51" t="s">
        <v>61</v>
      </c>
      <c r="H40" s="52"/>
      <c r="I40" s="131">
        <v>2500</v>
      </c>
      <c r="J40" s="53" t="s">
        <v>0</v>
      </c>
      <c r="K40" s="54" t="str">
        <f>IFERROR(VLOOKUP(VLOOKUP(M40,M40,1,1),Categories!$K$4:$V$18,2+VLOOKUP(J40,J40,1,1)),"-"  )</f>
        <v>-</v>
      </c>
      <c r="L40" s="54" t="str">
        <f>IFERROR(VLOOKUP(VLOOKUP(M40,M40,1,1),Categories!$K$3:$V$18,7+VLOOKUP(J40,J40,1,1)),"-")</f>
        <v>-</v>
      </c>
      <c r="M40" s="55" t="s">
        <v>0</v>
      </c>
      <c r="N40" s="197">
        <v>40</v>
      </c>
      <c r="O40" s="204">
        <f t="shared" si="1"/>
        <v>0</v>
      </c>
      <c r="P40" s="151"/>
      <c r="Q40" s="144"/>
      <c r="R40" s="144"/>
      <c r="S40" s="144"/>
      <c r="T40" s="147"/>
      <c r="U40" s="147"/>
      <c r="V40" s="148"/>
      <c r="W40" s="149"/>
      <c r="X40" s="149"/>
      <c r="Y40" s="149"/>
      <c r="Z40" s="149"/>
      <c r="AA40" s="149"/>
      <c r="AB40" s="149"/>
      <c r="AC40" s="149"/>
      <c r="AD40" s="149"/>
      <c r="AE40" s="148"/>
      <c r="AF40" s="150"/>
      <c r="AG40" s="143"/>
      <c r="AH40" s="48"/>
      <c r="AI40" s="56"/>
      <c r="AJ40" s="56"/>
    </row>
    <row r="41" spans="1:36" ht="31.95" customHeight="1" x14ac:dyDescent="0.3">
      <c r="A41" s="12"/>
      <c r="B41" s="122"/>
      <c r="C41" s="49"/>
      <c r="D41" s="49">
        <f>IF(G41=Categories!$E$4,VLOOKUP(F41,Categories!$A$4:$C$13,3,1),VLOOKUP(G41,Categories!$E$4:$G$24,3,1))</f>
        <v>120</v>
      </c>
      <c r="E41" s="44">
        <v>4</v>
      </c>
      <c r="F41" s="50" t="s">
        <v>45</v>
      </c>
      <c r="G41" s="45" t="s">
        <v>0</v>
      </c>
      <c r="H41" s="52"/>
      <c r="I41" s="131">
        <v>2500</v>
      </c>
      <c r="J41" s="53" t="s">
        <v>0</v>
      </c>
      <c r="K41" s="54" t="str">
        <f>IFERROR(VLOOKUP(VLOOKUP(M41,M41,1,1),Categories!$K$4:$V$18,2+VLOOKUP(J41,J41,1,1)),"-"  )</f>
        <v>-</v>
      </c>
      <c r="L41" s="54" t="str">
        <f>IFERROR(VLOOKUP(VLOOKUP(M41,M41,1,1),Categories!$K$3:$V$18,7+VLOOKUP(J41,J41,1,1)),"-")</f>
        <v>-</v>
      </c>
      <c r="M41" s="55" t="s">
        <v>0</v>
      </c>
      <c r="N41" s="195">
        <v>40</v>
      </c>
      <c r="O41" s="204">
        <f t="shared" si="1"/>
        <v>0</v>
      </c>
      <c r="P41" s="151"/>
      <c r="Q41" s="144"/>
      <c r="R41" s="144"/>
      <c r="S41" s="144"/>
      <c r="T41" s="147"/>
      <c r="U41" s="147"/>
      <c r="V41" s="148"/>
      <c r="W41" s="149"/>
      <c r="X41" s="149"/>
      <c r="Y41" s="149"/>
      <c r="Z41" s="149"/>
      <c r="AA41" s="149"/>
      <c r="AB41" s="149"/>
      <c r="AC41" s="149"/>
      <c r="AD41" s="149"/>
      <c r="AE41" s="148"/>
      <c r="AF41" s="150"/>
      <c r="AG41" s="143"/>
      <c r="AH41" s="48"/>
      <c r="AI41" s="56"/>
      <c r="AJ41" s="56"/>
    </row>
    <row r="42" spans="1:36" ht="31.95" customHeight="1" x14ac:dyDescent="0.3">
      <c r="A42" s="12"/>
      <c r="B42" s="122"/>
      <c r="C42" s="49"/>
      <c r="D42" s="49">
        <f>IF(G42=Categories!$E$4,VLOOKUP(F42,Categories!$A$4:$C$13,3,1),VLOOKUP(G42,Categories!$E$4:$G$24,3,1))</f>
        <v>60</v>
      </c>
      <c r="E42" s="44">
        <v>4</v>
      </c>
      <c r="F42" s="50" t="s">
        <v>257</v>
      </c>
      <c r="G42" s="51" t="s">
        <v>61</v>
      </c>
      <c r="H42" s="52"/>
      <c r="I42" s="131">
        <v>2500</v>
      </c>
      <c r="J42" s="53" t="s">
        <v>0</v>
      </c>
      <c r="K42" s="54" t="str">
        <f>IFERROR(VLOOKUP(VLOOKUP(M42,M42,1,1),Categories!$K$4:$V$18,2+VLOOKUP(J42,J42,1,1)),"-"  )</f>
        <v>-</v>
      </c>
      <c r="L42" s="54" t="str">
        <f>IFERROR(VLOOKUP(VLOOKUP(M42,M42,1,1),Categories!$K$3:$V$18,7+VLOOKUP(J42,J42,1,1)),"-")</f>
        <v>-</v>
      </c>
      <c r="M42" s="55" t="s">
        <v>0</v>
      </c>
      <c r="N42" s="197">
        <v>60</v>
      </c>
      <c r="O42" s="204">
        <f t="shared" si="1"/>
        <v>0</v>
      </c>
      <c r="P42" s="151"/>
      <c r="Q42" s="144"/>
      <c r="R42" s="144"/>
      <c r="S42" s="144"/>
      <c r="T42" s="147"/>
      <c r="U42" s="147"/>
      <c r="V42" s="148"/>
      <c r="W42" s="149"/>
      <c r="X42" s="149"/>
      <c r="Y42" s="149"/>
      <c r="Z42" s="149"/>
      <c r="AA42" s="149"/>
      <c r="AB42" s="149"/>
      <c r="AC42" s="149"/>
      <c r="AD42" s="149"/>
      <c r="AE42" s="148"/>
      <c r="AF42" s="150"/>
      <c r="AG42" s="143"/>
      <c r="AH42" s="48"/>
      <c r="AI42" s="56"/>
      <c r="AJ42" s="56"/>
    </row>
    <row r="43" spans="1:36" ht="31.95" customHeight="1" x14ac:dyDescent="0.3">
      <c r="A43" s="12"/>
      <c r="B43" s="122"/>
      <c r="C43" s="49"/>
      <c r="D43" s="49">
        <f>IF(G43=Categories!$E$4,VLOOKUP(F43,Categories!$A$4:$C$13,3,1),VLOOKUP(G43,Categories!$E$4:$G$24,3,1))</f>
        <v>120</v>
      </c>
      <c r="E43" s="44">
        <v>4</v>
      </c>
      <c r="F43" s="50" t="s">
        <v>45</v>
      </c>
      <c r="G43" s="45" t="s">
        <v>0</v>
      </c>
      <c r="H43" s="52"/>
      <c r="I43" s="131">
        <v>2500</v>
      </c>
      <c r="J43" s="53" t="s">
        <v>0</v>
      </c>
      <c r="K43" s="54" t="str">
        <f>IFERROR(VLOOKUP(VLOOKUP(M43,M43,1,1),Categories!$K$4:$V$18,2+VLOOKUP(J43,J43,1,1)),"-"  )</f>
        <v>-</v>
      </c>
      <c r="L43" s="54" t="str">
        <f>IFERROR(VLOOKUP(VLOOKUP(M43,M43,1,1),Categories!$K$3:$V$18,7+VLOOKUP(J43,J43,1,1)),"-")</f>
        <v>-</v>
      </c>
      <c r="M43" s="55" t="s">
        <v>0</v>
      </c>
      <c r="N43" s="195">
        <v>60</v>
      </c>
      <c r="O43" s="204">
        <f t="shared" si="1"/>
        <v>0</v>
      </c>
      <c r="P43" s="151"/>
      <c r="Q43" s="144"/>
      <c r="R43" s="144"/>
      <c r="S43" s="144"/>
      <c r="T43" s="147"/>
      <c r="U43" s="147"/>
      <c r="V43" s="148"/>
      <c r="W43" s="149"/>
      <c r="X43" s="149"/>
      <c r="Y43" s="149"/>
      <c r="Z43" s="149"/>
      <c r="AA43" s="149"/>
      <c r="AB43" s="149"/>
      <c r="AC43" s="149"/>
      <c r="AD43" s="149"/>
      <c r="AE43" s="148"/>
      <c r="AF43" s="150"/>
      <c r="AG43" s="143"/>
      <c r="AH43" s="48"/>
      <c r="AI43" s="56"/>
      <c r="AJ43" s="56"/>
    </row>
    <row r="44" spans="1:36" ht="31.95" customHeight="1" x14ac:dyDescent="0.3">
      <c r="A44" s="12"/>
      <c r="B44" s="122"/>
      <c r="C44" s="49"/>
      <c r="D44" s="49">
        <f>IF(G44=Categories!$E$4,VLOOKUP(F44,Categories!$A$4:$C$13,3,1),VLOOKUP(G44,Categories!$E$4:$G$24,3,1))</f>
        <v>60</v>
      </c>
      <c r="E44" s="44">
        <v>4</v>
      </c>
      <c r="F44" s="50" t="s">
        <v>257</v>
      </c>
      <c r="G44" s="51" t="s">
        <v>61</v>
      </c>
      <c r="H44" s="52"/>
      <c r="I44" s="131">
        <v>2500</v>
      </c>
      <c r="J44" s="53" t="s">
        <v>0</v>
      </c>
      <c r="K44" s="54" t="str">
        <f>IFERROR(VLOOKUP(VLOOKUP(M44,M44,1,1),Categories!$K$4:$V$18,2+VLOOKUP(J44,J44,1,1)),"-"  )</f>
        <v>-</v>
      </c>
      <c r="L44" s="54" t="str">
        <f>IFERROR(VLOOKUP(VLOOKUP(M44,M44,1,1),Categories!$K$3:$V$18,7+VLOOKUP(J44,J44,1,1)),"-")</f>
        <v>-</v>
      </c>
      <c r="M44" s="55" t="s">
        <v>0</v>
      </c>
      <c r="N44" s="197">
        <v>80</v>
      </c>
      <c r="O44" s="204">
        <f t="shared" si="1"/>
        <v>0</v>
      </c>
      <c r="P44" s="151"/>
      <c r="Q44" s="144"/>
      <c r="R44" s="144"/>
      <c r="S44" s="144"/>
      <c r="T44" s="147"/>
      <c r="U44" s="147"/>
      <c r="V44" s="148"/>
      <c r="W44" s="149"/>
      <c r="X44" s="149"/>
      <c r="Y44" s="149"/>
      <c r="Z44" s="149"/>
      <c r="AA44" s="149"/>
      <c r="AB44" s="149"/>
      <c r="AC44" s="149"/>
      <c r="AD44" s="149"/>
      <c r="AE44" s="148"/>
      <c r="AF44" s="150"/>
      <c r="AG44" s="143"/>
      <c r="AH44" s="48"/>
      <c r="AI44" s="56"/>
      <c r="AJ44" s="56"/>
    </row>
    <row r="45" spans="1:36" ht="31.95" customHeight="1" x14ac:dyDescent="0.3">
      <c r="A45" s="12"/>
      <c r="B45" s="122"/>
      <c r="C45" s="49"/>
      <c r="D45" s="49">
        <f>IF(G45=Categories!$E$4,VLOOKUP(F45,Categories!$A$4:$C$13,3,1),VLOOKUP(G45,Categories!$E$4:$G$24,3,1))</f>
        <v>120</v>
      </c>
      <c r="E45" s="44">
        <v>4</v>
      </c>
      <c r="F45" s="50" t="s">
        <v>45</v>
      </c>
      <c r="G45" s="45" t="s">
        <v>0</v>
      </c>
      <c r="H45" s="52"/>
      <c r="I45" s="131">
        <v>2500</v>
      </c>
      <c r="J45" s="53" t="s">
        <v>0</v>
      </c>
      <c r="K45" s="54" t="str">
        <f>IFERROR(VLOOKUP(VLOOKUP(M45,M45,1,1),Categories!$K$4:$V$18,2+VLOOKUP(J45,J45,1,1)),"-"  )</f>
        <v>-</v>
      </c>
      <c r="L45" s="54" t="str">
        <f>IFERROR(VLOOKUP(VLOOKUP(M45,M45,1,1),Categories!$K$3:$V$18,7+VLOOKUP(J45,J45,1,1)),"-")</f>
        <v>-</v>
      </c>
      <c r="M45" s="55" t="s">
        <v>0</v>
      </c>
      <c r="N45" s="195">
        <v>80</v>
      </c>
      <c r="O45" s="204">
        <f t="shared" si="1"/>
        <v>0</v>
      </c>
      <c r="P45" s="151"/>
      <c r="Q45" s="144"/>
      <c r="R45" s="144"/>
      <c r="S45" s="144"/>
      <c r="T45" s="147"/>
      <c r="U45" s="147"/>
      <c r="V45" s="148"/>
      <c r="W45" s="149"/>
      <c r="X45" s="149"/>
      <c r="Y45" s="149"/>
      <c r="Z45" s="149"/>
      <c r="AA45" s="149"/>
      <c r="AB45" s="149"/>
      <c r="AC45" s="149"/>
      <c r="AD45" s="149"/>
      <c r="AE45" s="148"/>
      <c r="AF45" s="150"/>
      <c r="AG45" s="143"/>
      <c r="AH45" s="48"/>
      <c r="AI45" s="56"/>
      <c r="AJ45" s="56"/>
    </row>
    <row r="46" spans="1:36" ht="31.95" customHeight="1" x14ac:dyDescent="0.3">
      <c r="A46" s="12"/>
      <c r="B46" s="122"/>
      <c r="C46" s="49"/>
      <c r="D46" s="49">
        <f>IF(G46=Categories!$E$4,VLOOKUP(F46,Categories!$A$4:$C$13,3,1),VLOOKUP(G46,Categories!$E$4:$G$24,3,1))</f>
        <v>60</v>
      </c>
      <c r="E46" s="44">
        <v>4</v>
      </c>
      <c r="F46" s="50" t="s">
        <v>257</v>
      </c>
      <c r="G46" s="51" t="s">
        <v>61</v>
      </c>
      <c r="H46" s="52"/>
      <c r="I46" s="131">
        <v>2500</v>
      </c>
      <c r="J46" s="53" t="s">
        <v>0</v>
      </c>
      <c r="K46" s="54" t="str">
        <f>IFERROR(VLOOKUP(VLOOKUP(M46,M46,1,1),Categories!$K$4:$V$18,2+VLOOKUP(J46,J46,1,1)),"-"  )</f>
        <v>-</v>
      </c>
      <c r="L46" s="54" t="str">
        <f>IFERROR(VLOOKUP(VLOOKUP(M46,M46,1,1),Categories!$K$3:$V$18,7+VLOOKUP(J46,J46,1,1)),"-")</f>
        <v>-</v>
      </c>
      <c r="M46" s="55" t="s">
        <v>0</v>
      </c>
      <c r="N46" s="197">
        <v>0</v>
      </c>
      <c r="O46" s="204">
        <f t="shared" si="1"/>
        <v>0</v>
      </c>
      <c r="P46" s="151"/>
      <c r="Q46" s="144"/>
      <c r="R46" s="144"/>
      <c r="S46" s="144"/>
      <c r="T46" s="147"/>
      <c r="U46" s="147"/>
      <c r="V46" s="148"/>
      <c r="W46" s="149"/>
      <c r="X46" s="149"/>
      <c r="Y46" s="149"/>
      <c r="Z46" s="149"/>
      <c r="AA46" s="149"/>
      <c r="AB46" s="149"/>
      <c r="AC46" s="149"/>
      <c r="AD46" s="149"/>
      <c r="AE46" s="148"/>
      <c r="AF46" s="150"/>
      <c r="AG46" s="143"/>
      <c r="AH46" s="48"/>
      <c r="AI46" s="56"/>
      <c r="AJ46" s="56"/>
    </row>
    <row r="47" spans="1:36" ht="31.95" customHeight="1" x14ac:dyDescent="0.3">
      <c r="A47" s="12"/>
      <c r="B47" s="122"/>
      <c r="C47" s="49"/>
      <c r="D47" s="49">
        <f>IF(G47=Categories!$E$4,VLOOKUP(F47,Categories!$A$4:$C$13,3,1),VLOOKUP(G47,Categories!$E$4:$G$24,3,1))</f>
        <v>120</v>
      </c>
      <c r="E47" s="44">
        <v>4</v>
      </c>
      <c r="F47" s="50" t="s">
        <v>259</v>
      </c>
      <c r="G47" s="51" t="s">
        <v>0</v>
      </c>
      <c r="H47" s="52"/>
      <c r="I47" s="131">
        <v>2500</v>
      </c>
      <c r="J47" s="53" t="s">
        <v>0</v>
      </c>
      <c r="K47" s="54" t="str">
        <f>IFERROR(VLOOKUP(VLOOKUP(M47,M47,1,1),Categories!$K$4:$V$18,2+VLOOKUP(J47,J47,1,1)),"-"  )</f>
        <v>-</v>
      </c>
      <c r="L47" s="54" t="str">
        <f>IFERROR(VLOOKUP(VLOOKUP(M47,M47,1,1),Categories!$K$3:$V$18,7+VLOOKUP(J47,J47,1,1)),"-")</f>
        <v>-</v>
      </c>
      <c r="M47" s="55" t="s">
        <v>0</v>
      </c>
      <c r="N47" s="195">
        <v>0</v>
      </c>
      <c r="O47" s="204">
        <f t="shared" si="1"/>
        <v>0</v>
      </c>
      <c r="P47" s="151"/>
      <c r="Q47" s="144"/>
      <c r="R47" s="144"/>
      <c r="S47" s="144"/>
      <c r="T47" s="147"/>
      <c r="U47" s="147"/>
      <c r="V47" s="148"/>
      <c r="W47" s="149"/>
      <c r="X47" s="149"/>
      <c r="Y47" s="149"/>
      <c r="Z47" s="149"/>
      <c r="AA47" s="149"/>
      <c r="AB47" s="149"/>
      <c r="AC47" s="149"/>
      <c r="AD47" s="149"/>
      <c r="AE47" s="148"/>
      <c r="AF47" s="150"/>
      <c r="AG47" s="143" t="s">
        <v>267</v>
      </c>
      <c r="AH47" s="56" t="s">
        <v>268</v>
      </c>
      <c r="AI47" s="56"/>
      <c r="AJ47" s="56"/>
    </row>
    <row r="48" spans="1:36" ht="31.95" customHeight="1" thickBot="1" x14ac:dyDescent="0.35">
      <c r="A48" s="185"/>
      <c r="B48" s="186"/>
      <c r="C48" s="49"/>
      <c r="D48" s="49">
        <f>IF(G48=Categories!$E$4,VLOOKUP(F48,Categories!$A$4:$C$13,3,1),VLOOKUP(G48,Categories!$E$4:$G$24,3,1))</f>
        <v>30</v>
      </c>
      <c r="E48" s="44" t="s">
        <v>0</v>
      </c>
      <c r="F48" s="50" t="s">
        <v>257</v>
      </c>
      <c r="G48" s="51" t="s">
        <v>2</v>
      </c>
      <c r="H48" s="52"/>
      <c r="I48" s="131">
        <v>2800</v>
      </c>
      <c r="J48" s="53" t="s">
        <v>0</v>
      </c>
      <c r="K48" s="54" t="str">
        <f>IFERROR(VLOOKUP(VLOOKUP(M48,M48,1,1),Categories!$K$4:$V$18,2+VLOOKUP(J48,J48,1,1)),"-"  )</f>
        <v>-</v>
      </c>
      <c r="L48" s="54" t="str">
        <f>IFERROR(VLOOKUP(VLOOKUP(M48,M48,1,1),Categories!$K$3:$V$18,7+VLOOKUP(J48,J48,1,1)),"-")</f>
        <v>-</v>
      </c>
      <c r="M48" s="55" t="s">
        <v>0</v>
      </c>
      <c r="N48" s="195" t="s">
        <v>0</v>
      </c>
      <c r="O48" s="204" t="str">
        <f t="shared" si="0"/>
        <v>-</v>
      </c>
      <c r="P48" s="187"/>
      <c r="Q48" s="188"/>
      <c r="R48" s="188"/>
      <c r="S48" s="144"/>
      <c r="T48" s="189"/>
      <c r="U48" s="189"/>
      <c r="V48" s="190"/>
      <c r="W48" s="191"/>
      <c r="X48" s="191"/>
      <c r="Y48" s="191"/>
      <c r="Z48" s="191"/>
      <c r="AA48" s="191"/>
      <c r="AB48" s="191"/>
      <c r="AC48" s="191"/>
      <c r="AD48" s="191"/>
      <c r="AE48" s="190"/>
      <c r="AF48" s="192"/>
      <c r="AG48" s="143"/>
      <c r="AH48" s="56"/>
      <c r="AI48" s="56"/>
      <c r="AJ48" s="56"/>
    </row>
    <row r="49" spans="1:36" ht="31.95" customHeight="1" thickBot="1" x14ac:dyDescent="0.35">
      <c r="A49" s="12"/>
      <c r="B49" s="205"/>
      <c r="C49" s="49"/>
      <c r="D49" s="49">
        <f>IF(G49=Categories!$E$4,VLOOKUP(F49,Categories!$A$4:$C$13,3,1),VLOOKUP(G49,Categories!$E$4:$G$24,3,1))</f>
        <v>120</v>
      </c>
      <c r="E49" s="44">
        <v>5</v>
      </c>
      <c r="F49" s="50" t="s">
        <v>1</v>
      </c>
      <c r="G49" s="51" t="s">
        <v>0</v>
      </c>
      <c r="H49" s="52"/>
      <c r="I49" s="131">
        <v>2800</v>
      </c>
      <c r="J49" s="53" t="s">
        <v>0</v>
      </c>
      <c r="K49" s="54" t="str">
        <f>IFERROR(VLOOKUP(VLOOKUP(M49,M49,1,1),Categories!$K$4:$V$18,2+VLOOKUP(J49,J49,1,1)),"-"  )</f>
        <v>-</v>
      </c>
      <c r="L49" s="54" t="str">
        <f>IFERROR(VLOOKUP(VLOOKUP(M49,M49,1,1),Categories!$K$3:$V$18,7+VLOOKUP(J49,J49,1,1)),"-")</f>
        <v>-</v>
      </c>
      <c r="M49" s="55" t="s">
        <v>0</v>
      </c>
      <c r="N49" s="195" t="s">
        <v>0</v>
      </c>
      <c r="O49" s="204" t="str">
        <f t="shared" si="0"/>
        <v>-</v>
      </c>
      <c r="P49" s="151"/>
      <c r="Q49" s="144"/>
      <c r="R49" s="144"/>
      <c r="S49" s="144"/>
      <c r="T49" s="147"/>
      <c r="U49" s="199"/>
      <c r="V49" s="203"/>
      <c r="W49" s="201"/>
      <c r="X49" s="149"/>
      <c r="Y49" s="149"/>
      <c r="Z49" s="149"/>
      <c r="AA49" s="149"/>
      <c r="AB49" s="149"/>
      <c r="AC49" s="149"/>
      <c r="AD49" s="149"/>
      <c r="AE49" s="148"/>
      <c r="AF49" s="150"/>
      <c r="AG49" s="143"/>
      <c r="AH49" s="48"/>
      <c r="AI49" s="56"/>
      <c r="AJ49" s="56"/>
    </row>
    <row r="50" spans="1:36" ht="31.95" customHeight="1" x14ac:dyDescent="0.3">
      <c r="A50" s="185"/>
      <c r="B50" s="206"/>
      <c r="C50" s="49"/>
      <c r="D50" s="49">
        <f>IF(G50=Categories!$E$4,VLOOKUP(F50,Categories!$A$4:$C$13,3,1),VLOOKUP(G50,Categories!$E$4:$G$24,3,1))</f>
        <v>60</v>
      </c>
      <c r="E50" s="44">
        <v>5</v>
      </c>
      <c r="F50" s="50" t="s">
        <v>257</v>
      </c>
      <c r="G50" s="51" t="s">
        <v>62</v>
      </c>
      <c r="H50" s="52"/>
      <c r="I50" s="131">
        <v>2800</v>
      </c>
      <c r="J50" s="53" t="s">
        <v>0</v>
      </c>
      <c r="K50" s="54" t="str">
        <f>IFERROR(VLOOKUP(VLOOKUP(M50,M50,1,1),Categories!$K$4:$V$18,2+VLOOKUP(J50,J50,1,1)),"-"  )</f>
        <v>-</v>
      </c>
      <c r="L50" s="54" t="str">
        <f>IFERROR(VLOOKUP(VLOOKUP(M50,M50,1,1),Categories!$K$3:$V$18,7+VLOOKUP(J50,J50,1,1)),"-")</f>
        <v>-</v>
      </c>
      <c r="M50" s="55" t="s">
        <v>0</v>
      </c>
      <c r="N50" s="197">
        <v>20</v>
      </c>
      <c r="O50" s="204">
        <f>IF(N50="-","-",$V$49*(1-N50/100))</f>
        <v>0</v>
      </c>
      <c r="P50" s="187"/>
      <c r="Q50" s="188"/>
      <c r="R50" s="188"/>
      <c r="S50" s="144"/>
      <c r="T50" s="189"/>
      <c r="U50" s="189"/>
      <c r="V50" s="190"/>
      <c r="W50" s="191"/>
      <c r="X50" s="191"/>
      <c r="Y50" s="191"/>
      <c r="Z50" s="191"/>
      <c r="AA50" s="191"/>
      <c r="AB50" s="191"/>
      <c r="AC50" s="191"/>
      <c r="AD50" s="191"/>
      <c r="AE50" s="190"/>
      <c r="AF50" s="192"/>
      <c r="AG50" s="143"/>
      <c r="AH50" s="56"/>
      <c r="AI50" s="56"/>
      <c r="AJ50" s="56"/>
    </row>
    <row r="51" spans="1:36" ht="31.95" customHeight="1" x14ac:dyDescent="0.3">
      <c r="A51" s="12"/>
      <c r="B51" s="122"/>
      <c r="C51" s="49"/>
      <c r="D51" s="49">
        <f>IF(G51=Categories!$E$4,VLOOKUP(F51,Categories!$A$4:$C$13,3,1),VLOOKUP(G51,Categories!$E$4:$G$24,3,1))</f>
        <v>120</v>
      </c>
      <c r="E51" s="44">
        <v>5</v>
      </c>
      <c r="F51" s="50" t="s">
        <v>45</v>
      </c>
      <c r="G51" s="45" t="s">
        <v>0</v>
      </c>
      <c r="H51" s="52"/>
      <c r="I51" s="131">
        <v>2800</v>
      </c>
      <c r="J51" s="53" t="s">
        <v>0</v>
      </c>
      <c r="K51" s="54" t="str">
        <f>IFERROR(VLOOKUP(VLOOKUP(M51,M51,1,1),Categories!$K$4:$V$18,2+VLOOKUP(J51,J51,1,1)),"-"  )</f>
        <v>-</v>
      </c>
      <c r="L51" s="54" t="str">
        <f>IFERROR(VLOOKUP(VLOOKUP(M51,M51,1,1),Categories!$K$3:$V$18,7+VLOOKUP(J51,J51,1,1)),"-")</f>
        <v>-</v>
      </c>
      <c r="M51" s="55" t="s">
        <v>0</v>
      </c>
      <c r="N51" s="195">
        <v>20</v>
      </c>
      <c r="O51" s="204">
        <f t="shared" ref="O51:O69" si="2">IF(N51="-","-",$V$49*(1-N51/100))</f>
        <v>0</v>
      </c>
      <c r="P51" s="151"/>
      <c r="Q51" s="144"/>
      <c r="R51" s="144"/>
      <c r="S51" s="144"/>
      <c r="T51" s="147"/>
      <c r="U51" s="147"/>
      <c r="V51" s="148"/>
      <c r="W51" s="149"/>
      <c r="X51" s="149"/>
      <c r="Y51" s="149"/>
      <c r="Z51" s="149"/>
      <c r="AA51" s="149"/>
      <c r="AB51" s="149"/>
      <c r="AC51" s="149"/>
      <c r="AD51" s="149"/>
      <c r="AE51" s="148"/>
      <c r="AF51" s="150"/>
      <c r="AG51" s="143"/>
      <c r="AH51" s="48"/>
      <c r="AI51" s="56"/>
      <c r="AJ51" s="56"/>
    </row>
    <row r="52" spans="1:36" ht="31.95" customHeight="1" x14ac:dyDescent="0.3">
      <c r="A52" s="12"/>
      <c r="B52" s="122"/>
      <c r="C52" s="49"/>
      <c r="D52" s="49">
        <f>IF(G52=Categories!$E$4,VLOOKUP(F52,Categories!$A$4:$C$13,3,1),VLOOKUP(G52,Categories!$E$4:$G$24,3,1))</f>
        <v>60</v>
      </c>
      <c r="E52" s="44">
        <v>5</v>
      </c>
      <c r="F52" s="50" t="s">
        <v>257</v>
      </c>
      <c r="G52" s="51" t="s">
        <v>62</v>
      </c>
      <c r="H52" s="52"/>
      <c r="I52" s="131">
        <v>2800</v>
      </c>
      <c r="J52" s="53" t="s">
        <v>0</v>
      </c>
      <c r="K52" s="54" t="str">
        <f>IFERROR(VLOOKUP(VLOOKUP(M52,M52,1,1),Categories!$K$4:$V$18,2+VLOOKUP(J52,J52,1,1)),"-"  )</f>
        <v>-</v>
      </c>
      <c r="L52" s="54" t="str">
        <f>IFERROR(VLOOKUP(VLOOKUP(M52,M52,1,1),Categories!$K$3:$V$18,7+VLOOKUP(J52,J52,1,1)),"-")</f>
        <v>-</v>
      </c>
      <c r="M52" s="55" t="s">
        <v>0</v>
      </c>
      <c r="N52" s="197">
        <v>40</v>
      </c>
      <c r="O52" s="204">
        <f t="shared" si="2"/>
        <v>0</v>
      </c>
      <c r="P52" s="151"/>
      <c r="Q52" s="144"/>
      <c r="R52" s="144"/>
      <c r="S52" s="188"/>
      <c r="T52" s="147"/>
      <c r="U52" s="147"/>
      <c r="V52" s="148"/>
      <c r="W52" s="149"/>
      <c r="X52" s="149"/>
      <c r="Y52" s="149"/>
      <c r="Z52" s="149"/>
      <c r="AA52" s="149"/>
      <c r="AB52" s="149"/>
      <c r="AC52" s="149"/>
      <c r="AD52" s="149"/>
      <c r="AE52" s="148"/>
      <c r="AF52" s="150"/>
      <c r="AG52" s="143"/>
      <c r="AH52" s="48"/>
      <c r="AI52" s="56"/>
      <c r="AJ52" s="56"/>
    </row>
    <row r="53" spans="1:36" ht="31.95" customHeight="1" x14ac:dyDescent="0.3">
      <c r="A53" s="12"/>
      <c r="B53" s="122"/>
      <c r="C53" s="49"/>
      <c r="D53" s="49">
        <f>IF(G53=Categories!$E$4,VLOOKUP(F53,Categories!$A$4:$C$13,3,1),VLOOKUP(G53,Categories!$E$4:$G$24,3,1))</f>
        <v>120</v>
      </c>
      <c r="E53" s="44">
        <v>5</v>
      </c>
      <c r="F53" s="50" t="s">
        <v>45</v>
      </c>
      <c r="G53" s="45" t="s">
        <v>0</v>
      </c>
      <c r="H53" s="52"/>
      <c r="I53" s="131">
        <v>2800</v>
      </c>
      <c r="J53" s="53" t="s">
        <v>0</v>
      </c>
      <c r="K53" s="54" t="str">
        <f>IFERROR(VLOOKUP(VLOOKUP(M53,M53,1,1),Categories!$K$4:$V$18,2+VLOOKUP(J53,J53,1,1)),"-"  )</f>
        <v>-</v>
      </c>
      <c r="L53" s="54" t="str">
        <f>IFERROR(VLOOKUP(VLOOKUP(M53,M53,1,1),Categories!$K$3:$V$18,7+VLOOKUP(J53,J53,1,1)),"-")</f>
        <v>-</v>
      </c>
      <c r="M53" s="55" t="s">
        <v>0</v>
      </c>
      <c r="N53" s="195">
        <v>40</v>
      </c>
      <c r="O53" s="204">
        <f t="shared" si="2"/>
        <v>0</v>
      </c>
      <c r="P53" s="151"/>
      <c r="Q53" s="144"/>
      <c r="R53" s="144"/>
      <c r="S53" s="144"/>
      <c r="T53" s="147"/>
      <c r="U53" s="147"/>
      <c r="V53" s="148"/>
      <c r="W53" s="149"/>
      <c r="X53" s="149"/>
      <c r="Y53" s="149"/>
      <c r="Z53" s="149"/>
      <c r="AA53" s="149"/>
      <c r="AB53" s="149"/>
      <c r="AC53" s="149"/>
      <c r="AD53" s="149"/>
      <c r="AE53" s="148"/>
      <c r="AF53" s="150"/>
      <c r="AG53" s="143"/>
      <c r="AH53" s="48"/>
      <c r="AI53" s="56"/>
      <c r="AJ53" s="56"/>
    </row>
    <row r="54" spans="1:36" ht="31.95" customHeight="1" x14ac:dyDescent="0.3">
      <c r="A54" s="12"/>
      <c r="B54" s="122"/>
      <c r="C54" s="49"/>
      <c r="D54" s="49">
        <f>IF(G54=Categories!$E$4,VLOOKUP(F54,Categories!$A$4:$C$13,3,1),VLOOKUP(G54,Categories!$E$4:$G$24,3,1))</f>
        <v>60</v>
      </c>
      <c r="E54" s="44">
        <v>5</v>
      </c>
      <c r="F54" s="50" t="s">
        <v>257</v>
      </c>
      <c r="G54" s="51" t="s">
        <v>62</v>
      </c>
      <c r="H54" s="52"/>
      <c r="I54" s="131">
        <v>2800</v>
      </c>
      <c r="J54" s="53" t="s">
        <v>0</v>
      </c>
      <c r="K54" s="54" t="str">
        <f>IFERROR(VLOOKUP(VLOOKUP(M54,M54,1,1),Categories!$K$4:$V$18,2+VLOOKUP(J54,J54,1,1)),"-"  )</f>
        <v>-</v>
      </c>
      <c r="L54" s="54" t="str">
        <f>IFERROR(VLOOKUP(VLOOKUP(M54,M54,1,1),Categories!$K$3:$V$18,7+VLOOKUP(J54,J54,1,1)),"-")</f>
        <v>-</v>
      </c>
      <c r="M54" s="55" t="s">
        <v>0</v>
      </c>
      <c r="N54" s="197">
        <v>60</v>
      </c>
      <c r="O54" s="204">
        <f t="shared" si="2"/>
        <v>0</v>
      </c>
      <c r="P54" s="151"/>
      <c r="Q54" s="144"/>
      <c r="R54" s="144"/>
      <c r="S54" s="144"/>
      <c r="T54" s="147"/>
      <c r="U54" s="147"/>
      <c r="V54" s="148"/>
      <c r="W54" s="149"/>
      <c r="X54" s="149"/>
      <c r="Y54" s="149"/>
      <c r="Z54" s="149"/>
      <c r="AA54" s="149"/>
      <c r="AB54" s="149"/>
      <c r="AC54" s="149"/>
      <c r="AD54" s="149"/>
      <c r="AE54" s="148"/>
      <c r="AF54" s="150"/>
      <c r="AG54" s="143"/>
      <c r="AH54" s="48"/>
      <c r="AI54" s="56"/>
      <c r="AJ54" s="56"/>
    </row>
    <row r="55" spans="1:36" ht="31.95" customHeight="1" x14ac:dyDescent="0.3">
      <c r="A55" s="12"/>
      <c r="B55" s="122"/>
      <c r="C55" s="49"/>
      <c r="D55" s="49">
        <f>IF(G55=Categories!$E$4,VLOOKUP(F55,Categories!$A$4:$C$13,3,1),VLOOKUP(G55,Categories!$E$4:$G$24,3,1))</f>
        <v>120</v>
      </c>
      <c r="E55" s="44">
        <v>5</v>
      </c>
      <c r="F55" s="50" t="s">
        <v>45</v>
      </c>
      <c r="G55" s="45" t="s">
        <v>0</v>
      </c>
      <c r="H55" s="52"/>
      <c r="I55" s="131">
        <v>2800</v>
      </c>
      <c r="J55" s="53" t="s">
        <v>0</v>
      </c>
      <c r="K55" s="54" t="str">
        <f>IFERROR(VLOOKUP(VLOOKUP(M55,M55,1,1),Categories!$K$4:$V$18,2+VLOOKUP(J55,J55,1,1)),"-"  )</f>
        <v>-</v>
      </c>
      <c r="L55" s="54" t="str">
        <f>IFERROR(VLOOKUP(VLOOKUP(M55,M55,1,1),Categories!$K$3:$V$18,7+VLOOKUP(J55,J55,1,1)),"-")</f>
        <v>-</v>
      </c>
      <c r="M55" s="55" t="s">
        <v>0</v>
      </c>
      <c r="N55" s="195">
        <v>60</v>
      </c>
      <c r="O55" s="204">
        <f t="shared" si="2"/>
        <v>0</v>
      </c>
      <c r="P55" s="151"/>
      <c r="Q55" s="144"/>
      <c r="R55" s="144"/>
      <c r="S55" s="144"/>
      <c r="T55" s="147"/>
      <c r="U55" s="147"/>
      <c r="V55" s="148"/>
      <c r="W55" s="149"/>
      <c r="X55" s="149"/>
      <c r="Y55" s="149"/>
      <c r="Z55" s="149"/>
      <c r="AA55" s="149"/>
      <c r="AB55" s="149"/>
      <c r="AC55" s="149"/>
      <c r="AD55" s="149"/>
      <c r="AE55" s="148"/>
      <c r="AF55" s="150"/>
      <c r="AG55" s="143"/>
      <c r="AH55" s="48"/>
      <c r="AI55" s="56"/>
      <c r="AJ55" s="56"/>
    </row>
    <row r="56" spans="1:36" ht="31.95" customHeight="1" x14ac:dyDescent="0.3">
      <c r="A56" s="12"/>
      <c r="B56" s="122"/>
      <c r="C56" s="49"/>
      <c r="D56" s="49">
        <f>IF(G56=Categories!$E$4,VLOOKUP(F56,Categories!$A$4:$C$13,3,1),VLOOKUP(G56,Categories!$E$4:$G$24,3,1))</f>
        <v>60</v>
      </c>
      <c r="E56" s="44">
        <v>5</v>
      </c>
      <c r="F56" s="50" t="s">
        <v>257</v>
      </c>
      <c r="G56" s="51" t="s">
        <v>62</v>
      </c>
      <c r="H56" s="52"/>
      <c r="I56" s="131">
        <v>2800</v>
      </c>
      <c r="J56" s="53" t="s">
        <v>0</v>
      </c>
      <c r="K56" s="54" t="str">
        <f>IFERROR(VLOOKUP(VLOOKUP(M56,M56,1,1),Categories!$K$4:$V$18,2+VLOOKUP(J56,J56,1,1)),"-"  )</f>
        <v>-</v>
      </c>
      <c r="L56" s="54" t="str">
        <f>IFERROR(VLOOKUP(VLOOKUP(M56,M56,1,1),Categories!$K$3:$V$18,7+VLOOKUP(J56,J56,1,1)),"-")</f>
        <v>-</v>
      </c>
      <c r="M56" s="55" t="s">
        <v>0</v>
      </c>
      <c r="N56" s="197">
        <v>80</v>
      </c>
      <c r="O56" s="204">
        <f t="shared" si="2"/>
        <v>0</v>
      </c>
      <c r="P56" s="151"/>
      <c r="Q56" s="144"/>
      <c r="R56" s="144"/>
      <c r="S56" s="144"/>
      <c r="T56" s="147"/>
      <c r="U56" s="147"/>
      <c r="V56" s="148"/>
      <c r="W56" s="149"/>
      <c r="X56" s="149"/>
      <c r="Y56" s="149"/>
      <c r="Z56" s="149"/>
      <c r="AA56" s="149"/>
      <c r="AB56" s="149"/>
      <c r="AC56" s="149"/>
      <c r="AD56" s="149"/>
      <c r="AE56" s="148"/>
      <c r="AF56" s="150"/>
      <c r="AG56" s="143"/>
      <c r="AH56" s="48"/>
      <c r="AI56" s="56"/>
      <c r="AJ56" s="56"/>
    </row>
    <row r="57" spans="1:36" ht="31.95" customHeight="1" x14ac:dyDescent="0.3">
      <c r="A57" s="12"/>
      <c r="B57" s="122"/>
      <c r="C57" s="49"/>
      <c r="D57" s="49">
        <f>IF(G57=Categories!$E$4,VLOOKUP(F57,Categories!$A$4:$C$13,3,1),VLOOKUP(G57,Categories!$E$4:$G$24,3,1))</f>
        <v>120</v>
      </c>
      <c r="E57" s="44">
        <v>5</v>
      </c>
      <c r="F57" s="50" t="s">
        <v>45</v>
      </c>
      <c r="G57" s="45" t="s">
        <v>0</v>
      </c>
      <c r="H57" s="52"/>
      <c r="I57" s="131">
        <v>2800</v>
      </c>
      <c r="J57" s="53" t="s">
        <v>0</v>
      </c>
      <c r="K57" s="54" t="str">
        <f>IFERROR(VLOOKUP(VLOOKUP(M57,M57,1,1),Categories!$K$4:$V$18,2+VLOOKUP(J57,J57,1,1)),"-"  )</f>
        <v>-</v>
      </c>
      <c r="L57" s="54" t="str">
        <f>IFERROR(VLOOKUP(VLOOKUP(M57,M57,1,1),Categories!$K$3:$V$18,7+VLOOKUP(J57,J57,1,1)),"-")</f>
        <v>-</v>
      </c>
      <c r="M57" s="55" t="s">
        <v>0</v>
      </c>
      <c r="N57" s="195">
        <v>80</v>
      </c>
      <c r="O57" s="204">
        <f t="shared" si="2"/>
        <v>0</v>
      </c>
      <c r="P57" s="151"/>
      <c r="Q57" s="144"/>
      <c r="R57" s="144"/>
      <c r="S57" s="144"/>
      <c r="T57" s="147"/>
      <c r="U57" s="147"/>
      <c r="V57" s="148"/>
      <c r="W57" s="149"/>
      <c r="X57" s="149"/>
      <c r="Y57" s="149"/>
      <c r="Z57" s="149"/>
      <c r="AA57" s="149"/>
      <c r="AB57" s="149"/>
      <c r="AC57" s="149"/>
      <c r="AD57" s="149"/>
      <c r="AE57" s="148"/>
      <c r="AF57" s="150"/>
      <c r="AG57" s="143"/>
      <c r="AH57" s="48"/>
      <c r="AI57" s="56"/>
      <c r="AJ57" s="56"/>
    </row>
    <row r="58" spans="1:36" ht="31.95" customHeight="1" x14ac:dyDescent="0.3">
      <c r="A58" s="12"/>
      <c r="B58" s="122"/>
      <c r="C58" s="49"/>
      <c r="D58" s="49">
        <f>IF(G58=Categories!$E$4,VLOOKUP(F58,Categories!$A$4:$C$13,3,1),VLOOKUP(G58,Categories!$E$4:$G$24,3,1))</f>
        <v>60</v>
      </c>
      <c r="E58" s="44">
        <v>5</v>
      </c>
      <c r="F58" s="50" t="s">
        <v>257</v>
      </c>
      <c r="G58" s="51" t="s">
        <v>62</v>
      </c>
      <c r="H58" s="52"/>
      <c r="I58" s="131">
        <v>2800</v>
      </c>
      <c r="J58" s="53" t="s">
        <v>0</v>
      </c>
      <c r="K58" s="54" t="str">
        <f>IFERROR(VLOOKUP(VLOOKUP(M58,M58,1,1),Categories!$K$4:$V$18,2+VLOOKUP(J58,J58,1,1)),"-"  )</f>
        <v>-</v>
      </c>
      <c r="L58" s="54" t="str">
        <f>IFERROR(VLOOKUP(VLOOKUP(M58,M58,1,1),Categories!$K$3:$V$18,7+VLOOKUP(J58,J58,1,1)),"-")</f>
        <v>-</v>
      </c>
      <c r="M58" s="55" t="s">
        <v>0</v>
      </c>
      <c r="N58" s="197">
        <v>0</v>
      </c>
      <c r="O58" s="204">
        <f t="shared" si="2"/>
        <v>0</v>
      </c>
      <c r="P58" s="151"/>
      <c r="Q58" s="144"/>
      <c r="R58" s="144"/>
      <c r="S58" s="144"/>
      <c r="T58" s="147"/>
      <c r="U58" s="147"/>
      <c r="V58" s="148"/>
      <c r="W58" s="149"/>
      <c r="X58" s="149"/>
      <c r="Y58" s="149"/>
      <c r="Z58" s="149"/>
      <c r="AA58" s="149"/>
      <c r="AB58" s="149"/>
      <c r="AC58" s="149"/>
      <c r="AD58" s="149"/>
      <c r="AE58" s="148"/>
      <c r="AF58" s="150"/>
      <c r="AG58" s="143"/>
      <c r="AH58" s="48"/>
      <c r="AI58" s="56"/>
      <c r="AJ58" s="56"/>
    </row>
    <row r="59" spans="1:36" ht="31.95" customHeight="1" x14ac:dyDescent="0.3">
      <c r="A59" s="12"/>
      <c r="B59" s="122"/>
      <c r="C59" s="49"/>
      <c r="D59" s="49">
        <f>IF(G59=Categories!$E$4,VLOOKUP(F59,Categories!$A$4:$C$13,3,1),VLOOKUP(G59,Categories!$E$4:$G$24,3,1))</f>
        <v>120</v>
      </c>
      <c r="E59" s="44">
        <v>5</v>
      </c>
      <c r="F59" s="50" t="s">
        <v>259</v>
      </c>
      <c r="G59" s="51" t="s">
        <v>0</v>
      </c>
      <c r="H59" s="52"/>
      <c r="I59" s="131">
        <v>2800</v>
      </c>
      <c r="J59" s="53" t="s">
        <v>0</v>
      </c>
      <c r="K59" s="54" t="str">
        <f>IFERROR(VLOOKUP(VLOOKUP(M59,M59,1,1),Categories!$K$4:$V$18,2+VLOOKUP(J59,J59,1,1)),"-"  )</f>
        <v>-</v>
      </c>
      <c r="L59" s="54" t="str">
        <f>IFERROR(VLOOKUP(VLOOKUP(M59,M59,1,1),Categories!$K$3:$V$18,7+VLOOKUP(J59,J59,1,1)),"-")</f>
        <v>-</v>
      </c>
      <c r="M59" s="55" t="s">
        <v>0</v>
      </c>
      <c r="N59" s="195">
        <v>0</v>
      </c>
      <c r="O59" s="204">
        <f t="shared" si="2"/>
        <v>0</v>
      </c>
      <c r="P59" s="151"/>
      <c r="Q59" s="144"/>
      <c r="R59" s="144"/>
      <c r="S59" s="144"/>
      <c r="T59" s="147"/>
      <c r="U59" s="147"/>
      <c r="V59" s="148"/>
      <c r="W59" s="149"/>
      <c r="X59" s="149"/>
      <c r="Y59" s="149"/>
      <c r="Z59" s="149"/>
      <c r="AA59" s="149"/>
      <c r="AB59" s="149"/>
      <c r="AC59" s="149"/>
      <c r="AD59" s="149"/>
      <c r="AE59" s="148"/>
      <c r="AF59" s="150"/>
      <c r="AG59" s="143"/>
      <c r="AH59" s="48"/>
      <c r="AI59" s="56"/>
      <c r="AJ59" s="56"/>
    </row>
    <row r="60" spans="1:36" ht="31.95" customHeight="1" x14ac:dyDescent="0.3">
      <c r="A60" s="185"/>
      <c r="B60" s="186"/>
      <c r="C60" s="49"/>
      <c r="D60" s="49">
        <f>IF(G60=Categories!$E$4,VLOOKUP(F60,Categories!$A$4:$C$13,3,1),VLOOKUP(G60,Categories!$E$4:$G$24,3,1))</f>
        <v>60</v>
      </c>
      <c r="E60" s="44">
        <v>6</v>
      </c>
      <c r="F60" s="50" t="s">
        <v>257</v>
      </c>
      <c r="G60" s="51" t="s">
        <v>61</v>
      </c>
      <c r="H60" s="52"/>
      <c r="I60" s="131">
        <v>2800</v>
      </c>
      <c r="J60" s="53" t="s">
        <v>0</v>
      </c>
      <c r="K60" s="54" t="str">
        <f>IFERROR(VLOOKUP(VLOOKUP(M60,M60,1,1),Categories!$K$4:$V$18,2+VLOOKUP(J60,J60,1,1)),"-"  )</f>
        <v>-</v>
      </c>
      <c r="L60" s="54" t="str">
        <f>IFERROR(VLOOKUP(VLOOKUP(M60,M60,1,1),Categories!$K$3:$V$18,7+VLOOKUP(J60,J60,1,1)),"-")</f>
        <v>-</v>
      </c>
      <c r="M60" s="55" t="s">
        <v>0</v>
      </c>
      <c r="N60" s="197">
        <v>20</v>
      </c>
      <c r="O60" s="204">
        <f t="shared" si="2"/>
        <v>0</v>
      </c>
      <c r="P60" s="187"/>
      <c r="Q60" s="188"/>
      <c r="R60" s="188"/>
      <c r="S60" s="144"/>
      <c r="T60" s="189"/>
      <c r="U60" s="189"/>
      <c r="V60" s="190"/>
      <c r="W60" s="191"/>
      <c r="X60" s="191"/>
      <c r="Y60" s="191"/>
      <c r="Z60" s="191"/>
      <c r="AA60" s="191"/>
      <c r="AB60" s="191"/>
      <c r="AC60" s="191"/>
      <c r="AD60" s="191"/>
      <c r="AE60" s="190"/>
      <c r="AF60" s="192"/>
      <c r="AG60" s="143"/>
      <c r="AH60" s="56"/>
      <c r="AI60" s="56"/>
      <c r="AJ60" s="56"/>
    </row>
    <row r="61" spans="1:36" ht="31.95" customHeight="1" x14ac:dyDescent="0.3">
      <c r="A61" s="12"/>
      <c r="B61" s="122"/>
      <c r="C61" s="49"/>
      <c r="D61" s="49">
        <f>IF(G61=Categories!$E$4,VLOOKUP(F61,Categories!$A$4:$C$13,3,1),VLOOKUP(G61,Categories!$E$4:$G$24,3,1))</f>
        <v>120</v>
      </c>
      <c r="E61" s="44">
        <v>6</v>
      </c>
      <c r="F61" s="50" t="s">
        <v>45</v>
      </c>
      <c r="G61" s="45" t="s">
        <v>0</v>
      </c>
      <c r="H61" s="52"/>
      <c r="I61" s="131">
        <v>2800</v>
      </c>
      <c r="J61" s="53" t="s">
        <v>0</v>
      </c>
      <c r="K61" s="54" t="str">
        <f>IFERROR(VLOOKUP(VLOOKUP(M61,M61,1,1),Categories!$K$4:$V$18,2+VLOOKUP(J61,J61,1,1)),"-"  )</f>
        <v>-</v>
      </c>
      <c r="L61" s="54" t="str">
        <f>IFERROR(VLOOKUP(VLOOKUP(M61,M61,1,1),Categories!$K$3:$V$18,7+VLOOKUP(J61,J61,1,1)),"-")</f>
        <v>-</v>
      </c>
      <c r="M61" s="55" t="s">
        <v>0</v>
      </c>
      <c r="N61" s="195">
        <v>20</v>
      </c>
      <c r="O61" s="204">
        <f t="shared" si="2"/>
        <v>0</v>
      </c>
      <c r="P61" s="151"/>
      <c r="Q61" s="144"/>
      <c r="R61" s="144"/>
      <c r="S61" s="144"/>
      <c r="T61" s="147"/>
      <c r="U61" s="147"/>
      <c r="V61" s="148"/>
      <c r="W61" s="149"/>
      <c r="X61" s="149"/>
      <c r="Y61" s="149"/>
      <c r="Z61" s="149"/>
      <c r="AA61" s="149"/>
      <c r="AB61" s="149"/>
      <c r="AC61" s="149"/>
      <c r="AD61" s="149"/>
      <c r="AE61" s="148"/>
      <c r="AF61" s="150"/>
      <c r="AG61" s="143"/>
      <c r="AH61" s="48"/>
      <c r="AI61" s="56"/>
      <c r="AJ61" s="56"/>
    </row>
    <row r="62" spans="1:36" ht="31.95" customHeight="1" x14ac:dyDescent="0.3">
      <c r="A62" s="12"/>
      <c r="B62" s="122"/>
      <c r="C62" s="49"/>
      <c r="D62" s="49">
        <f>IF(G62=Categories!$E$4,VLOOKUP(F62,Categories!$A$4:$C$13,3,1),VLOOKUP(G62,Categories!$E$4:$G$24,3,1))</f>
        <v>60</v>
      </c>
      <c r="E62" s="44">
        <v>6</v>
      </c>
      <c r="F62" s="50" t="s">
        <v>257</v>
      </c>
      <c r="G62" s="51" t="s">
        <v>61</v>
      </c>
      <c r="H62" s="52"/>
      <c r="I62" s="131">
        <v>2800</v>
      </c>
      <c r="J62" s="53" t="s">
        <v>0</v>
      </c>
      <c r="K62" s="54" t="str">
        <f>IFERROR(VLOOKUP(VLOOKUP(M62,M62,1,1),Categories!$K$4:$V$18,2+VLOOKUP(J62,J62,1,1)),"-"  )</f>
        <v>-</v>
      </c>
      <c r="L62" s="54" t="str">
        <f>IFERROR(VLOOKUP(VLOOKUP(M62,M62,1,1),Categories!$K$3:$V$18,7+VLOOKUP(J62,J62,1,1)),"-")</f>
        <v>-</v>
      </c>
      <c r="M62" s="55" t="s">
        <v>0</v>
      </c>
      <c r="N62" s="197">
        <v>40</v>
      </c>
      <c r="O62" s="204">
        <f t="shared" si="2"/>
        <v>0</v>
      </c>
      <c r="P62" s="151"/>
      <c r="Q62" s="144"/>
      <c r="R62" s="144"/>
      <c r="S62" s="144"/>
      <c r="T62" s="147"/>
      <c r="U62" s="147"/>
      <c r="V62" s="148"/>
      <c r="W62" s="149"/>
      <c r="X62" s="149"/>
      <c r="Y62" s="149"/>
      <c r="Z62" s="149"/>
      <c r="AA62" s="149"/>
      <c r="AB62" s="149"/>
      <c r="AC62" s="149"/>
      <c r="AD62" s="149"/>
      <c r="AE62" s="148"/>
      <c r="AF62" s="150"/>
      <c r="AG62" s="143"/>
      <c r="AH62" s="48"/>
      <c r="AI62" s="56"/>
      <c r="AJ62" s="56"/>
    </row>
    <row r="63" spans="1:36" ht="31.95" customHeight="1" x14ac:dyDescent="0.3">
      <c r="A63" s="12"/>
      <c r="B63" s="122"/>
      <c r="C63" s="49"/>
      <c r="D63" s="49">
        <f>IF(G63=Categories!$E$4,VLOOKUP(F63,Categories!$A$4:$C$13,3,1),VLOOKUP(G63,Categories!$E$4:$G$24,3,1))</f>
        <v>120</v>
      </c>
      <c r="E63" s="44">
        <v>6</v>
      </c>
      <c r="F63" s="50" t="s">
        <v>45</v>
      </c>
      <c r="G63" s="45" t="s">
        <v>0</v>
      </c>
      <c r="H63" s="52"/>
      <c r="I63" s="131">
        <v>2800</v>
      </c>
      <c r="J63" s="53" t="s">
        <v>0</v>
      </c>
      <c r="K63" s="54" t="str">
        <f>IFERROR(VLOOKUP(VLOOKUP(M63,M63,1,1),Categories!$K$4:$V$18,2+VLOOKUP(J63,J63,1,1)),"-"  )</f>
        <v>-</v>
      </c>
      <c r="L63" s="54" t="str">
        <f>IFERROR(VLOOKUP(VLOOKUP(M63,M63,1,1),Categories!$K$3:$V$18,7+VLOOKUP(J63,J63,1,1)),"-")</f>
        <v>-</v>
      </c>
      <c r="M63" s="55" t="s">
        <v>0</v>
      </c>
      <c r="N63" s="195">
        <v>40</v>
      </c>
      <c r="O63" s="204">
        <f t="shared" si="2"/>
        <v>0</v>
      </c>
      <c r="P63" s="151"/>
      <c r="Q63" s="144"/>
      <c r="R63" s="144"/>
      <c r="S63" s="144"/>
      <c r="T63" s="147"/>
      <c r="U63" s="147"/>
      <c r="V63" s="148"/>
      <c r="W63" s="149"/>
      <c r="X63" s="149"/>
      <c r="Y63" s="149"/>
      <c r="Z63" s="149"/>
      <c r="AA63" s="149"/>
      <c r="AB63" s="149"/>
      <c r="AC63" s="149"/>
      <c r="AD63" s="149"/>
      <c r="AE63" s="148"/>
      <c r="AF63" s="150"/>
      <c r="AG63" s="143"/>
      <c r="AH63" s="48"/>
      <c r="AI63" s="56"/>
      <c r="AJ63" s="56"/>
    </row>
    <row r="64" spans="1:36" ht="31.95" customHeight="1" x14ac:dyDescent="0.3">
      <c r="A64" s="12"/>
      <c r="B64" s="122"/>
      <c r="C64" s="49"/>
      <c r="D64" s="49">
        <f>IF(G64=Categories!$E$4,VLOOKUP(F64,Categories!$A$4:$C$13,3,1),VLOOKUP(G64,Categories!$E$4:$G$24,3,1))</f>
        <v>60</v>
      </c>
      <c r="E64" s="44">
        <v>6</v>
      </c>
      <c r="F64" s="50" t="s">
        <v>257</v>
      </c>
      <c r="G64" s="51" t="s">
        <v>61</v>
      </c>
      <c r="H64" s="52"/>
      <c r="I64" s="131">
        <v>2800</v>
      </c>
      <c r="J64" s="53" t="s">
        <v>0</v>
      </c>
      <c r="K64" s="54" t="str">
        <f>IFERROR(VLOOKUP(VLOOKUP(M64,M64,1,1),Categories!$K$4:$V$18,2+VLOOKUP(J64,J64,1,1)),"-"  )</f>
        <v>-</v>
      </c>
      <c r="L64" s="54" t="str">
        <f>IFERROR(VLOOKUP(VLOOKUP(M64,M64,1,1),Categories!$K$3:$V$18,7+VLOOKUP(J64,J64,1,1)),"-")</f>
        <v>-</v>
      </c>
      <c r="M64" s="55" t="s">
        <v>0</v>
      </c>
      <c r="N64" s="197">
        <v>60</v>
      </c>
      <c r="O64" s="204">
        <f t="shared" si="2"/>
        <v>0</v>
      </c>
      <c r="P64" s="151"/>
      <c r="Q64" s="144"/>
      <c r="R64" s="144"/>
      <c r="S64" s="144"/>
      <c r="T64" s="147"/>
      <c r="U64" s="147"/>
      <c r="V64" s="148"/>
      <c r="W64" s="149"/>
      <c r="X64" s="149"/>
      <c r="Y64" s="149"/>
      <c r="Z64" s="149"/>
      <c r="AA64" s="149"/>
      <c r="AB64" s="149"/>
      <c r="AC64" s="149"/>
      <c r="AD64" s="149"/>
      <c r="AE64" s="148"/>
      <c r="AF64" s="150"/>
      <c r="AG64" s="143"/>
      <c r="AH64" s="48"/>
      <c r="AI64" s="56"/>
      <c r="AJ64" s="56"/>
    </row>
    <row r="65" spans="1:36" ht="31.95" customHeight="1" x14ac:dyDescent="0.3">
      <c r="A65" s="12"/>
      <c r="B65" s="122"/>
      <c r="C65" s="49"/>
      <c r="D65" s="49">
        <f>IF(G65=Categories!$E$4,VLOOKUP(F65,Categories!$A$4:$C$13,3,1),VLOOKUP(G65,Categories!$E$4:$G$24,3,1))</f>
        <v>120</v>
      </c>
      <c r="E65" s="44">
        <v>6</v>
      </c>
      <c r="F65" s="50" t="s">
        <v>45</v>
      </c>
      <c r="G65" s="45" t="s">
        <v>0</v>
      </c>
      <c r="H65" s="52"/>
      <c r="I65" s="131">
        <v>2800</v>
      </c>
      <c r="J65" s="53" t="s">
        <v>0</v>
      </c>
      <c r="K65" s="54" t="str">
        <f>IFERROR(VLOOKUP(VLOOKUP(M65,M65,1,1),Categories!$K$4:$V$18,2+VLOOKUP(J65,J65,1,1)),"-"  )</f>
        <v>-</v>
      </c>
      <c r="L65" s="54" t="str">
        <f>IFERROR(VLOOKUP(VLOOKUP(M65,M65,1,1),Categories!$K$3:$V$18,7+VLOOKUP(J65,J65,1,1)),"-")</f>
        <v>-</v>
      </c>
      <c r="M65" s="55" t="s">
        <v>0</v>
      </c>
      <c r="N65" s="195">
        <v>60</v>
      </c>
      <c r="O65" s="204">
        <f t="shared" si="2"/>
        <v>0</v>
      </c>
      <c r="P65" s="151"/>
      <c r="Q65" s="144"/>
      <c r="R65" s="144"/>
      <c r="S65" s="144"/>
      <c r="T65" s="147"/>
      <c r="U65" s="147"/>
      <c r="V65" s="148"/>
      <c r="W65" s="149"/>
      <c r="X65" s="149"/>
      <c r="Y65" s="149"/>
      <c r="Z65" s="149"/>
      <c r="AA65" s="149"/>
      <c r="AB65" s="149"/>
      <c r="AC65" s="149"/>
      <c r="AD65" s="149"/>
      <c r="AE65" s="148"/>
      <c r="AF65" s="150"/>
      <c r="AG65" s="143"/>
      <c r="AH65" s="48"/>
      <c r="AI65" s="56"/>
      <c r="AJ65" s="56"/>
    </row>
    <row r="66" spans="1:36" ht="31.95" customHeight="1" x14ac:dyDescent="0.3">
      <c r="A66" s="12"/>
      <c r="B66" s="122"/>
      <c r="C66" s="49"/>
      <c r="D66" s="49">
        <f>IF(G66=Categories!$E$4,VLOOKUP(F66,Categories!$A$4:$C$13,3,1),VLOOKUP(G66,Categories!$E$4:$G$24,3,1))</f>
        <v>60</v>
      </c>
      <c r="E66" s="44">
        <v>6</v>
      </c>
      <c r="F66" s="50" t="s">
        <v>257</v>
      </c>
      <c r="G66" s="51" t="s">
        <v>61</v>
      </c>
      <c r="H66" s="52"/>
      <c r="I66" s="131">
        <v>2800</v>
      </c>
      <c r="J66" s="53" t="s">
        <v>0</v>
      </c>
      <c r="K66" s="54" t="str">
        <f>IFERROR(VLOOKUP(VLOOKUP(M66,M66,1,1),Categories!$K$4:$V$18,2+VLOOKUP(J66,J66,1,1)),"-"  )</f>
        <v>-</v>
      </c>
      <c r="L66" s="54" t="str">
        <f>IFERROR(VLOOKUP(VLOOKUP(M66,M66,1,1),Categories!$K$3:$V$18,7+VLOOKUP(J66,J66,1,1)),"-")</f>
        <v>-</v>
      </c>
      <c r="M66" s="55" t="s">
        <v>0</v>
      </c>
      <c r="N66" s="197">
        <v>80</v>
      </c>
      <c r="O66" s="204">
        <f t="shared" si="2"/>
        <v>0</v>
      </c>
      <c r="P66" s="151"/>
      <c r="Q66" s="144"/>
      <c r="R66" s="144"/>
      <c r="S66" s="188"/>
      <c r="T66" s="147"/>
      <c r="U66" s="147"/>
      <c r="V66" s="148"/>
      <c r="W66" s="149"/>
      <c r="X66" s="149"/>
      <c r="Y66" s="149"/>
      <c r="Z66" s="149"/>
      <c r="AA66" s="149"/>
      <c r="AB66" s="149"/>
      <c r="AC66" s="149"/>
      <c r="AD66" s="149"/>
      <c r="AE66" s="148"/>
      <c r="AF66" s="150"/>
      <c r="AG66" s="143"/>
      <c r="AH66" s="48"/>
      <c r="AI66" s="56"/>
      <c r="AJ66" s="56"/>
    </row>
    <row r="67" spans="1:36" ht="31.95" customHeight="1" x14ac:dyDescent="0.3">
      <c r="A67" s="12"/>
      <c r="B67" s="122"/>
      <c r="C67" s="49"/>
      <c r="D67" s="49">
        <f>IF(G67=Categories!$E$4,VLOOKUP(F67,Categories!$A$4:$C$13,3,1),VLOOKUP(G67,Categories!$E$4:$G$24,3,1))</f>
        <v>120</v>
      </c>
      <c r="E67" s="44">
        <v>6</v>
      </c>
      <c r="F67" s="50" t="s">
        <v>45</v>
      </c>
      <c r="G67" s="45" t="s">
        <v>0</v>
      </c>
      <c r="H67" s="52"/>
      <c r="I67" s="131">
        <v>2800</v>
      </c>
      <c r="J67" s="53" t="s">
        <v>0</v>
      </c>
      <c r="K67" s="54" t="str">
        <f>IFERROR(VLOOKUP(VLOOKUP(M67,M67,1,1),Categories!$K$4:$V$18,2+VLOOKUP(J67,J67,1,1)),"-"  )</f>
        <v>-</v>
      </c>
      <c r="L67" s="54" t="str">
        <f>IFERROR(VLOOKUP(VLOOKUP(M67,M67,1,1),Categories!$K$3:$V$18,7+VLOOKUP(J67,J67,1,1)),"-")</f>
        <v>-</v>
      </c>
      <c r="M67" s="55" t="s">
        <v>0</v>
      </c>
      <c r="N67" s="195">
        <v>80</v>
      </c>
      <c r="O67" s="204">
        <f t="shared" si="2"/>
        <v>0</v>
      </c>
      <c r="P67" s="151"/>
      <c r="Q67" s="144"/>
      <c r="R67" s="144"/>
      <c r="S67" s="144"/>
      <c r="T67" s="147"/>
      <c r="U67" s="147"/>
      <c r="V67" s="148"/>
      <c r="W67" s="149"/>
      <c r="X67" s="149"/>
      <c r="Y67" s="149"/>
      <c r="Z67" s="149"/>
      <c r="AA67" s="149"/>
      <c r="AB67" s="149"/>
      <c r="AC67" s="149"/>
      <c r="AD67" s="149"/>
      <c r="AE67" s="148"/>
      <c r="AF67" s="150"/>
      <c r="AG67" s="143"/>
      <c r="AH67" s="48"/>
      <c r="AI67" s="56"/>
      <c r="AJ67" s="56"/>
    </row>
    <row r="68" spans="1:36" ht="31.95" customHeight="1" x14ac:dyDescent="0.3">
      <c r="A68" s="12"/>
      <c r="B68" s="122"/>
      <c r="C68" s="49"/>
      <c r="D68" s="49">
        <f>IF(G68=Categories!$E$4,VLOOKUP(F68,Categories!$A$4:$C$13,3,1),VLOOKUP(G68,Categories!$E$4:$G$24,3,1))</f>
        <v>60</v>
      </c>
      <c r="E68" s="44">
        <v>6</v>
      </c>
      <c r="F68" s="50" t="s">
        <v>257</v>
      </c>
      <c r="G68" s="51" t="s">
        <v>61</v>
      </c>
      <c r="H68" s="52"/>
      <c r="I68" s="131">
        <v>2800</v>
      </c>
      <c r="J68" s="53" t="s">
        <v>0</v>
      </c>
      <c r="K68" s="54" t="str">
        <f>IFERROR(VLOOKUP(VLOOKUP(M68,M68,1,1),Categories!$K$4:$V$18,2+VLOOKUP(J68,J68,1,1)),"-"  )</f>
        <v>-</v>
      </c>
      <c r="L68" s="54" t="str">
        <f>IFERROR(VLOOKUP(VLOOKUP(M68,M68,1,1),Categories!$K$3:$V$18,7+VLOOKUP(J68,J68,1,1)),"-")</f>
        <v>-</v>
      </c>
      <c r="M68" s="55" t="s">
        <v>0</v>
      </c>
      <c r="N68" s="197">
        <v>0</v>
      </c>
      <c r="O68" s="204">
        <f t="shared" si="2"/>
        <v>0</v>
      </c>
      <c r="P68" s="151"/>
      <c r="Q68" s="144"/>
      <c r="R68" s="144"/>
      <c r="S68" s="144"/>
      <c r="T68" s="147"/>
      <c r="U68" s="147"/>
      <c r="V68" s="148"/>
      <c r="W68" s="149"/>
      <c r="X68" s="149"/>
      <c r="Y68" s="149"/>
      <c r="Z68" s="149"/>
      <c r="AA68" s="149"/>
      <c r="AB68" s="149"/>
      <c r="AC68" s="149"/>
      <c r="AD68" s="149"/>
      <c r="AE68" s="148"/>
      <c r="AF68" s="150"/>
      <c r="AG68" s="143"/>
      <c r="AH68" s="48"/>
      <c r="AI68" s="56"/>
      <c r="AJ68" s="56"/>
    </row>
    <row r="69" spans="1:36" ht="31.95" customHeight="1" x14ac:dyDescent="0.3">
      <c r="A69" s="12"/>
      <c r="B69" s="205"/>
      <c r="C69" s="49"/>
      <c r="D69" s="49">
        <f>IF(G69=Categories!$E$4,VLOOKUP(F69,Categories!$A$4:$C$13,3,1),VLOOKUP(G69,Categories!$E$4:$G$24,3,1))</f>
        <v>120</v>
      </c>
      <c r="E69" s="44">
        <v>6</v>
      </c>
      <c r="F69" s="50" t="s">
        <v>259</v>
      </c>
      <c r="G69" s="51" t="s">
        <v>0</v>
      </c>
      <c r="H69" s="52"/>
      <c r="I69" s="131">
        <v>2800</v>
      </c>
      <c r="J69" s="53" t="s">
        <v>0</v>
      </c>
      <c r="K69" s="54" t="str">
        <f>IFERROR(VLOOKUP(VLOOKUP(M69,M69,1,1),Categories!$K$4:$V$18,2+VLOOKUP(J69,J69,1,1)),"-"  )</f>
        <v>-</v>
      </c>
      <c r="L69" s="54" t="str">
        <f>IFERROR(VLOOKUP(VLOOKUP(M69,M69,1,1),Categories!$K$3:$V$18,7+VLOOKUP(J69,J69,1,1)),"-")</f>
        <v>-</v>
      </c>
      <c r="M69" s="55" t="s">
        <v>0</v>
      </c>
      <c r="N69" s="195">
        <v>0</v>
      </c>
      <c r="O69" s="204">
        <f t="shared" si="2"/>
        <v>0</v>
      </c>
      <c r="P69" s="151"/>
      <c r="Q69" s="144"/>
      <c r="R69" s="144"/>
      <c r="S69" s="144"/>
      <c r="T69" s="147"/>
      <c r="U69" s="147"/>
      <c r="V69" s="148"/>
      <c r="W69" s="149"/>
      <c r="X69" s="149"/>
      <c r="Y69" s="149"/>
      <c r="Z69" s="149"/>
      <c r="AA69" s="149"/>
      <c r="AB69" s="149"/>
      <c r="AC69" s="149"/>
      <c r="AD69" s="149"/>
      <c r="AE69" s="148"/>
      <c r="AF69" s="150"/>
      <c r="AG69" s="143"/>
      <c r="AH69" s="48"/>
      <c r="AI69" s="56"/>
      <c r="AJ69" s="56"/>
    </row>
    <row r="70" spans="1:36" ht="31.95" customHeight="1" thickBot="1" x14ac:dyDescent="0.35">
      <c r="A70" s="185"/>
      <c r="B70" s="186"/>
      <c r="C70" s="49"/>
      <c r="D70" s="49">
        <f>IF(G70=Categories!$E$4,VLOOKUP(F70,Categories!$A$4:$C$13,3,1),VLOOKUP(G70,Categories!$E$4:$G$24,3,1))</f>
        <v>30</v>
      </c>
      <c r="E70" s="44" t="s">
        <v>0</v>
      </c>
      <c r="F70" s="50" t="s">
        <v>257</v>
      </c>
      <c r="G70" s="51" t="s">
        <v>2</v>
      </c>
      <c r="H70" s="52"/>
      <c r="I70" s="131">
        <v>3100</v>
      </c>
      <c r="J70" s="53" t="s">
        <v>0</v>
      </c>
      <c r="K70" s="54" t="str">
        <f>IFERROR(VLOOKUP(VLOOKUP(M70,M70,1,1),Categories!$K$4:$V$18,2+VLOOKUP(J70,J70,1,1)),"-"  )</f>
        <v>-</v>
      </c>
      <c r="L70" s="54" t="str">
        <f>IFERROR(VLOOKUP(VLOOKUP(M70,M70,1,1),Categories!$K$3:$V$18,7+VLOOKUP(J70,J70,1,1)),"-")</f>
        <v>-</v>
      </c>
      <c r="M70" s="55" t="s">
        <v>0</v>
      </c>
      <c r="N70" s="195" t="s">
        <v>0</v>
      </c>
      <c r="O70" s="204" t="str">
        <f t="shared" si="0"/>
        <v>-</v>
      </c>
      <c r="P70" s="187"/>
      <c r="Q70" s="188"/>
      <c r="R70" s="188"/>
      <c r="S70" s="144"/>
      <c r="T70" s="189"/>
      <c r="U70" s="189"/>
      <c r="V70" s="190"/>
      <c r="W70" s="191"/>
      <c r="X70" s="191"/>
      <c r="Y70" s="191"/>
      <c r="Z70" s="191"/>
      <c r="AA70" s="191"/>
      <c r="AB70" s="191"/>
      <c r="AC70" s="191"/>
      <c r="AD70" s="191"/>
      <c r="AE70" s="190"/>
      <c r="AF70" s="192"/>
      <c r="AG70" s="143"/>
      <c r="AH70" s="56"/>
      <c r="AI70" s="56"/>
      <c r="AJ70" s="56"/>
    </row>
    <row r="71" spans="1:36" ht="31.95" customHeight="1" thickBot="1" x14ac:dyDescent="0.35">
      <c r="A71" s="185"/>
      <c r="B71" s="186"/>
      <c r="C71" s="49"/>
      <c r="D71" s="49">
        <f>IF(G71=Categories!$E$4,VLOOKUP(F71,Categories!$A$4:$C$13,3,1),VLOOKUP(G71,Categories!$E$4:$G$24,3,1))</f>
        <v>120</v>
      </c>
      <c r="E71" s="44">
        <v>7</v>
      </c>
      <c r="F71" s="50" t="s">
        <v>1</v>
      </c>
      <c r="G71" s="51" t="s">
        <v>0</v>
      </c>
      <c r="H71" s="52"/>
      <c r="I71" s="131">
        <v>3100</v>
      </c>
      <c r="J71" s="53" t="s">
        <v>0</v>
      </c>
      <c r="K71" s="54" t="str">
        <f>IFERROR(VLOOKUP(VLOOKUP(M71,M71,1,1),Categories!$K$4:$V$18,2+VLOOKUP(J71,J71,1,1)),"-"  )</f>
        <v>-</v>
      </c>
      <c r="L71" s="54" t="str">
        <f>IFERROR(VLOOKUP(VLOOKUP(M71,M71,1,1),Categories!$K$3:$V$18,7+VLOOKUP(J71,J71,1,1)),"-")</f>
        <v>-</v>
      </c>
      <c r="M71" s="55" t="s">
        <v>0</v>
      </c>
      <c r="N71" s="195" t="s">
        <v>0</v>
      </c>
      <c r="O71" s="204" t="str">
        <f t="shared" ref="O71" si="3">IF(N71="-","-",$V$5*(1-N71/100))</f>
        <v>-</v>
      </c>
      <c r="P71" s="187"/>
      <c r="Q71" s="188"/>
      <c r="R71" s="188"/>
      <c r="S71" s="144"/>
      <c r="T71" s="189"/>
      <c r="U71" s="198"/>
      <c r="V71" s="203"/>
      <c r="W71" s="200"/>
      <c r="X71" s="191"/>
      <c r="Y71" s="191"/>
      <c r="Z71" s="191"/>
      <c r="AA71" s="191"/>
      <c r="AB71" s="191"/>
      <c r="AC71" s="191"/>
      <c r="AD71" s="191"/>
      <c r="AE71" s="190"/>
      <c r="AF71" s="192"/>
      <c r="AG71" s="143"/>
      <c r="AH71" s="56"/>
      <c r="AI71" s="56"/>
      <c r="AJ71" s="56"/>
    </row>
    <row r="72" spans="1:36" ht="31.95" customHeight="1" x14ac:dyDescent="0.3">
      <c r="A72" s="185"/>
      <c r="B72" s="186"/>
      <c r="C72" s="49"/>
      <c r="D72" s="49">
        <f>IF(G72=Categories!$E$4,VLOOKUP(F72,Categories!$A$4:$C$13,3,1),VLOOKUP(G72,Categories!$E$4:$G$24,3,1))</f>
        <v>60</v>
      </c>
      <c r="E72" s="44">
        <v>7</v>
      </c>
      <c r="F72" s="50" t="s">
        <v>257</v>
      </c>
      <c r="G72" s="51" t="s">
        <v>62</v>
      </c>
      <c r="H72" s="52"/>
      <c r="I72" s="131">
        <v>3100</v>
      </c>
      <c r="J72" s="53" t="s">
        <v>0</v>
      </c>
      <c r="K72" s="54" t="str">
        <f>IFERROR(VLOOKUP(VLOOKUP(M72,M72,1,1),Categories!$K$4:$V$18,2+VLOOKUP(J72,J72,1,1)),"-"  )</f>
        <v>-</v>
      </c>
      <c r="L72" s="54" t="str">
        <f>IFERROR(VLOOKUP(VLOOKUP(M72,M72,1,1),Categories!$K$3:$V$18,7+VLOOKUP(J72,J72,1,1)),"-")</f>
        <v>-</v>
      </c>
      <c r="M72" s="55" t="s">
        <v>0</v>
      </c>
      <c r="N72" s="197">
        <v>20</v>
      </c>
      <c r="O72" s="204">
        <f>IF(N72="-","-",$V$71*(1-N72/100))</f>
        <v>0</v>
      </c>
      <c r="P72" s="187"/>
      <c r="Q72" s="188"/>
      <c r="R72" s="188"/>
      <c r="S72" s="144"/>
      <c r="T72" s="189"/>
      <c r="U72" s="189"/>
      <c r="V72" s="190"/>
      <c r="W72" s="191"/>
      <c r="X72" s="191"/>
      <c r="Y72" s="191"/>
      <c r="Z72" s="191"/>
      <c r="AA72" s="191"/>
      <c r="AB72" s="191"/>
      <c r="AC72" s="191"/>
      <c r="AD72" s="191"/>
      <c r="AE72" s="190"/>
      <c r="AF72" s="192"/>
      <c r="AG72" s="143"/>
      <c r="AH72" s="56"/>
      <c r="AI72" s="56"/>
      <c r="AJ72" s="56"/>
    </row>
    <row r="73" spans="1:36" ht="31.95" customHeight="1" x14ac:dyDescent="0.3">
      <c r="A73" s="12"/>
      <c r="B73" s="122"/>
      <c r="C73" s="49"/>
      <c r="D73" s="49">
        <f>IF(G73=Categories!$E$4,VLOOKUP(F73,Categories!$A$4:$C$13,3,1),VLOOKUP(G73,Categories!$E$4:$G$24,3,1))</f>
        <v>120</v>
      </c>
      <c r="E73" s="44">
        <v>7</v>
      </c>
      <c r="F73" s="50" t="s">
        <v>45</v>
      </c>
      <c r="G73" s="45" t="s">
        <v>0</v>
      </c>
      <c r="H73" s="52"/>
      <c r="I73" s="131">
        <v>3100</v>
      </c>
      <c r="J73" s="53" t="s">
        <v>0</v>
      </c>
      <c r="K73" s="54" t="str">
        <f>IFERROR(VLOOKUP(VLOOKUP(M73,M73,1,1),Categories!$K$4:$V$18,2+VLOOKUP(J73,J73,1,1)),"-"  )</f>
        <v>-</v>
      </c>
      <c r="L73" s="54" t="str">
        <f>IFERROR(VLOOKUP(VLOOKUP(M73,M73,1,1),Categories!$K$3:$V$18,7+VLOOKUP(J73,J73,1,1)),"-")</f>
        <v>-</v>
      </c>
      <c r="M73" s="55" t="s">
        <v>0</v>
      </c>
      <c r="N73" s="195">
        <v>20</v>
      </c>
      <c r="O73" s="204">
        <f t="shared" ref="O73:O91" si="4">IF(N73="-","-",$V$71*(1-N73/100))</f>
        <v>0</v>
      </c>
      <c r="P73" s="151"/>
      <c r="Q73" s="144"/>
      <c r="R73" s="144"/>
      <c r="S73" s="144"/>
      <c r="T73" s="147"/>
      <c r="U73" s="147"/>
      <c r="V73" s="148"/>
      <c r="W73" s="149"/>
      <c r="X73" s="149"/>
      <c r="Y73" s="149"/>
      <c r="Z73" s="149"/>
      <c r="AA73" s="149"/>
      <c r="AB73" s="149"/>
      <c r="AC73" s="149"/>
      <c r="AD73" s="149"/>
      <c r="AE73" s="148"/>
      <c r="AF73" s="150"/>
      <c r="AG73" s="143"/>
      <c r="AH73" s="48"/>
      <c r="AI73" s="56"/>
      <c r="AJ73" s="56"/>
    </row>
    <row r="74" spans="1:36" ht="31.95" customHeight="1" x14ac:dyDescent="0.3">
      <c r="A74" s="12"/>
      <c r="B74" s="122"/>
      <c r="C74" s="49"/>
      <c r="D74" s="49">
        <f>IF(G74=Categories!$E$4,VLOOKUP(F74,Categories!$A$4:$C$13,3,1),VLOOKUP(G74,Categories!$E$4:$G$24,3,1))</f>
        <v>60</v>
      </c>
      <c r="E74" s="44">
        <v>7</v>
      </c>
      <c r="F74" s="50" t="s">
        <v>257</v>
      </c>
      <c r="G74" s="51" t="s">
        <v>62</v>
      </c>
      <c r="H74" s="52"/>
      <c r="I74" s="131">
        <v>3100</v>
      </c>
      <c r="J74" s="53" t="s">
        <v>0</v>
      </c>
      <c r="K74" s="54" t="str">
        <f>IFERROR(VLOOKUP(VLOOKUP(M74,M74,1,1),Categories!$K$4:$V$18,2+VLOOKUP(J74,J74,1,1)),"-"  )</f>
        <v>-</v>
      </c>
      <c r="L74" s="54" t="str">
        <f>IFERROR(VLOOKUP(VLOOKUP(M74,M74,1,1),Categories!$K$3:$V$18,7+VLOOKUP(J74,J74,1,1)),"-")</f>
        <v>-</v>
      </c>
      <c r="M74" s="55" t="s">
        <v>0</v>
      </c>
      <c r="N74" s="197">
        <v>40</v>
      </c>
      <c r="O74" s="204">
        <f t="shared" si="4"/>
        <v>0</v>
      </c>
      <c r="P74" s="151"/>
      <c r="Q74" s="144"/>
      <c r="R74" s="144"/>
      <c r="S74" s="144"/>
      <c r="T74" s="147"/>
      <c r="U74" s="147"/>
      <c r="V74" s="148"/>
      <c r="W74" s="149"/>
      <c r="X74" s="149"/>
      <c r="Y74" s="149"/>
      <c r="Z74" s="149"/>
      <c r="AA74" s="149"/>
      <c r="AB74" s="149"/>
      <c r="AC74" s="149"/>
      <c r="AD74" s="149"/>
      <c r="AE74" s="148"/>
      <c r="AF74" s="150"/>
      <c r="AG74" s="143"/>
      <c r="AH74" s="48"/>
      <c r="AI74" s="56"/>
      <c r="AJ74" s="56"/>
    </row>
    <row r="75" spans="1:36" ht="31.95" customHeight="1" x14ac:dyDescent="0.3">
      <c r="A75" s="12"/>
      <c r="B75" s="122"/>
      <c r="C75" s="49"/>
      <c r="D75" s="49">
        <f>IF(G75=Categories!$E$4,VLOOKUP(F75,Categories!$A$4:$C$13,3,1),VLOOKUP(G75,Categories!$E$4:$G$24,3,1))</f>
        <v>120</v>
      </c>
      <c r="E75" s="44">
        <v>7</v>
      </c>
      <c r="F75" s="50" t="s">
        <v>45</v>
      </c>
      <c r="G75" s="45" t="s">
        <v>0</v>
      </c>
      <c r="H75" s="52"/>
      <c r="I75" s="131">
        <v>3100</v>
      </c>
      <c r="J75" s="53" t="s">
        <v>0</v>
      </c>
      <c r="K75" s="54" t="str">
        <f>IFERROR(VLOOKUP(VLOOKUP(M75,M75,1,1),Categories!$K$4:$V$18,2+VLOOKUP(J75,J75,1,1)),"-"  )</f>
        <v>-</v>
      </c>
      <c r="L75" s="54" t="str">
        <f>IFERROR(VLOOKUP(VLOOKUP(M75,M75,1,1),Categories!$K$3:$V$18,7+VLOOKUP(J75,J75,1,1)),"-")</f>
        <v>-</v>
      </c>
      <c r="M75" s="55" t="s">
        <v>0</v>
      </c>
      <c r="N75" s="195">
        <v>40</v>
      </c>
      <c r="O75" s="204">
        <f t="shared" si="4"/>
        <v>0</v>
      </c>
      <c r="P75" s="151"/>
      <c r="Q75" s="144"/>
      <c r="R75" s="144"/>
      <c r="S75" s="144"/>
      <c r="T75" s="147"/>
      <c r="U75" s="147"/>
      <c r="V75" s="148"/>
      <c r="W75" s="149"/>
      <c r="X75" s="149"/>
      <c r="Y75" s="149"/>
      <c r="Z75" s="149"/>
      <c r="AA75" s="149"/>
      <c r="AB75" s="149"/>
      <c r="AC75" s="149"/>
      <c r="AD75" s="149"/>
      <c r="AE75" s="148"/>
      <c r="AF75" s="150"/>
      <c r="AG75" s="143"/>
      <c r="AH75" s="48"/>
      <c r="AI75" s="56"/>
      <c r="AJ75" s="56"/>
    </row>
    <row r="76" spans="1:36" ht="31.95" customHeight="1" x14ac:dyDescent="0.3">
      <c r="A76" s="12"/>
      <c r="B76" s="122"/>
      <c r="C76" s="49"/>
      <c r="D76" s="49">
        <f>IF(G76=Categories!$E$4,VLOOKUP(F76,Categories!$A$4:$C$13,3,1),VLOOKUP(G76,Categories!$E$4:$G$24,3,1))</f>
        <v>60</v>
      </c>
      <c r="E76" s="44">
        <v>7</v>
      </c>
      <c r="F76" s="50" t="s">
        <v>257</v>
      </c>
      <c r="G76" s="51" t="s">
        <v>62</v>
      </c>
      <c r="H76" s="52"/>
      <c r="I76" s="131">
        <v>3100</v>
      </c>
      <c r="J76" s="53" t="s">
        <v>0</v>
      </c>
      <c r="K76" s="54" t="str">
        <f>IFERROR(VLOOKUP(VLOOKUP(M76,M76,1,1),Categories!$K$4:$V$18,2+VLOOKUP(J76,J76,1,1)),"-"  )</f>
        <v>-</v>
      </c>
      <c r="L76" s="54" t="str">
        <f>IFERROR(VLOOKUP(VLOOKUP(M76,M76,1,1),Categories!$K$3:$V$18,7+VLOOKUP(J76,J76,1,1)),"-")</f>
        <v>-</v>
      </c>
      <c r="M76" s="55" t="s">
        <v>0</v>
      </c>
      <c r="N76" s="197">
        <v>60</v>
      </c>
      <c r="O76" s="204">
        <f t="shared" si="4"/>
        <v>0</v>
      </c>
      <c r="P76" s="151"/>
      <c r="Q76" s="144"/>
      <c r="R76" s="144"/>
      <c r="S76" s="188"/>
      <c r="T76" s="147"/>
      <c r="U76" s="147"/>
      <c r="V76" s="148"/>
      <c r="W76" s="149"/>
      <c r="X76" s="149"/>
      <c r="Y76" s="149"/>
      <c r="Z76" s="149"/>
      <c r="AA76" s="149"/>
      <c r="AB76" s="149"/>
      <c r="AC76" s="149"/>
      <c r="AD76" s="149"/>
      <c r="AE76" s="148"/>
      <c r="AF76" s="150"/>
      <c r="AG76" s="143"/>
      <c r="AH76" s="48"/>
      <c r="AI76" s="56"/>
      <c r="AJ76" s="56"/>
    </row>
    <row r="77" spans="1:36" ht="31.95" customHeight="1" x14ac:dyDescent="0.3">
      <c r="A77" s="12"/>
      <c r="B77" s="122"/>
      <c r="C77" s="49"/>
      <c r="D77" s="49">
        <f>IF(G77=Categories!$E$4,VLOOKUP(F77,Categories!$A$4:$C$13,3,1),VLOOKUP(G77,Categories!$E$4:$G$24,3,1))</f>
        <v>120</v>
      </c>
      <c r="E77" s="44">
        <v>7</v>
      </c>
      <c r="F77" s="50" t="s">
        <v>45</v>
      </c>
      <c r="G77" s="45" t="s">
        <v>0</v>
      </c>
      <c r="H77" s="52"/>
      <c r="I77" s="131">
        <v>3100</v>
      </c>
      <c r="J77" s="53" t="s">
        <v>0</v>
      </c>
      <c r="K77" s="54" t="str">
        <f>IFERROR(VLOOKUP(VLOOKUP(M77,M77,1,1),Categories!$K$4:$V$18,2+VLOOKUP(J77,J77,1,1)),"-"  )</f>
        <v>-</v>
      </c>
      <c r="L77" s="54" t="str">
        <f>IFERROR(VLOOKUP(VLOOKUP(M77,M77,1,1),Categories!$K$3:$V$18,7+VLOOKUP(J77,J77,1,1)),"-")</f>
        <v>-</v>
      </c>
      <c r="M77" s="55" t="s">
        <v>0</v>
      </c>
      <c r="N77" s="195">
        <v>60</v>
      </c>
      <c r="O77" s="204">
        <f t="shared" si="4"/>
        <v>0</v>
      </c>
      <c r="P77" s="151"/>
      <c r="Q77" s="144"/>
      <c r="R77" s="144"/>
      <c r="S77" s="144"/>
      <c r="T77" s="147"/>
      <c r="U77" s="147"/>
      <c r="V77" s="148"/>
      <c r="W77" s="149"/>
      <c r="X77" s="149"/>
      <c r="Y77" s="149"/>
      <c r="Z77" s="149"/>
      <c r="AA77" s="149"/>
      <c r="AB77" s="149"/>
      <c r="AC77" s="149"/>
      <c r="AD77" s="149"/>
      <c r="AE77" s="148"/>
      <c r="AF77" s="150"/>
      <c r="AG77" s="143"/>
      <c r="AH77" s="48"/>
      <c r="AI77" s="56"/>
      <c r="AJ77" s="56"/>
    </row>
    <row r="78" spans="1:36" ht="31.95" customHeight="1" x14ac:dyDescent="0.3">
      <c r="A78" s="12"/>
      <c r="B78" s="122"/>
      <c r="C78" s="49"/>
      <c r="D78" s="49">
        <f>IF(G78=Categories!$E$4,VLOOKUP(F78,Categories!$A$4:$C$13,3,1),VLOOKUP(G78,Categories!$E$4:$G$24,3,1))</f>
        <v>60</v>
      </c>
      <c r="E78" s="44">
        <v>7</v>
      </c>
      <c r="F78" s="50" t="s">
        <v>257</v>
      </c>
      <c r="G78" s="51" t="s">
        <v>62</v>
      </c>
      <c r="H78" s="52"/>
      <c r="I78" s="131">
        <v>3100</v>
      </c>
      <c r="J78" s="53" t="s">
        <v>0</v>
      </c>
      <c r="K78" s="54" t="str">
        <f>IFERROR(VLOOKUP(VLOOKUP(M78,M78,1,1),Categories!$K$4:$V$18,2+VLOOKUP(J78,J78,1,1)),"-"  )</f>
        <v>-</v>
      </c>
      <c r="L78" s="54" t="str">
        <f>IFERROR(VLOOKUP(VLOOKUP(M78,M78,1,1),Categories!$K$3:$V$18,7+VLOOKUP(J78,J78,1,1)),"-")</f>
        <v>-</v>
      </c>
      <c r="M78" s="55" t="s">
        <v>0</v>
      </c>
      <c r="N78" s="197">
        <v>80</v>
      </c>
      <c r="O78" s="204">
        <f t="shared" si="4"/>
        <v>0</v>
      </c>
      <c r="P78" s="151"/>
      <c r="Q78" s="144"/>
      <c r="R78" s="144"/>
      <c r="S78" s="188"/>
      <c r="T78" s="147"/>
      <c r="U78" s="147"/>
      <c r="V78" s="148"/>
      <c r="W78" s="149"/>
      <c r="X78" s="149"/>
      <c r="Y78" s="149"/>
      <c r="Z78" s="149"/>
      <c r="AA78" s="149"/>
      <c r="AB78" s="149"/>
      <c r="AC78" s="149"/>
      <c r="AD78" s="149"/>
      <c r="AE78" s="148"/>
      <c r="AF78" s="150"/>
      <c r="AG78" s="143"/>
      <c r="AH78" s="48"/>
      <c r="AI78" s="56"/>
      <c r="AJ78" s="56"/>
    </row>
    <row r="79" spans="1:36" ht="31.95" customHeight="1" x14ac:dyDescent="0.3">
      <c r="A79" s="12"/>
      <c r="B79" s="122"/>
      <c r="C79" s="49"/>
      <c r="D79" s="49">
        <f>IF(G79=Categories!$E$4,VLOOKUP(F79,Categories!$A$4:$C$13,3,1),VLOOKUP(G79,Categories!$E$4:$G$24,3,1))</f>
        <v>120</v>
      </c>
      <c r="E79" s="44">
        <v>7</v>
      </c>
      <c r="F79" s="50" t="s">
        <v>45</v>
      </c>
      <c r="G79" s="45" t="s">
        <v>0</v>
      </c>
      <c r="H79" s="52"/>
      <c r="I79" s="131">
        <v>3100</v>
      </c>
      <c r="J79" s="53" t="s">
        <v>0</v>
      </c>
      <c r="K79" s="54" t="str">
        <f>IFERROR(VLOOKUP(VLOOKUP(M79,M79,1,1),Categories!$K$4:$V$18,2+VLOOKUP(J79,J79,1,1)),"-"  )</f>
        <v>-</v>
      </c>
      <c r="L79" s="54" t="str">
        <f>IFERROR(VLOOKUP(VLOOKUP(M79,M79,1,1),Categories!$K$3:$V$18,7+VLOOKUP(J79,J79,1,1)),"-")</f>
        <v>-</v>
      </c>
      <c r="M79" s="55" t="s">
        <v>0</v>
      </c>
      <c r="N79" s="195">
        <v>80</v>
      </c>
      <c r="O79" s="204">
        <f t="shared" si="4"/>
        <v>0</v>
      </c>
      <c r="P79" s="151"/>
      <c r="Q79" s="144"/>
      <c r="R79" s="144"/>
      <c r="S79" s="144"/>
      <c r="T79" s="147"/>
      <c r="U79" s="147"/>
      <c r="V79" s="148"/>
      <c r="W79" s="149"/>
      <c r="X79" s="149"/>
      <c r="Y79" s="149"/>
      <c r="Z79" s="149"/>
      <c r="AA79" s="149"/>
      <c r="AB79" s="149"/>
      <c r="AC79" s="149"/>
      <c r="AD79" s="149"/>
      <c r="AE79" s="148"/>
      <c r="AF79" s="150"/>
      <c r="AG79" s="143"/>
      <c r="AH79" s="48"/>
      <c r="AI79" s="56"/>
      <c r="AJ79" s="56"/>
    </row>
    <row r="80" spans="1:36" ht="31.95" customHeight="1" x14ac:dyDescent="0.3">
      <c r="A80" s="12"/>
      <c r="B80" s="122"/>
      <c r="C80" s="49"/>
      <c r="D80" s="49">
        <f>IF(G80=Categories!$E$4,VLOOKUP(F80,Categories!$A$4:$C$13,3,1),VLOOKUP(G80,Categories!$E$4:$G$24,3,1))</f>
        <v>60</v>
      </c>
      <c r="E80" s="44">
        <v>7</v>
      </c>
      <c r="F80" s="50" t="s">
        <v>257</v>
      </c>
      <c r="G80" s="51" t="s">
        <v>62</v>
      </c>
      <c r="H80" s="52"/>
      <c r="I80" s="131">
        <v>3100</v>
      </c>
      <c r="J80" s="53" t="s">
        <v>0</v>
      </c>
      <c r="K80" s="54" t="str">
        <f>IFERROR(VLOOKUP(VLOOKUP(M80,M80,1,1),Categories!$K$4:$V$18,2+VLOOKUP(J80,J80,1,1)),"-"  )</f>
        <v>-</v>
      </c>
      <c r="L80" s="54" t="str">
        <f>IFERROR(VLOOKUP(VLOOKUP(M80,M80,1,1),Categories!$K$3:$V$18,7+VLOOKUP(J80,J80,1,1)),"-")</f>
        <v>-</v>
      </c>
      <c r="M80" s="55" t="s">
        <v>0</v>
      </c>
      <c r="N80" s="197">
        <v>0</v>
      </c>
      <c r="O80" s="204">
        <f t="shared" si="4"/>
        <v>0</v>
      </c>
      <c r="P80" s="151"/>
      <c r="Q80" s="144"/>
      <c r="R80" s="144"/>
      <c r="S80" s="144"/>
      <c r="T80" s="147"/>
      <c r="U80" s="147"/>
      <c r="V80" s="148"/>
      <c r="W80" s="149"/>
      <c r="X80" s="149"/>
      <c r="Y80" s="149"/>
      <c r="Z80" s="149"/>
      <c r="AA80" s="149"/>
      <c r="AB80" s="149"/>
      <c r="AC80" s="149"/>
      <c r="AD80" s="149"/>
      <c r="AE80" s="148"/>
      <c r="AF80" s="150"/>
      <c r="AG80" s="143"/>
      <c r="AH80" s="48"/>
      <c r="AI80" s="56"/>
      <c r="AJ80" s="56"/>
    </row>
    <row r="81" spans="1:36" ht="31.95" customHeight="1" x14ac:dyDescent="0.3">
      <c r="A81" s="12"/>
      <c r="B81" s="122"/>
      <c r="C81" s="49"/>
      <c r="D81" s="49">
        <f>IF(G81=Categories!$E$4,VLOOKUP(F81,Categories!$A$4:$C$13,3,1),VLOOKUP(G81,Categories!$E$4:$G$24,3,1))</f>
        <v>120</v>
      </c>
      <c r="E81" s="44">
        <v>7</v>
      </c>
      <c r="F81" s="50" t="s">
        <v>259</v>
      </c>
      <c r="G81" s="51" t="s">
        <v>0</v>
      </c>
      <c r="H81" s="52"/>
      <c r="I81" s="131">
        <v>3100</v>
      </c>
      <c r="J81" s="53" t="s">
        <v>0</v>
      </c>
      <c r="K81" s="54" t="str">
        <f>IFERROR(VLOOKUP(VLOOKUP(M81,M81,1,1),Categories!$K$4:$V$18,2+VLOOKUP(J81,J81,1,1)),"-"  )</f>
        <v>-</v>
      </c>
      <c r="L81" s="54" t="str">
        <f>IFERROR(VLOOKUP(VLOOKUP(M81,M81,1,1),Categories!$K$3:$V$18,7+VLOOKUP(J81,J81,1,1)),"-")</f>
        <v>-</v>
      </c>
      <c r="M81" s="55" t="s">
        <v>0</v>
      </c>
      <c r="N81" s="195">
        <v>0</v>
      </c>
      <c r="O81" s="204">
        <f t="shared" si="4"/>
        <v>0</v>
      </c>
      <c r="P81" s="151"/>
      <c r="Q81" s="144"/>
      <c r="R81" s="144"/>
      <c r="S81" s="144"/>
      <c r="T81" s="147"/>
      <c r="U81" s="147"/>
      <c r="V81" s="148"/>
      <c r="W81" s="149"/>
      <c r="X81" s="149"/>
      <c r="Y81" s="149"/>
      <c r="Z81" s="149"/>
      <c r="AA81" s="149"/>
      <c r="AB81" s="149"/>
      <c r="AC81" s="149"/>
      <c r="AD81" s="149"/>
      <c r="AE81" s="148"/>
      <c r="AF81" s="150"/>
      <c r="AG81" s="143"/>
      <c r="AH81" s="48"/>
      <c r="AI81" s="56"/>
      <c r="AJ81" s="56"/>
    </row>
    <row r="82" spans="1:36" ht="31.95" customHeight="1" x14ac:dyDescent="0.3">
      <c r="A82" s="185"/>
      <c r="B82" s="186"/>
      <c r="C82" s="49"/>
      <c r="D82" s="49">
        <f>IF(G82=Categories!$E$4,VLOOKUP(F82,Categories!$A$4:$C$13,3,1),VLOOKUP(G82,Categories!$E$4:$G$24,3,1))</f>
        <v>60</v>
      </c>
      <c r="E82" s="44">
        <v>8</v>
      </c>
      <c r="F82" s="50" t="s">
        <v>257</v>
      </c>
      <c r="G82" s="51" t="s">
        <v>61</v>
      </c>
      <c r="H82" s="52"/>
      <c r="I82" s="131">
        <v>3100</v>
      </c>
      <c r="J82" s="53" t="s">
        <v>0</v>
      </c>
      <c r="K82" s="54" t="str">
        <f>IFERROR(VLOOKUP(VLOOKUP(M82,M82,1,1),Categories!$K$4:$V$18,2+VLOOKUP(J82,J82,1,1)),"-"  )</f>
        <v>-</v>
      </c>
      <c r="L82" s="54" t="str">
        <f>IFERROR(VLOOKUP(VLOOKUP(M82,M82,1,1),Categories!$K$3:$V$18,7+VLOOKUP(J82,J82,1,1)),"-")</f>
        <v>-</v>
      </c>
      <c r="M82" s="55" t="s">
        <v>0</v>
      </c>
      <c r="N82" s="197">
        <v>20</v>
      </c>
      <c r="O82" s="204">
        <f t="shared" si="4"/>
        <v>0</v>
      </c>
      <c r="P82" s="187"/>
      <c r="Q82" s="188"/>
      <c r="R82" s="188"/>
      <c r="S82" s="144"/>
      <c r="T82" s="189"/>
      <c r="U82" s="189"/>
      <c r="V82" s="190"/>
      <c r="W82" s="191"/>
      <c r="X82" s="191"/>
      <c r="Y82" s="191"/>
      <c r="Z82" s="191"/>
      <c r="AA82" s="191"/>
      <c r="AB82" s="191"/>
      <c r="AC82" s="191"/>
      <c r="AD82" s="191"/>
      <c r="AE82" s="190"/>
      <c r="AF82" s="192"/>
      <c r="AG82" s="143"/>
      <c r="AH82" s="56"/>
      <c r="AI82" s="56"/>
      <c r="AJ82" s="56"/>
    </row>
    <row r="83" spans="1:36" ht="31.95" customHeight="1" x14ac:dyDescent="0.3">
      <c r="A83" s="12"/>
      <c r="B83" s="122"/>
      <c r="C83" s="49"/>
      <c r="D83" s="49">
        <f>IF(G83=Categories!$E$4,VLOOKUP(F83,Categories!$A$4:$C$13,3,1),VLOOKUP(G83,Categories!$E$4:$G$24,3,1))</f>
        <v>120</v>
      </c>
      <c r="E83" s="44">
        <v>8</v>
      </c>
      <c r="F83" s="50" t="s">
        <v>45</v>
      </c>
      <c r="G83" s="45" t="s">
        <v>0</v>
      </c>
      <c r="H83" s="52"/>
      <c r="I83" s="131">
        <v>3100</v>
      </c>
      <c r="J83" s="53" t="s">
        <v>0</v>
      </c>
      <c r="K83" s="54" t="str">
        <f>IFERROR(VLOOKUP(VLOOKUP(M83,M83,1,1),Categories!$K$4:$V$18,2+VLOOKUP(J83,J83,1,1)),"-"  )</f>
        <v>-</v>
      </c>
      <c r="L83" s="54" t="str">
        <f>IFERROR(VLOOKUP(VLOOKUP(M83,M83,1,1),Categories!$K$3:$V$18,7+VLOOKUP(J83,J83,1,1)),"-")</f>
        <v>-</v>
      </c>
      <c r="M83" s="55" t="s">
        <v>0</v>
      </c>
      <c r="N83" s="195">
        <v>20</v>
      </c>
      <c r="O83" s="204">
        <f t="shared" si="4"/>
        <v>0</v>
      </c>
      <c r="P83" s="151"/>
      <c r="Q83" s="144"/>
      <c r="R83" s="144"/>
      <c r="S83" s="144"/>
      <c r="T83" s="147"/>
      <c r="U83" s="147"/>
      <c r="V83" s="148"/>
      <c r="W83" s="149"/>
      <c r="X83" s="149"/>
      <c r="Y83" s="149"/>
      <c r="Z83" s="149"/>
      <c r="AA83" s="149"/>
      <c r="AB83" s="149"/>
      <c r="AC83" s="149"/>
      <c r="AD83" s="149"/>
      <c r="AE83" s="148"/>
      <c r="AF83" s="150"/>
      <c r="AG83" s="143"/>
      <c r="AH83" s="48"/>
      <c r="AI83" s="56"/>
      <c r="AJ83" s="56"/>
    </row>
    <row r="84" spans="1:36" ht="31.95" customHeight="1" x14ac:dyDescent="0.3">
      <c r="A84" s="12"/>
      <c r="B84" s="122"/>
      <c r="C84" s="49"/>
      <c r="D84" s="49">
        <f>IF(G84=Categories!$E$4,VLOOKUP(F84,Categories!$A$4:$C$13,3,1),VLOOKUP(G84,Categories!$E$4:$G$24,3,1))</f>
        <v>60</v>
      </c>
      <c r="E84" s="44">
        <v>8</v>
      </c>
      <c r="F84" s="50" t="s">
        <v>257</v>
      </c>
      <c r="G84" s="51" t="s">
        <v>61</v>
      </c>
      <c r="H84" s="52"/>
      <c r="I84" s="131">
        <v>3100</v>
      </c>
      <c r="J84" s="53" t="s">
        <v>0</v>
      </c>
      <c r="K84" s="54" t="str">
        <f>IFERROR(VLOOKUP(VLOOKUP(M84,M84,1,1),Categories!$K$4:$V$18,2+VLOOKUP(J84,J84,1,1)),"-"  )</f>
        <v>-</v>
      </c>
      <c r="L84" s="54" t="str">
        <f>IFERROR(VLOOKUP(VLOOKUP(M84,M84,1,1),Categories!$K$3:$V$18,7+VLOOKUP(J84,J84,1,1)),"-")</f>
        <v>-</v>
      </c>
      <c r="M84" s="55" t="s">
        <v>0</v>
      </c>
      <c r="N84" s="197">
        <v>40</v>
      </c>
      <c r="O84" s="204">
        <f t="shared" si="4"/>
        <v>0</v>
      </c>
      <c r="P84" s="151"/>
      <c r="Q84" s="144"/>
      <c r="R84" s="144"/>
      <c r="S84" s="144"/>
      <c r="T84" s="147"/>
      <c r="U84" s="147"/>
      <c r="V84" s="148"/>
      <c r="W84" s="149"/>
      <c r="X84" s="149"/>
      <c r="Y84" s="149"/>
      <c r="Z84" s="149"/>
      <c r="AA84" s="149"/>
      <c r="AB84" s="149"/>
      <c r="AC84" s="149"/>
      <c r="AD84" s="149"/>
      <c r="AE84" s="148"/>
      <c r="AF84" s="150"/>
      <c r="AG84" s="143"/>
      <c r="AH84" s="48"/>
      <c r="AI84" s="56"/>
      <c r="AJ84" s="56"/>
    </row>
    <row r="85" spans="1:36" ht="31.95" customHeight="1" x14ac:dyDescent="0.3">
      <c r="A85" s="12"/>
      <c r="B85" s="122"/>
      <c r="C85" s="49"/>
      <c r="D85" s="49">
        <f>IF(G85=Categories!$E$4,VLOOKUP(F85,Categories!$A$4:$C$13,3,1),VLOOKUP(G85,Categories!$E$4:$G$24,3,1))</f>
        <v>120</v>
      </c>
      <c r="E85" s="44">
        <v>8</v>
      </c>
      <c r="F85" s="50" t="s">
        <v>45</v>
      </c>
      <c r="G85" s="45" t="s">
        <v>0</v>
      </c>
      <c r="H85" s="52"/>
      <c r="I85" s="131">
        <v>3100</v>
      </c>
      <c r="J85" s="53" t="s">
        <v>0</v>
      </c>
      <c r="K85" s="54" t="str">
        <f>IFERROR(VLOOKUP(VLOOKUP(M85,M85,1,1),Categories!$K$4:$V$18,2+VLOOKUP(J85,J85,1,1)),"-"  )</f>
        <v>-</v>
      </c>
      <c r="L85" s="54" t="str">
        <f>IFERROR(VLOOKUP(VLOOKUP(M85,M85,1,1),Categories!$K$3:$V$18,7+VLOOKUP(J85,J85,1,1)),"-")</f>
        <v>-</v>
      </c>
      <c r="M85" s="55" t="s">
        <v>0</v>
      </c>
      <c r="N85" s="195">
        <v>40</v>
      </c>
      <c r="O85" s="204">
        <f t="shared" si="4"/>
        <v>0</v>
      </c>
      <c r="P85" s="151"/>
      <c r="Q85" s="144"/>
      <c r="R85" s="144"/>
      <c r="S85" s="144"/>
      <c r="T85" s="147"/>
      <c r="U85" s="147"/>
      <c r="V85" s="148"/>
      <c r="W85" s="149"/>
      <c r="X85" s="149"/>
      <c r="Y85" s="149"/>
      <c r="Z85" s="149"/>
      <c r="AA85" s="149"/>
      <c r="AB85" s="149"/>
      <c r="AC85" s="149"/>
      <c r="AD85" s="149"/>
      <c r="AE85" s="148"/>
      <c r="AF85" s="150"/>
      <c r="AG85" s="143"/>
      <c r="AH85" s="48"/>
      <c r="AI85" s="56"/>
      <c r="AJ85" s="56"/>
    </row>
    <row r="86" spans="1:36" ht="31.95" customHeight="1" x14ac:dyDescent="0.3">
      <c r="A86" s="12"/>
      <c r="B86" s="122"/>
      <c r="C86" s="49"/>
      <c r="D86" s="49">
        <f>IF(G86=Categories!$E$4,VLOOKUP(F86,Categories!$A$4:$C$13,3,1),VLOOKUP(G86,Categories!$E$4:$G$24,3,1))</f>
        <v>60</v>
      </c>
      <c r="E86" s="44">
        <v>8</v>
      </c>
      <c r="F86" s="50" t="s">
        <v>257</v>
      </c>
      <c r="G86" s="51" t="s">
        <v>61</v>
      </c>
      <c r="H86" s="52"/>
      <c r="I86" s="131">
        <v>3100</v>
      </c>
      <c r="J86" s="53" t="s">
        <v>0</v>
      </c>
      <c r="K86" s="54" t="str">
        <f>IFERROR(VLOOKUP(VLOOKUP(M86,M86,1,1),Categories!$K$4:$V$18,2+VLOOKUP(J86,J86,1,1)),"-"  )</f>
        <v>-</v>
      </c>
      <c r="L86" s="54" t="str">
        <f>IFERROR(VLOOKUP(VLOOKUP(M86,M86,1,1),Categories!$K$3:$V$18,7+VLOOKUP(J86,J86,1,1)),"-")</f>
        <v>-</v>
      </c>
      <c r="M86" s="55" t="s">
        <v>0</v>
      </c>
      <c r="N86" s="197">
        <v>60</v>
      </c>
      <c r="O86" s="204">
        <f t="shared" si="4"/>
        <v>0</v>
      </c>
      <c r="P86" s="151"/>
      <c r="Q86" s="144"/>
      <c r="R86" s="144"/>
      <c r="S86" s="144"/>
      <c r="T86" s="147"/>
      <c r="U86" s="147"/>
      <c r="V86" s="148"/>
      <c r="W86" s="149"/>
      <c r="X86" s="149"/>
      <c r="Y86" s="149"/>
      <c r="Z86" s="149"/>
      <c r="AA86" s="149"/>
      <c r="AB86" s="149"/>
      <c r="AC86" s="149"/>
      <c r="AD86" s="149"/>
      <c r="AE86" s="148"/>
      <c r="AF86" s="150"/>
      <c r="AG86" s="143"/>
      <c r="AH86" s="48"/>
      <c r="AI86" s="56"/>
      <c r="AJ86" s="56"/>
    </row>
    <row r="87" spans="1:36" ht="31.95" customHeight="1" x14ac:dyDescent="0.3">
      <c r="A87" s="12"/>
      <c r="B87" s="122"/>
      <c r="C87" s="49"/>
      <c r="D87" s="49">
        <f>IF(G87=Categories!$E$4,VLOOKUP(F87,Categories!$A$4:$C$13,3,1),VLOOKUP(G87,Categories!$E$4:$G$24,3,1))</f>
        <v>120</v>
      </c>
      <c r="E87" s="44">
        <v>8</v>
      </c>
      <c r="F87" s="50" t="s">
        <v>45</v>
      </c>
      <c r="G87" s="45" t="s">
        <v>0</v>
      </c>
      <c r="H87" s="52"/>
      <c r="I87" s="131">
        <v>3100</v>
      </c>
      <c r="J87" s="53" t="s">
        <v>0</v>
      </c>
      <c r="K87" s="54" t="str">
        <f>IFERROR(VLOOKUP(VLOOKUP(M87,M87,1,1),Categories!$K$4:$V$18,2+VLOOKUP(J87,J87,1,1)),"-"  )</f>
        <v>-</v>
      </c>
      <c r="L87" s="54" t="str">
        <f>IFERROR(VLOOKUP(VLOOKUP(M87,M87,1,1),Categories!$K$3:$V$18,7+VLOOKUP(J87,J87,1,1)),"-")</f>
        <v>-</v>
      </c>
      <c r="M87" s="55" t="s">
        <v>0</v>
      </c>
      <c r="N87" s="195">
        <v>60</v>
      </c>
      <c r="O87" s="204">
        <f t="shared" si="4"/>
        <v>0</v>
      </c>
      <c r="P87" s="151"/>
      <c r="Q87" s="144"/>
      <c r="R87" s="144"/>
      <c r="S87" s="144"/>
      <c r="T87" s="147"/>
      <c r="U87" s="147"/>
      <c r="V87" s="148"/>
      <c r="W87" s="149"/>
      <c r="X87" s="149"/>
      <c r="Y87" s="149"/>
      <c r="Z87" s="149"/>
      <c r="AA87" s="149"/>
      <c r="AB87" s="149"/>
      <c r="AC87" s="149"/>
      <c r="AD87" s="149"/>
      <c r="AE87" s="148"/>
      <c r="AF87" s="150"/>
      <c r="AG87" s="143"/>
      <c r="AH87" s="48"/>
      <c r="AI87" s="56"/>
      <c r="AJ87" s="56"/>
    </row>
    <row r="88" spans="1:36" ht="31.95" customHeight="1" x14ac:dyDescent="0.3">
      <c r="A88" s="12"/>
      <c r="B88" s="122"/>
      <c r="C88" s="49"/>
      <c r="D88" s="49">
        <f>IF(G88=Categories!$E$4,VLOOKUP(F88,Categories!$A$4:$C$13,3,1),VLOOKUP(G88,Categories!$E$4:$G$24,3,1))</f>
        <v>60</v>
      </c>
      <c r="E88" s="44">
        <v>8</v>
      </c>
      <c r="F88" s="50" t="s">
        <v>257</v>
      </c>
      <c r="G88" s="51" t="s">
        <v>61</v>
      </c>
      <c r="H88" s="52"/>
      <c r="I88" s="131">
        <v>3100</v>
      </c>
      <c r="J88" s="53" t="s">
        <v>0</v>
      </c>
      <c r="K88" s="54" t="str">
        <f>IFERROR(VLOOKUP(VLOOKUP(M88,M88,1,1),Categories!$K$4:$V$18,2+VLOOKUP(J88,J88,1,1)),"-"  )</f>
        <v>-</v>
      </c>
      <c r="L88" s="54" t="str">
        <f>IFERROR(VLOOKUP(VLOOKUP(M88,M88,1,1),Categories!$K$3:$V$18,7+VLOOKUP(J88,J88,1,1)),"-")</f>
        <v>-</v>
      </c>
      <c r="M88" s="55" t="s">
        <v>0</v>
      </c>
      <c r="N88" s="197">
        <v>80</v>
      </c>
      <c r="O88" s="204">
        <f t="shared" si="4"/>
        <v>0</v>
      </c>
      <c r="P88" s="151"/>
      <c r="Q88" s="144"/>
      <c r="R88" s="144"/>
      <c r="S88" s="188"/>
      <c r="T88" s="147"/>
      <c r="U88" s="147"/>
      <c r="V88" s="148"/>
      <c r="W88" s="149"/>
      <c r="X88" s="149"/>
      <c r="Y88" s="149"/>
      <c r="Z88" s="149"/>
      <c r="AA88" s="149"/>
      <c r="AB88" s="149"/>
      <c r="AC88" s="149"/>
      <c r="AD88" s="149"/>
      <c r="AE88" s="148"/>
      <c r="AF88" s="150"/>
      <c r="AG88" s="143"/>
      <c r="AH88" s="48"/>
      <c r="AI88" s="56"/>
      <c r="AJ88" s="56"/>
    </row>
    <row r="89" spans="1:36" ht="31.95" customHeight="1" x14ac:dyDescent="0.3">
      <c r="A89" s="12"/>
      <c r="B89" s="122"/>
      <c r="C89" s="49"/>
      <c r="D89" s="49">
        <f>IF(G89=Categories!$E$4,VLOOKUP(F89,Categories!$A$4:$C$13,3,1),VLOOKUP(G89,Categories!$E$4:$G$24,3,1))</f>
        <v>120</v>
      </c>
      <c r="E89" s="44">
        <v>8</v>
      </c>
      <c r="F89" s="50" t="s">
        <v>45</v>
      </c>
      <c r="G89" s="45" t="s">
        <v>0</v>
      </c>
      <c r="H89" s="52"/>
      <c r="I89" s="131">
        <v>3100</v>
      </c>
      <c r="J89" s="53" t="s">
        <v>0</v>
      </c>
      <c r="K89" s="54" t="str">
        <f>IFERROR(VLOOKUP(VLOOKUP(M89,M89,1,1),Categories!$K$4:$V$18,2+VLOOKUP(J89,J89,1,1)),"-"  )</f>
        <v>-</v>
      </c>
      <c r="L89" s="54" t="str">
        <f>IFERROR(VLOOKUP(VLOOKUP(M89,M89,1,1),Categories!$K$3:$V$18,7+VLOOKUP(J89,J89,1,1)),"-")</f>
        <v>-</v>
      </c>
      <c r="M89" s="55" t="s">
        <v>0</v>
      </c>
      <c r="N89" s="195">
        <v>80</v>
      </c>
      <c r="O89" s="204">
        <f t="shared" si="4"/>
        <v>0</v>
      </c>
      <c r="P89" s="151"/>
      <c r="Q89" s="144"/>
      <c r="R89" s="144"/>
      <c r="S89" s="188"/>
      <c r="T89" s="147"/>
      <c r="U89" s="147"/>
      <c r="V89" s="148"/>
      <c r="W89" s="149"/>
      <c r="X89" s="149"/>
      <c r="Y89" s="149"/>
      <c r="Z89" s="149"/>
      <c r="AA89" s="149"/>
      <c r="AB89" s="149"/>
      <c r="AC89" s="149"/>
      <c r="AD89" s="149"/>
      <c r="AE89" s="148"/>
      <c r="AF89" s="150"/>
      <c r="AG89" s="143"/>
      <c r="AH89" s="48"/>
      <c r="AI89" s="56"/>
      <c r="AJ89" s="56"/>
    </row>
    <row r="90" spans="1:36" ht="31.95" customHeight="1" x14ac:dyDescent="0.3">
      <c r="A90" s="12"/>
      <c r="B90" s="122"/>
      <c r="C90" s="49"/>
      <c r="D90" s="49">
        <f>IF(G90=Categories!$E$4,VLOOKUP(F90,Categories!$A$4:$C$13,3,1),VLOOKUP(G90,Categories!$E$4:$G$24,3,1))</f>
        <v>60</v>
      </c>
      <c r="E90" s="44">
        <v>8</v>
      </c>
      <c r="F90" s="50" t="s">
        <v>257</v>
      </c>
      <c r="G90" s="51" t="s">
        <v>61</v>
      </c>
      <c r="H90" s="52"/>
      <c r="I90" s="131">
        <v>3100</v>
      </c>
      <c r="J90" s="53" t="s">
        <v>0</v>
      </c>
      <c r="K90" s="54" t="str">
        <f>IFERROR(VLOOKUP(VLOOKUP(M90,M90,1,1),Categories!$K$4:$V$18,2+VLOOKUP(J90,J90,1,1)),"-"  )</f>
        <v>-</v>
      </c>
      <c r="L90" s="54" t="str">
        <f>IFERROR(VLOOKUP(VLOOKUP(M90,M90,1,1),Categories!$K$3:$V$18,7+VLOOKUP(J90,J90,1,1)),"-")</f>
        <v>-</v>
      </c>
      <c r="M90" s="55" t="s">
        <v>0</v>
      </c>
      <c r="N90" s="197">
        <v>0</v>
      </c>
      <c r="O90" s="204">
        <f t="shared" si="4"/>
        <v>0</v>
      </c>
      <c r="P90" s="151"/>
      <c r="Q90" s="144"/>
      <c r="R90" s="144"/>
      <c r="S90" s="188"/>
      <c r="T90" s="147"/>
      <c r="U90" s="147"/>
      <c r="V90" s="148"/>
      <c r="W90" s="149"/>
      <c r="X90" s="149"/>
      <c r="Y90" s="149"/>
      <c r="Z90" s="149"/>
      <c r="AA90" s="149"/>
      <c r="AB90" s="149"/>
      <c r="AC90" s="149"/>
      <c r="AD90" s="149"/>
      <c r="AE90" s="148"/>
      <c r="AF90" s="150"/>
      <c r="AG90" s="143"/>
      <c r="AH90" s="48"/>
      <c r="AI90" s="56"/>
      <c r="AJ90" s="56"/>
    </row>
    <row r="91" spans="1:36" ht="31.95" customHeight="1" x14ac:dyDescent="0.3">
      <c r="A91" s="12"/>
      <c r="B91" s="122"/>
      <c r="C91" s="49"/>
      <c r="D91" s="49">
        <f>IF(G91=Categories!$E$4,VLOOKUP(F91,Categories!$A$4:$C$13,3,1),VLOOKUP(G91,Categories!$E$4:$G$24,3,1))</f>
        <v>120</v>
      </c>
      <c r="E91" s="44">
        <v>8</v>
      </c>
      <c r="F91" s="50" t="s">
        <v>259</v>
      </c>
      <c r="G91" s="51" t="s">
        <v>0</v>
      </c>
      <c r="H91" s="52"/>
      <c r="I91" s="131">
        <v>3100</v>
      </c>
      <c r="J91" s="53" t="s">
        <v>0</v>
      </c>
      <c r="K91" s="54" t="str">
        <f>IFERROR(VLOOKUP(VLOOKUP(M91,M91,1,1),Categories!$K$4:$V$18,2+VLOOKUP(J91,J91,1,1)),"-"  )</f>
        <v>-</v>
      </c>
      <c r="L91" s="54" t="str">
        <f>IFERROR(VLOOKUP(VLOOKUP(M91,M91,1,1),Categories!$K$3:$V$18,7+VLOOKUP(J91,J91,1,1)),"-")</f>
        <v>-</v>
      </c>
      <c r="M91" s="55" t="s">
        <v>0</v>
      </c>
      <c r="N91" s="195">
        <v>0</v>
      </c>
      <c r="O91" s="204">
        <f t="shared" si="4"/>
        <v>0</v>
      </c>
      <c r="P91" s="151"/>
      <c r="Q91" s="144"/>
      <c r="R91" s="144"/>
      <c r="S91" s="188"/>
      <c r="T91" s="147"/>
      <c r="U91" s="147"/>
      <c r="V91" s="148"/>
      <c r="W91" s="149"/>
      <c r="X91" s="149"/>
      <c r="Y91" s="149"/>
      <c r="Z91" s="149"/>
      <c r="AA91" s="149"/>
      <c r="AB91" s="149"/>
      <c r="AC91" s="149"/>
      <c r="AD91" s="149"/>
      <c r="AE91" s="148"/>
      <c r="AF91" s="150"/>
      <c r="AG91" s="143"/>
      <c r="AH91" s="48"/>
      <c r="AI91" s="56"/>
      <c r="AJ91" s="56"/>
    </row>
    <row r="92" spans="1:36" ht="31.95" customHeight="1" x14ac:dyDescent="0.3">
      <c r="A92" s="185"/>
      <c r="B92" s="186"/>
      <c r="C92" s="49"/>
      <c r="D92" s="49" t="str">
        <f>IF(G92=Categories!$E$4,VLOOKUP(F92,Categories!$A$4:$C$13,3,1),VLOOKUP(G92,Categories!$E$4:$G$24,3,1))</f>
        <v>-</v>
      </c>
      <c r="E92" s="44" t="s">
        <v>0</v>
      </c>
      <c r="F92" s="50" t="s">
        <v>3</v>
      </c>
      <c r="G92" s="51" t="s">
        <v>0</v>
      </c>
      <c r="H92" s="52"/>
      <c r="I92" s="131">
        <v>3100</v>
      </c>
      <c r="J92" s="53" t="s">
        <v>0</v>
      </c>
      <c r="K92" s="54" t="str">
        <f>IFERROR(VLOOKUP(VLOOKUP(M92,M92,1,1),Categories!$K$4:$V$18,2+VLOOKUP(J92,J92,1,1)),"-"  )</f>
        <v>-</v>
      </c>
      <c r="L92" s="54" t="str">
        <f>IFERROR(VLOOKUP(VLOOKUP(M92,M92,1,1),Categories!$K$3:$V$18,7+VLOOKUP(J92,J92,1,1)),"-")</f>
        <v>-</v>
      </c>
      <c r="M92" s="55" t="s">
        <v>0</v>
      </c>
      <c r="N92" s="195" t="s">
        <v>0</v>
      </c>
      <c r="O92" s="204" t="s">
        <v>0</v>
      </c>
      <c r="P92" s="187"/>
      <c r="Q92" s="188"/>
      <c r="R92" s="188"/>
      <c r="S92" s="188"/>
      <c r="T92" s="189"/>
      <c r="U92" s="189"/>
      <c r="V92" s="190"/>
      <c r="W92" s="191"/>
      <c r="X92" s="191"/>
      <c r="Y92" s="191"/>
      <c r="Z92" s="191"/>
      <c r="AA92" s="191"/>
      <c r="AB92" s="191"/>
      <c r="AC92" s="191"/>
      <c r="AD92" s="191"/>
      <c r="AE92" s="190"/>
      <c r="AF92" s="192"/>
      <c r="AG92" s="143"/>
      <c r="AH92" s="56"/>
      <c r="AI92" s="56"/>
      <c r="AJ92" s="56"/>
    </row>
    <row r="93" spans="1:36" ht="31.95" customHeight="1" x14ac:dyDescent="0.3">
      <c r="A93" s="185"/>
      <c r="B93" s="186"/>
      <c r="C93" s="49"/>
      <c r="D93" s="49">
        <f>IF(G93=Categories!$E$4,VLOOKUP(F93,Categories!$A$4:$C$13,3,1),VLOOKUP(G93,Categories!$E$4:$G$24,3,1))</f>
        <v>120</v>
      </c>
      <c r="E93" s="44">
        <v>9</v>
      </c>
      <c r="F93" s="50" t="s">
        <v>1</v>
      </c>
      <c r="G93" s="51" t="s">
        <v>0</v>
      </c>
      <c r="H93" s="52"/>
      <c r="I93" s="131">
        <v>3100</v>
      </c>
      <c r="J93" s="53" t="s">
        <v>0</v>
      </c>
      <c r="K93" s="54" t="str">
        <f>IFERROR(VLOOKUP(VLOOKUP(M93,M93,1,1),Categories!$K$4:$V$18,2+VLOOKUP(J93,J93,1,1)),"-"  )</f>
        <v>-</v>
      </c>
      <c r="L93" s="54" t="str">
        <f>IFERROR(VLOOKUP(VLOOKUP(M93,M93,1,1),Categories!$K$3:$V$18,7+VLOOKUP(J93,J93,1,1)),"-")</f>
        <v>-</v>
      </c>
      <c r="M93" s="55" t="s">
        <v>0</v>
      </c>
      <c r="N93" s="195" t="s">
        <v>0</v>
      </c>
      <c r="O93" s="204" t="s">
        <v>0</v>
      </c>
      <c r="P93" s="187"/>
      <c r="Q93" s="188"/>
      <c r="R93" s="188"/>
      <c r="S93" s="188"/>
      <c r="T93" s="189"/>
      <c r="U93" s="189"/>
      <c r="V93" s="190"/>
      <c r="W93" s="191"/>
      <c r="X93" s="191"/>
      <c r="Y93" s="191"/>
      <c r="Z93" s="191"/>
      <c r="AA93" s="191"/>
      <c r="AB93" s="191"/>
      <c r="AC93" s="191"/>
      <c r="AD93" s="191"/>
      <c r="AE93" s="190"/>
      <c r="AF93" s="192"/>
      <c r="AG93" s="143"/>
      <c r="AH93" s="56"/>
      <c r="AI93" s="56"/>
      <c r="AJ93" s="56"/>
    </row>
    <row r="94" spans="1:36" ht="31.95" customHeight="1" x14ac:dyDescent="0.3">
      <c r="A94" s="185"/>
      <c r="B94" s="186"/>
      <c r="C94" s="49"/>
      <c r="D94" s="49">
        <f>IF(G94=Categories!$E$4,VLOOKUP(F94,Categories!$A$4:$C$13,3,1),VLOOKUP(G94,Categories!$E$4:$G$24,3,1))</f>
        <v>30</v>
      </c>
      <c r="E94" s="44">
        <v>9</v>
      </c>
      <c r="F94" s="50" t="s">
        <v>257</v>
      </c>
      <c r="G94" s="51" t="s">
        <v>2</v>
      </c>
      <c r="H94" s="52"/>
      <c r="I94" s="131">
        <v>2800</v>
      </c>
      <c r="J94" s="53" t="s">
        <v>0</v>
      </c>
      <c r="K94" s="54" t="str">
        <f>IFERROR(VLOOKUP(VLOOKUP(M94,M94,1,1),Categories!$K$4:$V$18,2+VLOOKUP(J94,J94,1,1)),"-"  )</f>
        <v>-</v>
      </c>
      <c r="L94" s="54" t="str">
        <f>IFERROR(VLOOKUP(VLOOKUP(M94,M94,1,1),Categories!$K$3:$V$18,7+VLOOKUP(J94,J94,1,1)),"-")</f>
        <v>-</v>
      </c>
      <c r="M94" s="55" t="s">
        <v>0</v>
      </c>
      <c r="N94" s="195" t="s">
        <v>0</v>
      </c>
      <c r="O94" s="204" t="s">
        <v>0</v>
      </c>
      <c r="P94" s="187"/>
      <c r="Q94" s="188"/>
      <c r="R94" s="188"/>
      <c r="S94" s="188"/>
      <c r="T94" s="189"/>
      <c r="U94" s="189"/>
      <c r="V94" s="190"/>
      <c r="W94" s="191"/>
      <c r="X94" s="191"/>
      <c r="Y94" s="191"/>
      <c r="Z94" s="191"/>
      <c r="AA94" s="191"/>
      <c r="AB94" s="191"/>
      <c r="AC94" s="191"/>
      <c r="AD94" s="191"/>
      <c r="AE94" s="190"/>
      <c r="AF94" s="192"/>
      <c r="AG94" s="143"/>
      <c r="AH94" s="56"/>
      <c r="AI94" s="56"/>
      <c r="AJ94" s="56"/>
    </row>
    <row r="95" spans="1:36" ht="31.95" customHeight="1" x14ac:dyDescent="0.3">
      <c r="A95" s="185"/>
      <c r="B95" s="186"/>
      <c r="C95" s="49"/>
      <c r="D95" s="49">
        <f>IF(G95=Categories!$E$4,VLOOKUP(F95,Categories!$A$4:$C$13,3,1),VLOOKUP(G95,Categories!$E$4:$G$24,3,1))</f>
        <v>120</v>
      </c>
      <c r="E95" s="44">
        <v>9</v>
      </c>
      <c r="F95" s="50" t="s">
        <v>1</v>
      </c>
      <c r="G95" s="51" t="s">
        <v>0</v>
      </c>
      <c r="H95" s="52"/>
      <c r="I95" s="131">
        <v>2800</v>
      </c>
      <c r="J95" s="53" t="s">
        <v>0</v>
      </c>
      <c r="K95" s="54" t="str">
        <f>IFERROR(VLOOKUP(VLOOKUP(M95,M95,1,1),Categories!$K$4:$V$18,2+VLOOKUP(J95,J95,1,1)),"-"  )</f>
        <v>-</v>
      </c>
      <c r="L95" s="54" t="str">
        <f>IFERROR(VLOOKUP(VLOOKUP(M95,M95,1,1),Categories!$K$3:$V$18,7+VLOOKUP(J95,J95,1,1)),"-")</f>
        <v>-</v>
      </c>
      <c r="M95" s="55" t="s">
        <v>0</v>
      </c>
      <c r="N95" s="195" t="s">
        <v>0</v>
      </c>
      <c r="O95" s="204" t="s">
        <v>0</v>
      </c>
      <c r="P95" s="187"/>
      <c r="Q95" s="188"/>
      <c r="R95" s="188"/>
      <c r="S95" s="188"/>
      <c r="T95" s="189"/>
      <c r="U95" s="189"/>
      <c r="V95" s="190"/>
      <c r="W95" s="191"/>
      <c r="X95" s="191"/>
      <c r="Y95" s="191"/>
      <c r="Z95" s="191"/>
      <c r="AA95" s="191"/>
      <c r="AB95" s="191"/>
      <c r="AC95" s="191"/>
      <c r="AD95" s="191"/>
      <c r="AE95" s="190"/>
      <c r="AF95" s="192"/>
      <c r="AG95" s="143"/>
      <c r="AH95" s="56"/>
      <c r="AI95" s="56"/>
      <c r="AJ95" s="56"/>
    </row>
    <row r="96" spans="1:36" ht="31.95" customHeight="1" x14ac:dyDescent="0.3">
      <c r="A96" s="185"/>
      <c r="B96" s="186"/>
      <c r="C96" s="49"/>
      <c r="D96" s="49">
        <f>IF(G96=Categories!$E$4,VLOOKUP(F96,Categories!$A$4:$C$13,3,1),VLOOKUP(G96,Categories!$E$4:$G$24,3,1))</f>
        <v>30</v>
      </c>
      <c r="E96" s="44">
        <v>9</v>
      </c>
      <c r="F96" s="50" t="s">
        <v>257</v>
      </c>
      <c r="G96" s="51" t="s">
        <v>2</v>
      </c>
      <c r="H96" s="52"/>
      <c r="I96" s="131">
        <v>2500</v>
      </c>
      <c r="J96" s="53" t="s">
        <v>0</v>
      </c>
      <c r="K96" s="54" t="str">
        <f>IFERROR(VLOOKUP(VLOOKUP(M96,M96,1,1),Categories!$K$4:$V$18,2+VLOOKUP(J96,J96,1,1)),"-"  )</f>
        <v>-</v>
      </c>
      <c r="L96" s="54" t="str">
        <f>IFERROR(VLOOKUP(VLOOKUP(M96,M96,1,1),Categories!$K$3:$V$18,7+VLOOKUP(J96,J96,1,1)),"-")</f>
        <v>-</v>
      </c>
      <c r="M96" s="55" t="s">
        <v>0</v>
      </c>
      <c r="N96" s="195" t="s">
        <v>0</v>
      </c>
      <c r="O96" s="204" t="s">
        <v>0</v>
      </c>
      <c r="P96" s="187"/>
      <c r="Q96" s="188"/>
      <c r="R96" s="188"/>
      <c r="S96" s="188"/>
      <c r="T96" s="189"/>
      <c r="U96" s="189"/>
      <c r="V96" s="190"/>
      <c r="W96" s="191"/>
      <c r="X96" s="191"/>
      <c r="Y96" s="191"/>
      <c r="Z96" s="191"/>
      <c r="AA96" s="191"/>
      <c r="AB96" s="191"/>
      <c r="AC96" s="191"/>
      <c r="AD96" s="191"/>
      <c r="AE96" s="190"/>
      <c r="AF96" s="192"/>
      <c r="AG96" s="143"/>
      <c r="AH96" s="56"/>
      <c r="AI96" s="56"/>
      <c r="AJ96" s="56"/>
    </row>
    <row r="97" spans="1:36" ht="31.95" customHeight="1" x14ac:dyDescent="0.3">
      <c r="A97" s="185"/>
      <c r="B97" s="186"/>
      <c r="C97" s="49"/>
      <c r="D97" s="49">
        <f>IF(G97=Categories!$E$4,VLOOKUP(F97,Categories!$A$4:$C$13,3,1),VLOOKUP(G97,Categories!$E$4:$G$24,3,1))</f>
        <v>120</v>
      </c>
      <c r="E97" s="44">
        <v>9</v>
      </c>
      <c r="F97" s="50" t="s">
        <v>1</v>
      </c>
      <c r="G97" s="51" t="s">
        <v>0</v>
      </c>
      <c r="H97" s="52"/>
      <c r="I97" s="131">
        <v>2500</v>
      </c>
      <c r="J97" s="53" t="s">
        <v>0</v>
      </c>
      <c r="K97" s="54" t="str">
        <f>IFERROR(VLOOKUP(VLOOKUP(M97,M97,1,1),Categories!$K$4:$V$18,2+VLOOKUP(J97,J97,1,1)),"-"  )</f>
        <v>-</v>
      </c>
      <c r="L97" s="54" t="str">
        <f>IFERROR(VLOOKUP(VLOOKUP(M97,M97,1,1),Categories!$K$3:$V$18,7+VLOOKUP(J97,J97,1,1)),"-")</f>
        <v>-</v>
      </c>
      <c r="M97" s="55" t="s">
        <v>0</v>
      </c>
      <c r="N97" s="195" t="s">
        <v>0</v>
      </c>
      <c r="O97" s="204" t="s">
        <v>0</v>
      </c>
      <c r="P97" s="187"/>
      <c r="Q97" s="188"/>
      <c r="R97" s="188"/>
      <c r="S97" s="144"/>
      <c r="T97" s="189"/>
      <c r="U97" s="189"/>
      <c r="V97" s="190"/>
      <c r="W97" s="191"/>
      <c r="X97" s="191"/>
      <c r="Y97" s="191"/>
      <c r="Z97" s="191"/>
      <c r="AA97" s="191"/>
      <c r="AB97" s="191"/>
      <c r="AC97" s="191"/>
      <c r="AD97" s="191"/>
      <c r="AE97" s="190"/>
      <c r="AF97" s="192"/>
      <c r="AG97" s="143"/>
      <c r="AH97" s="56"/>
      <c r="AI97" s="56"/>
      <c r="AJ97" s="56"/>
    </row>
    <row r="98" spans="1:36" ht="31.95" customHeight="1" x14ac:dyDescent="0.3">
      <c r="A98" s="185"/>
      <c r="B98" s="186"/>
      <c r="C98" s="49"/>
      <c r="D98" s="49">
        <f>IF(G98=Categories!$E$4,VLOOKUP(F98,Categories!$A$4:$C$13,3,1),VLOOKUP(G98,Categories!$E$4:$G$24,3,1))</f>
        <v>30</v>
      </c>
      <c r="E98" s="44">
        <v>9</v>
      </c>
      <c r="F98" s="50" t="s">
        <v>257</v>
      </c>
      <c r="G98" s="51" t="s">
        <v>2</v>
      </c>
      <c r="H98" s="52"/>
      <c r="I98" s="131">
        <v>2200</v>
      </c>
      <c r="J98" s="53" t="s">
        <v>0</v>
      </c>
      <c r="K98" s="54" t="str">
        <f>IFERROR(VLOOKUP(VLOOKUP(M98,M98,1,1),Categories!$K$4:$V$18,2+VLOOKUP(J98,J98,1,1)),"-"  )</f>
        <v>-</v>
      </c>
      <c r="L98" s="54" t="str">
        <f>IFERROR(VLOOKUP(VLOOKUP(M98,M98,1,1),Categories!$K$3:$V$18,7+VLOOKUP(J98,J98,1,1)),"-")</f>
        <v>-</v>
      </c>
      <c r="M98" s="55" t="s">
        <v>0</v>
      </c>
      <c r="N98" s="195" t="s">
        <v>0</v>
      </c>
      <c r="O98" s="204" t="s">
        <v>0</v>
      </c>
      <c r="P98" s="187"/>
      <c r="Q98" s="188"/>
      <c r="R98" s="188"/>
      <c r="S98" s="144"/>
      <c r="T98" s="189"/>
      <c r="U98" s="189"/>
      <c r="V98" s="190"/>
      <c r="W98" s="191"/>
      <c r="X98" s="191"/>
      <c r="Y98" s="191"/>
      <c r="Z98" s="191"/>
      <c r="AA98" s="191"/>
      <c r="AB98" s="191"/>
      <c r="AC98" s="191"/>
      <c r="AD98" s="191"/>
      <c r="AE98" s="190"/>
      <c r="AF98" s="192"/>
      <c r="AG98" s="143"/>
      <c r="AH98" s="56"/>
      <c r="AI98" s="56"/>
      <c r="AJ98" s="56"/>
    </row>
    <row r="99" spans="1:36" ht="31.95" customHeight="1" x14ac:dyDescent="0.3">
      <c r="A99" s="185"/>
      <c r="B99" s="186"/>
      <c r="C99" s="49"/>
      <c r="D99" s="49">
        <f>IF(G99=Categories!$E$4,VLOOKUP(F99,Categories!$A$4:$C$13,3,1),VLOOKUP(G99,Categories!$E$4:$G$24,3,1))</f>
        <v>120</v>
      </c>
      <c r="E99" s="44">
        <v>9</v>
      </c>
      <c r="F99" s="50" t="s">
        <v>1</v>
      </c>
      <c r="G99" s="51" t="s">
        <v>0</v>
      </c>
      <c r="H99" s="52"/>
      <c r="I99" s="131">
        <v>2200</v>
      </c>
      <c r="J99" s="53" t="s">
        <v>0</v>
      </c>
      <c r="K99" s="54" t="str">
        <f>IFERROR(VLOOKUP(VLOOKUP(M99,M99,1,1),Categories!$K$4:$V$18,2+VLOOKUP(J99,J99,1,1)),"-"  )</f>
        <v>-</v>
      </c>
      <c r="L99" s="54" t="str">
        <f>IFERROR(VLOOKUP(VLOOKUP(M99,M99,1,1),Categories!$K$3:$V$18,7+VLOOKUP(J99,J99,1,1)),"-")</f>
        <v>-</v>
      </c>
      <c r="M99" s="55" t="s">
        <v>0</v>
      </c>
      <c r="N99" s="195" t="s">
        <v>0</v>
      </c>
      <c r="O99" s="204" t="s">
        <v>0</v>
      </c>
      <c r="P99" s="187"/>
      <c r="Q99" s="188"/>
      <c r="R99" s="188"/>
      <c r="S99" s="144"/>
      <c r="T99" s="189"/>
      <c r="U99" s="189"/>
      <c r="V99" s="190"/>
      <c r="W99" s="191"/>
      <c r="X99" s="191"/>
      <c r="Y99" s="191"/>
      <c r="Z99" s="191"/>
      <c r="AA99" s="191"/>
      <c r="AB99" s="191"/>
      <c r="AC99" s="191"/>
      <c r="AD99" s="191"/>
      <c r="AE99" s="190"/>
      <c r="AF99" s="192"/>
      <c r="AG99" s="143"/>
      <c r="AH99" s="56"/>
      <c r="AI99" s="56"/>
      <c r="AJ99" s="56"/>
    </row>
    <row r="100" spans="1:36" ht="31.95" customHeight="1" x14ac:dyDescent="0.3">
      <c r="A100" s="185"/>
      <c r="B100" s="186"/>
      <c r="C100" s="49"/>
      <c r="D100" s="49" t="str">
        <f>IF(G100=Categories!$E$4,VLOOKUP(F100,Categories!$A$4:$C$13,3,1),VLOOKUP(G100,Categories!$E$4:$G$24,3,1))</f>
        <v>-</v>
      </c>
      <c r="E100" s="44" t="s">
        <v>0</v>
      </c>
      <c r="F100" s="50" t="s">
        <v>3</v>
      </c>
      <c r="G100" s="51" t="s">
        <v>64</v>
      </c>
      <c r="H100" s="52"/>
      <c r="I100" s="131">
        <v>2200</v>
      </c>
      <c r="J100" s="53">
        <v>1</v>
      </c>
      <c r="K100" s="54">
        <f>IFERROR(VLOOKUP(VLOOKUP(M100,M100,1,1),Categories!$K$4:$V$18,2+VLOOKUP(J100,J100,1,1)),"-"  )</f>
        <v>2.33</v>
      </c>
      <c r="L100" s="54" t="str">
        <f>IFERROR(VLOOKUP(VLOOKUP(M100,M100,1,1),Categories!$K$3:$V$18,7+VLOOKUP(J100,J100,1,1)),"-")</f>
        <v>0 rev.</v>
      </c>
      <c r="M100" s="55" t="s">
        <v>115</v>
      </c>
      <c r="N100" s="195" t="s">
        <v>0</v>
      </c>
      <c r="O100" s="204" t="s">
        <v>0</v>
      </c>
      <c r="P100" s="187"/>
      <c r="Q100" s="188"/>
      <c r="R100" s="188"/>
      <c r="S100" s="144"/>
      <c r="T100" s="189"/>
      <c r="U100" s="189"/>
      <c r="V100" s="190"/>
      <c r="W100" s="191"/>
      <c r="X100" s="191"/>
      <c r="Y100" s="191"/>
      <c r="Z100" s="191"/>
      <c r="AA100" s="191"/>
      <c r="AB100" s="191"/>
      <c r="AC100" s="191"/>
      <c r="AD100" s="191"/>
      <c r="AE100" s="190"/>
      <c r="AF100" s="192"/>
      <c r="AG100" s="143" t="s">
        <v>267</v>
      </c>
      <c r="AH100" s="56" t="s">
        <v>301</v>
      </c>
      <c r="AI100" s="56"/>
      <c r="AJ100" s="56"/>
    </row>
    <row r="101" spans="1:36" ht="31.95" customHeight="1" x14ac:dyDescent="0.3">
      <c r="A101" s="185"/>
      <c r="B101" s="186"/>
      <c r="C101" s="49"/>
      <c r="D101" s="49">
        <f>IF(G101=Categories!$E$4,VLOOKUP(F101,Categories!$A$4:$C$13,3,1),VLOOKUP(G101,Categories!$E$4:$G$24,3,1))</f>
        <v>120</v>
      </c>
      <c r="E101" s="44">
        <v>10</v>
      </c>
      <c r="F101" s="50" t="s">
        <v>45</v>
      </c>
      <c r="G101" s="51" t="s">
        <v>0</v>
      </c>
      <c r="H101" s="52"/>
      <c r="I101" s="131">
        <v>2200</v>
      </c>
      <c r="J101" s="53">
        <v>1</v>
      </c>
      <c r="K101" s="54">
        <f>IFERROR(VLOOKUP(VLOOKUP(M101,M101,1,1),Categories!$K$4:$V$18,2+VLOOKUP(J101,J101,1,1)),"-"  )</f>
        <v>2.33</v>
      </c>
      <c r="L101" s="54" t="str">
        <f>IFERROR(VLOOKUP(VLOOKUP(M101,M101,1,1),Categories!$K$3:$V$18,7+VLOOKUP(J101,J101,1,1)),"-")</f>
        <v>0 rev.</v>
      </c>
      <c r="M101" s="55" t="s">
        <v>115</v>
      </c>
      <c r="N101" s="195" t="s">
        <v>0</v>
      </c>
      <c r="O101" s="204" t="s">
        <v>0</v>
      </c>
      <c r="P101" s="187"/>
      <c r="Q101" s="188"/>
      <c r="R101" s="188"/>
      <c r="S101" s="144"/>
      <c r="T101" s="189"/>
      <c r="U101" s="189"/>
      <c r="V101" s="190"/>
      <c r="W101" s="191"/>
      <c r="X101" s="191"/>
      <c r="Y101" s="191"/>
      <c r="Z101" s="191"/>
      <c r="AA101" s="191"/>
      <c r="AB101" s="191"/>
      <c r="AC101" s="191"/>
      <c r="AD101" s="191"/>
      <c r="AE101" s="190"/>
      <c r="AF101" s="192"/>
      <c r="AG101" s="143"/>
      <c r="AH101" s="56"/>
      <c r="AI101" s="56"/>
      <c r="AJ101" s="56"/>
    </row>
    <row r="102" spans="1:36" ht="31.95" customHeight="1" x14ac:dyDescent="0.3">
      <c r="A102" s="185"/>
      <c r="B102" s="186"/>
      <c r="C102" s="49"/>
      <c r="D102" s="49">
        <f>IF(G102=Categories!$E$4,VLOOKUP(F102,Categories!$A$4:$C$13,3,1),VLOOKUP(G102,Categories!$E$4:$G$24,3,1))</f>
        <v>60</v>
      </c>
      <c r="E102" s="44">
        <v>10</v>
      </c>
      <c r="F102" s="50" t="s">
        <v>257</v>
      </c>
      <c r="G102" s="51" t="s">
        <v>263</v>
      </c>
      <c r="H102" s="52"/>
      <c r="I102" s="131">
        <v>2200</v>
      </c>
      <c r="J102" s="53">
        <v>2</v>
      </c>
      <c r="K102" s="54" t="str">
        <f>IFERROR(VLOOKUP(VLOOKUP(M102,M102,1,1),Categories!$K$4:$V$18,2+VLOOKUP(J102,J102,1,1)),"-"  )</f>
        <v>~9</v>
      </c>
      <c r="L102" s="54" t="str">
        <f>IFERROR(VLOOKUP(VLOOKUP(M102,M102,1,1),Categories!$K$3:$V$18,7+VLOOKUP(J102,J102,1,1)),"-")</f>
        <v>1.0 rev.</v>
      </c>
      <c r="M102" s="55" t="s">
        <v>115</v>
      </c>
      <c r="N102" s="195" t="s">
        <v>0</v>
      </c>
      <c r="O102" s="204" t="s">
        <v>0</v>
      </c>
      <c r="P102" s="187"/>
      <c r="Q102" s="188"/>
      <c r="R102" s="188"/>
      <c r="S102" s="144"/>
      <c r="T102" s="189"/>
      <c r="U102" s="189"/>
      <c r="V102" s="190"/>
      <c r="W102" s="191"/>
      <c r="X102" s="191"/>
      <c r="Y102" s="191"/>
      <c r="Z102" s="191"/>
      <c r="AA102" s="191"/>
      <c r="AB102" s="191"/>
      <c r="AC102" s="191"/>
      <c r="AD102" s="191"/>
      <c r="AE102" s="190"/>
      <c r="AF102" s="192"/>
      <c r="AG102" s="143"/>
      <c r="AH102" s="56"/>
      <c r="AI102" s="56"/>
      <c r="AJ102" s="56"/>
    </row>
    <row r="103" spans="1:36" ht="31.95" customHeight="1" x14ac:dyDescent="0.3">
      <c r="A103" s="12"/>
      <c r="B103" s="122"/>
      <c r="C103" s="49"/>
      <c r="D103" s="49">
        <f>IF(G103=Categories!$E$4,VLOOKUP(F103,Categories!$A$4:$C$13,3,1),VLOOKUP(G103,Categories!$E$4:$G$24,3,1))</f>
        <v>120</v>
      </c>
      <c r="E103" s="44">
        <v>10</v>
      </c>
      <c r="F103" s="50" t="s">
        <v>45</v>
      </c>
      <c r="G103" s="45" t="s">
        <v>0</v>
      </c>
      <c r="H103" s="52"/>
      <c r="I103" s="131">
        <v>2200</v>
      </c>
      <c r="J103" s="53">
        <v>2</v>
      </c>
      <c r="K103" s="54" t="str">
        <f>IFERROR(VLOOKUP(VLOOKUP(M103,M103,1,1),Categories!$K$4:$V$18,2+VLOOKUP(J103,J103,1,1)),"-"  )</f>
        <v>~9</v>
      </c>
      <c r="L103" s="54" t="str">
        <f>IFERROR(VLOOKUP(VLOOKUP(M103,M103,1,1),Categories!$K$3:$V$18,7+VLOOKUP(J103,J103,1,1)),"-")</f>
        <v>1.0 rev.</v>
      </c>
      <c r="M103" s="55" t="s">
        <v>115</v>
      </c>
      <c r="N103" s="195" t="s">
        <v>0</v>
      </c>
      <c r="O103" s="204" t="s">
        <v>0</v>
      </c>
      <c r="P103" s="151"/>
      <c r="Q103" s="144"/>
      <c r="R103" s="144"/>
      <c r="S103" s="144"/>
      <c r="T103" s="147"/>
      <c r="U103" s="147"/>
      <c r="V103" s="148"/>
      <c r="W103" s="149"/>
      <c r="X103" s="149"/>
      <c r="Y103" s="149"/>
      <c r="Z103" s="149"/>
      <c r="AA103" s="149"/>
      <c r="AB103" s="149"/>
      <c r="AC103" s="149"/>
      <c r="AD103" s="149"/>
      <c r="AE103" s="148"/>
      <c r="AF103" s="150"/>
      <c r="AG103" s="143"/>
      <c r="AH103" s="48"/>
      <c r="AI103" s="56"/>
      <c r="AJ103" s="56"/>
    </row>
    <row r="104" spans="1:36" ht="31.95" customHeight="1" x14ac:dyDescent="0.3">
      <c r="A104" s="12"/>
      <c r="B104" s="122"/>
      <c r="C104" s="49"/>
      <c r="D104" s="49">
        <f>IF(G104=Categories!$E$4,VLOOKUP(F104,Categories!$A$4:$C$13,3,1),VLOOKUP(G104,Categories!$E$4:$G$24,3,1))</f>
        <v>60</v>
      </c>
      <c r="E104" s="44">
        <v>10</v>
      </c>
      <c r="F104" s="50" t="s">
        <v>257</v>
      </c>
      <c r="G104" s="51" t="s">
        <v>263</v>
      </c>
      <c r="H104" s="52"/>
      <c r="I104" s="131">
        <v>2200</v>
      </c>
      <c r="J104" s="53">
        <v>3</v>
      </c>
      <c r="K104" s="54" t="str">
        <f>IFERROR(VLOOKUP(VLOOKUP(M104,M104,1,1),Categories!$K$4:$V$18,2+VLOOKUP(J104,J104,1,1)),"-"  )</f>
        <v>~10</v>
      </c>
      <c r="L104" s="54" t="str">
        <f>IFERROR(VLOOKUP(VLOOKUP(M104,M104,1,1),Categories!$K$3:$V$18,7+VLOOKUP(J104,J104,1,1)),"-")</f>
        <v>1.5 rev.</v>
      </c>
      <c r="M104" s="55" t="s">
        <v>115</v>
      </c>
      <c r="N104" s="195" t="s">
        <v>0</v>
      </c>
      <c r="O104" s="204" t="s">
        <v>0</v>
      </c>
      <c r="P104" s="151"/>
      <c r="Q104" s="144"/>
      <c r="R104" s="144"/>
      <c r="S104" s="144"/>
      <c r="T104" s="147"/>
      <c r="U104" s="147"/>
      <c r="V104" s="148"/>
      <c r="W104" s="149"/>
      <c r="X104" s="149"/>
      <c r="Y104" s="149"/>
      <c r="Z104" s="149"/>
      <c r="AA104" s="149"/>
      <c r="AB104" s="149"/>
      <c r="AC104" s="149"/>
      <c r="AD104" s="149"/>
      <c r="AE104" s="148"/>
      <c r="AF104" s="150"/>
      <c r="AG104" s="143"/>
      <c r="AH104" s="48"/>
      <c r="AI104" s="56"/>
      <c r="AJ104" s="56"/>
    </row>
    <row r="105" spans="1:36" ht="31.95" customHeight="1" x14ac:dyDescent="0.3">
      <c r="A105" s="12"/>
      <c r="B105" s="122"/>
      <c r="C105" s="49"/>
      <c r="D105" s="49">
        <f>IF(G105=Categories!$E$4,VLOOKUP(F105,Categories!$A$4:$C$13,3,1),VLOOKUP(G105,Categories!$E$4:$G$24,3,1))</f>
        <v>120</v>
      </c>
      <c r="E105" s="44">
        <v>10</v>
      </c>
      <c r="F105" s="50" t="s">
        <v>45</v>
      </c>
      <c r="G105" s="45" t="s">
        <v>0</v>
      </c>
      <c r="H105" s="52"/>
      <c r="I105" s="131">
        <v>2200</v>
      </c>
      <c r="J105" s="53">
        <v>3</v>
      </c>
      <c r="K105" s="54" t="str">
        <f>IFERROR(VLOOKUP(VLOOKUP(M105,M105,1,1),Categories!$K$4:$V$18,2+VLOOKUP(J105,J105,1,1)),"-"  )</f>
        <v>~10</v>
      </c>
      <c r="L105" s="54" t="str">
        <f>IFERROR(VLOOKUP(VLOOKUP(M105,M105,1,1),Categories!$K$3:$V$18,7+VLOOKUP(J105,J105,1,1)),"-")</f>
        <v>1.5 rev.</v>
      </c>
      <c r="M105" s="55" t="s">
        <v>115</v>
      </c>
      <c r="N105" s="195" t="s">
        <v>0</v>
      </c>
      <c r="O105" s="204" t="s">
        <v>0</v>
      </c>
      <c r="P105" s="151"/>
      <c r="Q105" s="144"/>
      <c r="R105" s="144"/>
      <c r="S105" s="144"/>
      <c r="T105" s="147"/>
      <c r="U105" s="147"/>
      <c r="V105" s="148"/>
      <c r="W105" s="149"/>
      <c r="X105" s="149"/>
      <c r="Y105" s="149"/>
      <c r="Z105" s="149"/>
      <c r="AA105" s="149"/>
      <c r="AB105" s="149"/>
      <c r="AC105" s="149"/>
      <c r="AD105" s="149"/>
      <c r="AE105" s="148"/>
      <c r="AF105" s="150"/>
      <c r="AG105" s="143"/>
      <c r="AH105" s="48"/>
      <c r="AI105" s="56"/>
      <c r="AJ105" s="56"/>
    </row>
    <row r="106" spans="1:36" ht="31.95" customHeight="1" x14ac:dyDescent="0.3">
      <c r="A106" s="12"/>
      <c r="B106" s="122"/>
      <c r="C106" s="49"/>
      <c r="D106" s="49">
        <f>IF(G106=Categories!$E$4,VLOOKUP(F106,Categories!$A$4:$C$13,3,1),VLOOKUP(G106,Categories!$E$4:$G$24,3,1))</f>
        <v>60</v>
      </c>
      <c r="E106" s="44">
        <v>10</v>
      </c>
      <c r="F106" s="50" t="s">
        <v>257</v>
      </c>
      <c r="G106" s="51" t="s">
        <v>263</v>
      </c>
      <c r="H106" s="52"/>
      <c r="I106" s="131">
        <v>2200</v>
      </c>
      <c r="J106" s="53">
        <v>4</v>
      </c>
      <c r="K106" s="54" t="str">
        <f>IFERROR(VLOOKUP(VLOOKUP(M106,M106,1,1),Categories!$K$4:$V$18,2+VLOOKUP(J106,J106,1,1)),"-"  )</f>
        <v>~11</v>
      </c>
      <c r="L106" s="54" t="str">
        <f>IFERROR(VLOOKUP(VLOOKUP(M106,M106,1,1),Categories!$K$3:$V$18,7+VLOOKUP(J106,J106,1,1)),"-")</f>
        <v>2.0 rev.</v>
      </c>
      <c r="M106" s="55" t="s">
        <v>115</v>
      </c>
      <c r="N106" s="195" t="s">
        <v>0</v>
      </c>
      <c r="O106" s="204" t="s">
        <v>0</v>
      </c>
      <c r="P106" s="151"/>
      <c r="Q106" s="144"/>
      <c r="R106" s="144"/>
      <c r="S106" s="144"/>
      <c r="T106" s="147"/>
      <c r="U106" s="147"/>
      <c r="V106" s="148"/>
      <c r="W106" s="149"/>
      <c r="X106" s="149"/>
      <c r="Y106" s="149"/>
      <c r="Z106" s="149"/>
      <c r="AA106" s="149"/>
      <c r="AB106" s="149"/>
      <c r="AC106" s="149"/>
      <c r="AD106" s="149"/>
      <c r="AE106" s="148"/>
      <c r="AF106" s="150"/>
      <c r="AG106" s="143"/>
      <c r="AH106" s="48"/>
      <c r="AI106" s="56"/>
      <c r="AJ106" s="56"/>
    </row>
    <row r="107" spans="1:36" ht="31.95" customHeight="1" x14ac:dyDescent="0.3">
      <c r="A107" s="12"/>
      <c r="B107" s="122"/>
      <c r="C107" s="49"/>
      <c r="D107" s="49">
        <f>IF(G107=Categories!$E$4,VLOOKUP(F107,Categories!$A$4:$C$13,3,1),VLOOKUP(G107,Categories!$E$4:$G$24,3,1))</f>
        <v>120</v>
      </c>
      <c r="E107" s="44">
        <v>10</v>
      </c>
      <c r="F107" s="50" t="s">
        <v>45</v>
      </c>
      <c r="G107" s="45" t="s">
        <v>0</v>
      </c>
      <c r="H107" s="52"/>
      <c r="I107" s="131">
        <v>2200</v>
      </c>
      <c r="J107" s="53">
        <v>4</v>
      </c>
      <c r="K107" s="54" t="str">
        <f>IFERROR(VLOOKUP(VLOOKUP(M107,M107,1,1),Categories!$K$4:$V$18,2+VLOOKUP(J107,J107,1,1)),"-"  )</f>
        <v>~11</v>
      </c>
      <c r="L107" s="54" t="str">
        <f>IFERROR(VLOOKUP(VLOOKUP(M107,M107,1,1),Categories!$K$3:$V$18,7+VLOOKUP(J107,J107,1,1)),"-")</f>
        <v>2.0 rev.</v>
      </c>
      <c r="M107" s="55" t="s">
        <v>115</v>
      </c>
      <c r="N107" s="195" t="s">
        <v>0</v>
      </c>
      <c r="O107" s="204" t="s">
        <v>0</v>
      </c>
      <c r="P107" s="151"/>
      <c r="Q107" s="144"/>
      <c r="R107" s="144"/>
      <c r="S107" s="188"/>
      <c r="T107" s="147"/>
      <c r="U107" s="147"/>
      <c r="V107" s="148"/>
      <c r="W107" s="149"/>
      <c r="X107" s="149"/>
      <c r="Y107" s="149"/>
      <c r="Z107" s="149"/>
      <c r="AA107" s="149"/>
      <c r="AB107" s="149"/>
      <c r="AC107" s="149"/>
      <c r="AD107" s="149"/>
      <c r="AE107" s="148"/>
      <c r="AF107" s="150"/>
      <c r="AG107" s="143"/>
      <c r="AH107" s="48"/>
      <c r="AI107" s="56"/>
      <c r="AJ107" s="56"/>
    </row>
    <row r="108" spans="1:36" ht="31.95" customHeight="1" x14ac:dyDescent="0.3">
      <c r="A108" s="12"/>
      <c r="B108" s="122"/>
      <c r="C108" s="49"/>
      <c r="D108" s="49">
        <f>IF(G108=Categories!$E$4,VLOOKUP(F108,Categories!$A$4:$C$13,3,1),VLOOKUP(G108,Categories!$E$4:$G$24,3,1))</f>
        <v>60</v>
      </c>
      <c r="E108" s="44">
        <v>10</v>
      </c>
      <c r="F108" s="50" t="s">
        <v>257</v>
      </c>
      <c r="G108" s="51" t="s">
        <v>263</v>
      </c>
      <c r="H108" s="52"/>
      <c r="I108" s="131">
        <v>2200</v>
      </c>
      <c r="J108" s="53">
        <v>5</v>
      </c>
      <c r="K108" s="54" t="str">
        <f>IFERROR(VLOOKUP(VLOOKUP(M108,M108,1,1),Categories!$K$4:$V$18,2+VLOOKUP(J108,J108,1,1)),"-"  )</f>
        <v>~12</v>
      </c>
      <c r="L108" s="54" t="str">
        <f>IFERROR(VLOOKUP(VLOOKUP(M108,M108,1,1),Categories!$K$3:$V$18,7+VLOOKUP(J108,J108,1,1)),"-")</f>
        <v>2.5 rev.</v>
      </c>
      <c r="M108" s="55" t="s">
        <v>115</v>
      </c>
      <c r="N108" s="195" t="s">
        <v>0</v>
      </c>
      <c r="O108" s="204" t="s">
        <v>0</v>
      </c>
      <c r="P108" s="151"/>
      <c r="Q108" s="144"/>
      <c r="R108" s="144"/>
      <c r="S108" s="188"/>
      <c r="T108" s="147"/>
      <c r="U108" s="147"/>
      <c r="V108" s="148"/>
      <c r="W108" s="149"/>
      <c r="X108" s="149"/>
      <c r="Y108" s="149"/>
      <c r="Z108" s="149"/>
      <c r="AA108" s="149"/>
      <c r="AB108" s="149"/>
      <c r="AC108" s="149"/>
      <c r="AD108" s="149"/>
      <c r="AE108" s="148"/>
      <c r="AF108" s="150"/>
      <c r="AG108" s="143"/>
      <c r="AH108" s="48"/>
      <c r="AI108" s="56"/>
      <c r="AJ108" s="56"/>
    </row>
    <row r="109" spans="1:36" ht="31.95" customHeight="1" x14ac:dyDescent="0.3">
      <c r="A109" s="12"/>
      <c r="B109" s="122"/>
      <c r="C109" s="49"/>
      <c r="D109" s="49">
        <f>IF(G109=Categories!$E$4,VLOOKUP(F109,Categories!$A$4:$C$13,3,1),VLOOKUP(G109,Categories!$E$4:$G$24,3,1))</f>
        <v>120</v>
      </c>
      <c r="E109" s="44">
        <v>10</v>
      </c>
      <c r="F109" s="50" t="s">
        <v>45</v>
      </c>
      <c r="G109" s="45" t="s">
        <v>0</v>
      </c>
      <c r="H109" s="52"/>
      <c r="I109" s="131">
        <v>2200</v>
      </c>
      <c r="J109" s="53">
        <v>5</v>
      </c>
      <c r="K109" s="54" t="str">
        <f>IFERROR(VLOOKUP(VLOOKUP(M109,M109,1,1),Categories!$K$4:$V$18,2+VLOOKUP(J109,J109,1,1)),"-"  )</f>
        <v>~12</v>
      </c>
      <c r="L109" s="54" t="str">
        <f>IFERROR(VLOOKUP(VLOOKUP(M109,M109,1,1),Categories!$K$3:$V$18,7+VLOOKUP(J109,J109,1,1)),"-")</f>
        <v>2.5 rev.</v>
      </c>
      <c r="M109" s="55" t="s">
        <v>115</v>
      </c>
      <c r="N109" s="195" t="s">
        <v>0</v>
      </c>
      <c r="O109" s="204" t="s">
        <v>0</v>
      </c>
      <c r="P109" s="151"/>
      <c r="Q109" s="144"/>
      <c r="R109" s="144"/>
      <c r="S109" s="144"/>
      <c r="T109" s="147"/>
      <c r="U109" s="147"/>
      <c r="V109" s="148"/>
      <c r="W109" s="149"/>
      <c r="X109" s="149"/>
      <c r="Y109" s="149"/>
      <c r="Z109" s="149"/>
      <c r="AA109" s="149"/>
      <c r="AB109" s="149"/>
      <c r="AC109" s="149"/>
      <c r="AD109" s="149"/>
      <c r="AE109" s="148"/>
      <c r="AF109" s="150"/>
      <c r="AG109" s="143"/>
      <c r="AH109" s="48"/>
      <c r="AI109" s="56"/>
      <c r="AJ109" s="56"/>
    </row>
    <row r="110" spans="1:36" ht="31.95" customHeight="1" x14ac:dyDescent="0.3">
      <c r="A110" s="12"/>
      <c r="B110" s="122"/>
      <c r="C110" s="49"/>
      <c r="D110" s="49">
        <f>IF(G110=Categories!$E$4,VLOOKUP(F110,Categories!$A$4:$C$13,3,1),VLOOKUP(G110,Categories!$E$4:$G$24,3,1))</f>
        <v>60</v>
      </c>
      <c r="E110" s="44">
        <v>10</v>
      </c>
      <c r="F110" s="50" t="s">
        <v>257</v>
      </c>
      <c r="G110" s="51" t="s">
        <v>264</v>
      </c>
      <c r="H110" s="52"/>
      <c r="I110" s="131">
        <v>2200</v>
      </c>
      <c r="J110" s="53">
        <v>1</v>
      </c>
      <c r="K110" s="54">
        <f>IFERROR(VLOOKUP(VLOOKUP(M110,M110,1,1),Categories!$K$4:$V$18,2+VLOOKUP(J110,J110,1,1)),"-"  )</f>
        <v>2.33</v>
      </c>
      <c r="L110" s="54" t="str">
        <f>IFERROR(VLOOKUP(VLOOKUP(M110,M110,1,1),Categories!$K$3:$V$18,7+VLOOKUP(J110,J110,1,1)),"-")</f>
        <v>0 rev.</v>
      </c>
      <c r="M110" s="55" t="s">
        <v>115</v>
      </c>
      <c r="N110" s="195" t="s">
        <v>0</v>
      </c>
      <c r="O110" s="204" t="s">
        <v>0</v>
      </c>
      <c r="P110" s="151"/>
      <c r="Q110" s="144"/>
      <c r="R110" s="144"/>
      <c r="S110" s="144"/>
      <c r="T110" s="147"/>
      <c r="U110" s="147"/>
      <c r="V110" s="148"/>
      <c r="W110" s="149"/>
      <c r="X110" s="149"/>
      <c r="Y110" s="149"/>
      <c r="Z110" s="149"/>
      <c r="AA110" s="149"/>
      <c r="AB110" s="149"/>
      <c r="AC110" s="149"/>
      <c r="AD110" s="149"/>
      <c r="AE110" s="148"/>
      <c r="AF110" s="150"/>
      <c r="AG110" s="143"/>
      <c r="AH110" s="48"/>
      <c r="AI110" s="56"/>
      <c r="AJ110" s="56"/>
    </row>
    <row r="111" spans="1:36" ht="31.95" customHeight="1" x14ac:dyDescent="0.3">
      <c r="A111" s="12"/>
      <c r="B111" s="122"/>
      <c r="C111" s="49"/>
      <c r="D111" s="49">
        <f>IF(G111=Categories!$E$4,VLOOKUP(F111,Categories!$A$4:$C$13,3,1),VLOOKUP(G111,Categories!$E$4:$G$24,3,1))</f>
        <v>120</v>
      </c>
      <c r="E111" s="44">
        <v>10</v>
      </c>
      <c r="F111" s="50" t="s">
        <v>261</v>
      </c>
      <c r="G111" s="45" t="s">
        <v>0</v>
      </c>
      <c r="H111" s="52"/>
      <c r="I111" s="131">
        <v>2200</v>
      </c>
      <c r="J111" s="53">
        <v>1</v>
      </c>
      <c r="K111" s="54">
        <f>IFERROR(VLOOKUP(VLOOKUP(M111,M111,1,1),Categories!$K$4:$V$18,2+VLOOKUP(J111,J111,1,1)),"-"  )</f>
        <v>2.33</v>
      </c>
      <c r="L111" s="54" t="str">
        <f>IFERROR(VLOOKUP(VLOOKUP(M111,M111,1,1),Categories!$K$3:$V$18,7+VLOOKUP(J111,J111,1,1)),"-")</f>
        <v>0 rev.</v>
      </c>
      <c r="M111" s="55" t="s">
        <v>115</v>
      </c>
      <c r="N111" s="195" t="s">
        <v>0</v>
      </c>
      <c r="O111" s="204" t="s">
        <v>0</v>
      </c>
      <c r="P111" s="151"/>
      <c r="Q111" s="144"/>
      <c r="R111" s="144"/>
      <c r="S111" s="144"/>
      <c r="T111" s="147"/>
      <c r="U111" s="147"/>
      <c r="V111" s="148"/>
      <c r="W111" s="149"/>
      <c r="X111" s="149"/>
      <c r="Y111" s="149"/>
      <c r="Z111" s="149"/>
      <c r="AA111" s="149"/>
      <c r="AB111" s="149"/>
      <c r="AC111" s="149"/>
      <c r="AD111" s="149"/>
      <c r="AE111" s="148"/>
      <c r="AF111" s="150"/>
      <c r="AG111" s="143"/>
      <c r="AH111" s="48"/>
      <c r="AI111" s="56"/>
      <c r="AJ111" s="56"/>
    </row>
    <row r="112" spans="1:36" ht="31.95" customHeight="1" x14ac:dyDescent="0.3">
      <c r="A112" s="12"/>
      <c r="B112" s="205"/>
      <c r="C112" s="49"/>
      <c r="D112" s="49">
        <f>IF(G112=Categories!$E$4,VLOOKUP(F112,Categories!$A$4:$C$13,3,1),VLOOKUP(G112,Categories!$E$4:$G$24,3,1))</f>
        <v>30</v>
      </c>
      <c r="E112" s="44" t="s">
        <v>0</v>
      </c>
      <c r="F112" s="50" t="s">
        <v>3</v>
      </c>
      <c r="G112" s="51" t="s">
        <v>2</v>
      </c>
      <c r="H112" s="52"/>
      <c r="I112" s="131">
        <v>2500</v>
      </c>
      <c r="J112" s="53">
        <v>1</v>
      </c>
      <c r="K112" s="54">
        <f>IFERROR(VLOOKUP(VLOOKUP(M112,M112,1,1),Categories!$K$4:$V$18,2+VLOOKUP(J112,J112,1,1)),"-"  )</f>
        <v>2.33</v>
      </c>
      <c r="L112" s="54" t="str">
        <f>IFERROR(VLOOKUP(VLOOKUP(M112,M112,1,1),Categories!$K$3:$V$18,7+VLOOKUP(J112,J112,1,1)),"-")</f>
        <v>0 rev.</v>
      </c>
      <c r="M112" s="55" t="s">
        <v>115</v>
      </c>
      <c r="N112" s="195" t="s">
        <v>0</v>
      </c>
      <c r="O112" s="204" t="s">
        <v>0</v>
      </c>
      <c r="P112" s="151"/>
      <c r="Q112" s="144"/>
      <c r="R112" s="144"/>
      <c r="S112" s="144"/>
      <c r="T112" s="147"/>
      <c r="U112" s="147"/>
      <c r="V112" s="148"/>
      <c r="W112" s="149"/>
      <c r="X112" s="149"/>
      <c r="Y112" s="149"/>
      <c r="Z112" s="149"/>
      <c r="AA112" s="149"/>
      <c r="AB112" s="149"/>
      <c r="AC112" s="149"/>
      <c r="AD112" s="149"/>
      <c r="AE112" s="148"/>
      <c r="AF112" s="150"/>
      <c r="AG112" s="143"/>
      <c r="AH112" s="48"/>
      <c r="AI112" s="56"/>
      <c r="AJ112" s="56"/>
    </row>
    <row r="113" spans="1:36" ht="31.95" customHeight="1" x14ac:dyDescent="0.3">
      <c r="A113" s="185"/>
      <c r="B113" s="206"/>
      <c r="C113" s="49"/>
      <c r="D113" s="49">
        <f>IF(G113=Categories!$E$4,VLOOKUP(F113,Categories!$A$4:$C$13,3,1),VLOOKUP(G113,Categories!$E$4:$G$24,3,1))</f>
        <v>120</v>
      </c>
      <c r="E113" s="44">
        <v>11</v>
      </c>
      <c r="F113" s="50" t="s">
        <v>45</v>
      </c>
      <c r="G113" s="51" t="s">
        <v>0</v>
      </c>
      <c r="H113" s="52"/>
      <c r="I113" s="131">
        <v>2500</v>
      </c>
      <c r="J113" s="53">
        <v>1</v>
      </c>
      <c r="K113" s="54">
        <f>IFERROR(VLOOKUP(VLOOKUP(M113,M113,1,1),Categories!$K$4:$V$18,2+VLOOKUP(J113,J113,1,1)),"-"  )</f>
        <v>2.33</v>
      </c>
      <c r="L113" s="54" t="str">
        <f>IFERROR(VLOOKUP(VLOOKUP(M113,M113,1,1),Categories!$K$3:$V$18,7+VLOOKUP(J113,J113,1,1)),"-")</f>
        <v>0 rev.</v>
      </c>
      <c r="M113" s="55" t="s">
        <v>115</v>
      </c>
      <c r="N113" s="195" t="s">
        <v>0</v>
      </c>
      <c r="O113" s="204" t="s">
        <v>0</v>
      </c>
      <c r="P113" s="187"/>
      <c r="Q113" s="188"/>
      <c r="R113" s="188"/>
      <c r="S113" s="144"/>
      <c r="T113" s="189"/>
      <c r="U113" s="189"/>
      <c r="V113" s="190"/>
      <c r="W113" s="191"/>
      <c r="X113" s="191"/>
      <c r="Y113" s="191"/>
      <c r="Z113" s="191"/>
      <c r="AA113" s="191"/>
      <c r="AB113" s="191"/>
      <c r="AC113" s="191"/>
      <c r="AD113" s="191"/>
      <c r="AE113" s="190"/>
      <c r="AF113" s="192"/>
      <c r="AG113" s="143"/>
      <c r="AH113" s="56"/>
      <c r="AI113" s="56"/>
      <c r="AJ113" s="56"/>
    </row>
    <row r="114" spans="1:36" ht="31.95" customHeight="1" x14ac:dyDescent="0.3">
      <c r="A114" s="185"/>
      <c r="B114" s="186"/>
      <c r="C114" s="49"/>
      <c r="D114" s="49">
        <f>IF(G114=Categories!$E$4,VLOOKUP(F114,Categories!$A$4:$C$13,3,1),VLOOKUP(G114,Categories!$E$4:$G$24,3,1))</f>
        <v>60</v>
      </c>
      <c r="E114" s="44">
        <v>11</v>
      </c>
      <c r="F114" s="50" t="s">
        <v>257</v>
      </c>
      <c r="G114" s="51" t="s">
        <v>263</v>
      </c>
      <c r="H114" s="52"/>
      <c r="I114" s="131">
        <v>2500</v>
      </c>
      <c r="J114" s="53">
        <v>2</v>
      </c>
      <c r="K114" s="54" t="str">
        <f>IFERROR(VLOOKUP(VLOOKUP(M114,M114,1,1),Categories!$K$4:$V$18,2+VLOOKUP(J114,J114,1,1)),"-"  )</f>
        <v>~9</v>
      </c>
      <c r="L114" s="54" t="str">
        <f>IFERROR(VLOOKUP(VLOOKUP(M114,M114,1,1),Categories!$K$3:$V$18,7+VLOOKUP(J114,J114,1,1)),"-")</f>
        <v>1.0 rev.</v>
      </c>
      <c r="M114" s="55" t="s">
        <v>115</v>
      </c>
      <c r="N114" s="195" t="s">
        <v>0</v>
      </c>
      <c r="O114" s="204" t="s">
        <v>0</v>
      </c>
      <c r="P114" s="187"/>
      <c r="Q114" s="188"/>
      <c r="R114" s="188"/>
      <c r="S114" s="144"/>
      <c r="T114" s="189"/>
      <c r="U114" s="189"/>
      <c r="V114" s="190"/>
      <c r="W114" s="191"/>
      <c r="X114" s="191"/>
      <c r="Y114" s="191"/>
      <c r="Z114" s="191"/>
      <c r="AA114" s="191"/>
      <c r="AB114" s="191"/>
      <c r="AC114" s="191"/>
      <c r="AD114" s="191"/>
      <c r="AE114" s="190"/>
      <c r="AF114" s="192"/>
      <c r="AG114" s="143"/>
      <c r="AH114" s="56"/>
      <c r="AI114" s="56"/>
      <c r="AJ114" s="56"/>
    </row>
    <row r="115" spans="1:36" ht="31.95" customHeight="1" x14ac:dyDescent="0.3">
      <c r="A115" s="12"/>
      <c r="B115" s="122"/>
      <c r="C115" s="49"/>
      <c r="D115" s="49">
        <f>IF(G115=Categories!$E$4,VLOOKUP(F115,Categories!$A$4:$C$13,3,1),VLOOKUP(G115,Categories!$E$4:$G$24,3,1))</f>
        <v>120</v>
      </c>
      <c r="E115" s="44">
        <v>11</v>
      </c>
      <c r="F115" s="50" t="s">
        <v>45</v>
      </c>
      <c r="G115" s="45" t="s">
        <v>0</v>
      </c>
      <c r="H115" s="52"/>
      <c r="I115" s="131">
        <v>2500</v>
      </c>
      <c r="J115" s="53">
        <v>2</v>
      </c>
      <c r="K115" s="54" t="str">
        <f>IFERROR(VLOOKUP(VLOOKUP(M115,M115,1,1),Categories!$K$4:$V$18,2+VLOOKUP(J115,J115,1,1)),"-"  )</f>
        <v>~9</v>
      </c>
      <c r="L115" s="54" t="str">
        <f>IFERROR(VLOOKUP(VLOOKUP(M115,M115,1,1),Categories!$K$3:$V$18,7+VLOOKUP(J115,J115,1,1)),"-")</f>
        <v>1.0 rev.</v>
      </c>
      <c r="M115" s="55" t="s">
        <v>115</v>
      </c>
      <c r="N115" s="195" t="s">
        <v>0</v>
      </c>
      <c r="O115" s="204" t="s">
        <v>0</v>
      </c>
      <c r="P115" s="151"/>
      <c r="Q115" s="144"/>
      <c r="R115" s="144"/>
      <c r="S115" s="144"/>
      <c r="T115" s="147"/>
      <c r="U115" s="147"/>
      <c r="V115" s="148"/>
      <c r="W115" s="149"/>
      <c r="X115" s="149"/>
      <c r="Y115" s="149"/>
      <c r="Z115" s="149"/>
      <c r="AA115" s="149"/>
      <c r="AB115" s="149"/>
      <c r="AC115" s="149"/>
      <c r="AD115" s="149"/>
      <c r="AE115" s="148"/>
      <c r="AF115" s="150"/>
      <c r="AG115" s="143"/>
      <c r="AH115" s="48"/>
      <c r="AI115" s="56"/>
      <c r="AJ115" s="56"/>
    </row>
    <row r="116" spans="1:36" ht="31.95" customHeight="1" x14ac:dyDescent="0.3">
      <c r="A116" s="12"/>
      <c r="B116" s="122"/>
      <c r="C116" s="49"/>
      <c r="D116" s="49">
        <f>IF(G116=Categories!$E$4,VLOOKUP(F116,Categories!$A$4:$C$13,3,1),VLOOKUP(G116,Categories!$E$4:$G$24,3,1))</f>
        <v>60</v>
      </c>
      <c r="E116" s="44">
        <v>11</v>
      </c>
      <c r="F116" s="50" t="s">
        <v>257</v>
      </c>
      <c r="G116" s="51" t="s">
        <v>263</v>
      </c>
      <c r="H116" s="52"/>
      <c r="I116" s="131">
        <v>2500</v>
      </c>
      <c r="J116" s="53">
        <v>3</v>
      </c>
      <c r="K116" s="54" t="str">
        <f>IFERROR(VLOOKUP(VLOOKUP(M116,M116,1,1),Categories!$K$4:$V$18,2+VLOOKUP(J116,J116,1,1)),"-"  )</f>
        <v>~10</v>
      </c>
      <c r="L116" s="54" t="str">
        <f>IFERROR(VLOOKUP(VLOOKUP(M116,M116,1,1),Categories!$K$3:$V$18,7+VLOOKUP(J116,J116,1,1)),"-")</f>
        <v>1.5 rev.</v>
      </c>
      <c r="M116" s="55" t="s">
        <v>115</v>
      </c>
      <c r="N116" s="195" t="s">
        <v>0</v>
      </c>
      <c r="O116" s="204" t="s">
        <v>0</v>
      </c>
      <c r="P116" s="151"/>
      <c r="Q116" s="144"/>
      <c r="R116" s="144"/>
      <c r="S116" s="144"/>
      <c r="T116" s="147"/>
      <c r="U116" s="147"/>
      <c r="V116" s="148"/>
      <c r="W116" s="149"/>
      <c r="X116" s="149"/>
      <c r="Y116" s="149"/>
      <c r="Z116" s="149"/>
      <c r="AA116" s="149"/>
      <c r="AB116" s="149"/>
      <c r="AC116" s="149"/>
      <c r="AD116" s="149"/>
      <c r="AE116" s="148"/>
      <c r="AF116" s="150"/>
      <c r="AG116" s="143"/>
      <c r="AH116" s="48"/>
      <c r="AI116" s="56"/>
      <c r="AJ116" s="56"/>
    </row>
    <row r="117" spans="1:36" ht="31.95" customHeight="1" x14ac:dyDescent="0.3">
      <c r="A117" s="12"/>
      <c r="B117" s="122"/>
      <c r="C117" s="49"/>
      <c r="D117" s="49">
        <f>IF(G117=Categories!$E$4,VLOOKUP(F117,Categories!$A$4:$C$13,3,1),VLOOKUP(G117,Categories!$E$4:$G$24,3,1))</f>
        <v>120</v>
      </c>
      <c r="E117" s="44">
        <v>11</v>
      </c>
      <c r="F117" s="50" t="s">
        <v>45</v>
      </c>
      <c r="G117" s="45" t="s">
        <v>0</v>
      </c>
      <c r="H117" s="52"/>
      <c r="I117" s="131">
        <v>2500</v>
      </c>
      <c r="J117" s="53">
        <v>3</v>
      </c>
      <c r="K117" s="54" t="str">
        <f>IFERROR(VLOOKUP(VLOOKUP(M117,M117,1,1),Categories!$K$4:$V$18,2+VLOOKUP(J117,J117,1,1)),"-"  )</f>
        <v>~10</v>
      </c>
      <c r="L117" s="54" t="str">
        <f>IFERROR(VLOOKUP(VLOOKUP(M117,M117,1,1),Categories!$K$3:$V$18,7+VLOOKUP(J117,J117,1,1)),"-")</f>
        <v>1.5 rev.</v>
      </c>
      <c r="M117" s="55" t="s">
        <v>115</v>
      </c>
      <c r="N117" s="195" t="s">
        <v>0</v>
      </c>
      <c r="O117" s="204" t="s">
        <v>0</v>
      </c>
      <c r="P117" s="151"/>
      <c r="Q117" s="144"/>
      <c r="R117" s="144"/>
      <c r="S117" s="144"/>
      <c r="T117" s="147"/>
      <c r="U117" s="147"/>
      <c r="V117" s="148"/>
      <c r="W117" s="149"/>
      <c r="X117" s="149"/>
      <c r="Y117" s="149"/>
      <c r="Z117" s="149"/>
      <c r="AA117" s="149"/>
      <c r="AB117" s="149"/>
      <c r="AC117" s="149"/>
      <c r="AD117" s="149"/>
      <c r="AE117" s="148"/>
      <c r="AF117" s="150"/>
      <c r="AG117" s="143"/>
      <c r="AH117" s="48"/>
      <c r="AI117" s="56"/>
      <c r="AJ117" s="56"/>
    </row>
    <row r="118" spans="1:36" ht="31.95" customHeight="1" x14ac:dyDescent="0.3">
      <c r="A118" s="12"/>
      <c r="B118" s="122"/>
      <c r="C118" s="49"/>
      <c r="D118" s="49">
        <f>IF(G118=Categories!$E$4,VLOOKUP(F118,Categories!$A$4:$C$13,3,1),VLOOKUP(G118,Categories!$E$4:$G$24,3,1))</f>
        <v>60</v>
      </c>
      <c r="E118" s="44">
        <v>11</v>
      </c>
      <c r="F118" s="50" t="s">
        <v>257</v>
      </c>
      <c r="G118" s="51" t="s">
        <v>263</v>
      </c>
      <c r="H118" s="52"/>
      <c r="I118" s="131">
        <v>2500</v>
      </c>
      <c r="J118" s="53">
        <v>4</v>
      </c>
      <c r="K118" s="54" t="str">
        <f>IFERROR(VLOOKUP(VLOOKUP(M118,M118,1,1),Categories!$K$4:$V$18,2+VLOOKUP(J118,J118,1,1)),"-"  )</f>
        <v>~11</v>
      </c>
      <c r="L118" s="54" t="str">
        <f>IFERROR(VLOOKUP(VLOOKUP(M118,M118,1,1),Categories!$K$3:$V$18,7+VLOOKUP(J118,J118,1,1)),"-")</f>
        <v>2.0 rev.</v>
      </c>
      <c r="M118" s="55" t="s">
        <v>115</v>
      </c>
      <c r="N118" s="195" t="s">
        <v>0</v>
      </c>
      <c r="O118" s="204" t="s">
        <v>0</v>
      </c>
      <c r="P118" s="151"/>
      <c r="Q118" s="144"/>
      <c r="R118" s="144"/>
      <c r="S118" s="144"/>
      <c r="T118" s="147"/>
      <c r="U118" s="147"/>
      <c r="V118" s="148"/>
      <c r="W118" s="149"/>
      <c r="X118" s="149"/>
      <c r="Y118" s="149"/>
      <c r="Z118" s="149"/>
      <c r="AA118" s="149"/>
      <c r="AB118" s="149"/>
      <c r="AC118" s="149"/>
      <c r="AD118" s="149"/>
      <c r="AE118" s="148"/>
      <c r="AF118" s="150"/>
      <c r="AG118" s="143"/>
      <c r="AH118" s="48"/>
      <c r="AI118" s="56"/>
      <c r="AJ118" s="56"/>
    </row>
    <row r="119" spans="1:36" ht="31.95" customHeight="1" x14ac:dyDescent="0.3">
      <c r="A119" s="12"/>
      <c r="B119" s="122"/>
      <c r="C119" s="49"/>
      <c r="D119" s="49">
        <f>IF(G119=Categories!$E$4,VLOOKUP(F119,Categories!$A$4:$C$13,3,1),VLOOKUP(G119,Categories!$E$4:$G$24,3,1))</f>
        <v>120</v>
      </c>
      <c r="E119" s="44">
        <v>11</v>
      </c>
      <c r="F119" s="50" t="s">
        <v>45</v>
      </c>
      <c r="G119" s="45" t="s">
        <v>0</v>
      </c>
      <c r="H119" s="52"/>
      <c r="I119" s="131">
        <v>2500</v>
      </c>
      <c r="J119" s="53">
        <v>4</v>
      </c>
      <c r="K119" s="54" t="str">
        <f>IFERROR(VLOOKUP(VLOOKUP(M119,M119,1,1),Categories!$K$4:$V$18,2+VLOOKUP(J119,J119,1,1)),"-"  )</f>
        <v>~11</v>
      </c>
      <c r="L119" s="54" t="str">
        <f>IFERROR(VLOOKUP(VLOOKUP(M119,M119,1,1),Categories!$K$3:$V$18,7+VLOOKUP(J119,J119,1,1)),"-")</f>
        <v>2.0 rev.</v>
      </c>
      <c r="M119" s="55" t="s">
        <v>115</v>
      </c>
      <c r="N119" s="195" t="s">
        <v>0</v>
      </c>
      <c r="O119" s="204" t="s">
        <v>0</v>
      </c>
      <c r="P119" s="151"/>
      <c r="Q119" s="144"/>
      <c r="R119" s="144"/>
      <c r="S119" s="188"/>
      <c r="T119" s="147"/>
      <c r="U119" s="147"/>
      <c r="V119" s="148"/>
      <c r="W119" s="149"/>
      <c r="X119" s="149"/>
      <c r="Y119" s="149"/>
      <c r="Z119" s="149"/>
      <c r="AA119" s="149"/>
      <c r="AB119" s="149"/>
      <c r="AC119" s="149"/>
      <c r="AD119" s="149"/>
      <c r="AE119" s="148"/>
      <c r="AF119" s="150"/>
      <c r="AG119" s="143"/>
      <c r="AH119" s="48"/>
      <c r="AI119" s="56"/>
      <c r="AJ119" s="56"/>
    </row>
    <row r="120" spans="1:36" ht="31.95" customHeight="1" x14ac:dyDescent="0.3">
      <c r="A120" s="12"/>
      <c r="B120" s="122"/>
      <c r="C120" s="49"/>
      <c r="D120" s="49">
        <f>IF(G120=Categories!$E$4,VLOOKUP(F120,Categories!$A$4:$C$13,3,1),VLOOKUP(G120,Categories!$E$4:$G$24,3,1))</f>
        <v>60</v>
      </c>
      <c r="E120" s="44">
        <v>11</v>
      </c>
      <c r="F120" s="50" t="s">
        <v>257</v>
      </c>
      <c r="G120" s="51" t="s">
        <v>263</v>
      </c>
      <c r="H120" s="52"/>
      <c r="I120" s="131">
        <v>2500</v>
      </c>
      <c r="J120" s="53">
        <v>5</v>
      </c>
      <c r="K120" s="54" t="str">
        <f>IFERROR(VLOOKUP(VLOOKUP(M120,M120,1,1),Categories!$K$4:$V$18,2+VLOOKUP(J120,J120,1,1)),"-"  )</f>
        <v>~12</v>
      </c>
      <c r="L120" s="54" t="str">
        <f>IFERROR(VLOOKUP(VLOOKUP(M120,M120,1,1),Categories!$K$3:$V$18,7+VLOOKUP(J120,J120,1,1)),"-")</f>
        <v>2.5 rev.</v>
      </c>
      <c r="M120" s="55" t="s">
        <v>115</v>
      </c>
      <c r="N120" s="195" t="s">
        <v>0</v>
      </c>
      <c r="O120" s="204" t="s">
        <v>0</v>
      </c>
      <c r="P120" s="151"/>
      <c r="Q120" s="144"/>
      <c r="R120" s="144"/>
      <c r="S120" s="188"/>
      <c r="T120" s="147"/>
      <c r="U120" s="147"/>
      <c r="V120" s="148"/>
      <c r="W120" s="149"/>
      <c r="X120" s="149"/>
      <c r="Y120" s="149"/>
      <c r="Z120" s="149"/>
      <c r="AA120" s="149"/>
      <c r="AB120" s="149"/>
      <c r="AC120" s="149"/>
      <c r="AD120" s="149"/>
      <c r="AE120" s="148"/>
      <c r="AF120" s="150"/>
      <c r="AG120" s="143"/>
      <c r="AH120" s="48"/>
      <c r="AI120" s="56"/>
      <c r="AJ120" s="56"/>
    </row>
    <row r="121" spans="1:36" ht="31.95" customHeight="1" x14ac:dyDescent="0.3">
      <c r="A121" s="12"/>
      <c r="B121" s="122"/>
      <c r="C121" s="49"/>
      <c r="D121" s="49">
        <f>IF(G121=Categories!$E$4,VLOOKUP(F121,Categories!$A$4:$C$13,3,1),VLOOKUP(G121,Categories!$E$4:$G$24,3,1))</f>
        <v>120</v>
      </c>
      <c r="E121" s="44">
        <v>11</v>
      </c>
      <c r="F121" s="50" t="s">
        <v>45</v>
      </c>
      <c r="G121" s="45" t="s">
        <v>0</v>
      </c>
      <c r="H121" s="52"/>
      <c r="I121" s="131">
        <v>2500</v>
      </c>
      <c r="J121" s="53">
        <v>5</v>
      </c>
      <c r="K121" s="54" t="str">
        <f>IFERROR(VLOOKUP(VLOOKUP(M121,M121,1,1),Categories!$K$4:$V$18,2+VLOOKUP(J121,J121,1,1)),"-"  )</f>
        <v>~12</v>
      </c>
      <c r="L121" s="54" t="str">
        <f>IFERROR(VLOOKUP(VLOOKUP(M121,M121,1,1),Categories!$K$3:$V$18,7+VLOOKUP(J121,J121,1,1)),"-")</f>
        <v>2.5 rev.</v>
      </c>
      <c r="M121" s="55" t="s">
        <v>115</v>
      </c>
      <c r="N121" s="195" t="s">
        <v>0</v>
      </c>
      <c r="O121" s="204" t="s">
        <v>0</v>
      </c>
      <c r="P121" s="151"/>
      <c r="Q121" s="144"/>
      <c r="R121" s="144"/>
      <c r="S121" s="144"/>
      <c r="T121" s="147"/>
      <c r="U121" s="147"/>
      <c r="V121" s="148"/>
      <c r="W121" s="149"/>
      <c r="X121" s="149"/>
      <c r="Y121" s="149"/>
      <c r="Z121" s="149"/>
      <c r="AA121" s="149"/>
      <c r="AB121" s="149"/>
      <c r="AC121" s="149"/>
      <c r="AD121" s="149"/>
      <c r="AE121" s="148"/>
      <c r="AF121" s="150"/>
      <c r="AG121" s="143"/>
      <c r="AH121" s="48"/>
      <c r="AI121" s="56"/>
      <c r="AJ121" s="56"/>
    </row>
    <row r="122" spans="1:36" ht="31.95" customHeight="1" x14ac:dyDescent="0.3">
      <c r="A122" s="12"/>
      <c r="B122" s="122"/>
      <c r="C122" s="49"/>
      <c r="D122" s="49">
        <f>IF(G122=Categories!$E$4,VLOOKUP(F122,Categories!$A$4:$C$13,3,1),VLOOKUP(G122,Categories!$E$4:$G$24,3,1))</f>
        <v>60</v>
      </c>
      <c r="E122" s="44">
        <v>11</v>
      </c>
      <c r="F122" s="50" t="s">
        <v>257</v>
      </c>
      <c r="G122" s="51" t="s">
        <v>264</v>
      </c>
      <c r="H122" s="52"/>
      <c r="I122" s="131">
        <v>2500</v>
      </c>
      <c r="J122" s="53">
        <v>1</v>
      </c>
      <c r="K122" s="54">
        <f>IFERROR(VLOOKUP(VLOOKUP(M122,M122,1,1),Categories!$K$4:$V$18,2+VLOOKUP(J122,J122,1,1)),"-"  )</f>
        <v>2.33</v>
      </c>
      <c r="L122" s="54" t="str">
        <f>IFERROR(VLOOKUP(VLOOKUP(M122,M122,1,1),Categories!$K$3:$V$18,7+VLOOKUP(J122,J122,1,1)),"-")</f>
        <v>0 rev.</v>
      </c>
      <c r="M122" s="55" t="s">
        <v>115</v>
      </c>
      <c r="N122" s="195" t="s">
        <v>0</v>
      </c>
      <c r="O122" s="204" t="s">
        <v>0</v>
      </c>
      <c r="P122" s="151"/>
      <c r="Q122" s="144"/>
      <c r="R122" s="144"/>
      <c r="S122" s="144"/>
      <c r="T122" s="147"/>
      <c r="U122" s="147"/>
      <c r="V122" s="148"/>
      <c r="W122" s="149"/>
      <c r="X122" s="149"/>
      <c r="Y122" s="149"/>
      <c r="Z122" s="149"/>
      <c r="AA122" s="149"/>
      <c r="AB122" s="149"/>
      <c r="AC122" s="149"/>
      <c r="AD122" s="149"/>
      <c r="AE122" s="148"/>
      <c r="AF122" s="150"/>
      <c r="AG122" s="143"/>
      <c r="AH122" s="48"/>
      <c r="AI122" s="56"/>
      <c r="AJ122" s="56"/>
    </row>
    <row r="123" spans="1:36" ht="31.95" customHeight="1" x14ac:dyDescent="0.3">
      <c r="A123" s="12"/>
      <c r="B123" s="205"/>
      <c r="C123" s="49"/>
      <c r="D123" s="49">
        <f>IF(G123=Categories!$E$4,VLOOKUP(F123,Categories!$A$4:$C$13,3,1),VLOOKUP(G123,Categories!$E$4:$G$24,3,1))</f>
        <v>120</v>
      </c>
      <c r="E123" s="44">
        <v>11</v>
      </c>
      <c r="F123" s="50" t="s">
        <v>261</v>
      </c>
      <c r="G123" s="45" t="s">
        <v>0</v>
      </c>
      <c r="H123" s="52"/>
      <c r="I123" s="131">
        <v>2500</v>
      </c>
      <c r="J123" s="53">
        <v>1</v>
      </c>
      <c r="K123" s="54">
        <f>IFERROR(VLOOKUP(VLOOKUP(M123,M123,1,1),Categories!$K$4:$V$18,2+VLOOKUP(J123,J123,1,1)),"-"  )</f>
        <v>2.33</v>
      </c>
      <c r="L123" s="54" t="str">
        <f>IFERROR(VLOOKUP(VLOOKUP(M123,M123,1,1),Categories!$K$3:$V$18,7+VLOOKUP(J123,J123,1,1)),"-")</f>
        <v>0 rev.</v>
      </c>
      <c r="M123" s="55" t="s">
        <v>115</v>
      </c>
      <c r="N123" s="195" t="s">
        <v>0</v>
      </c>
      <c r="O123" s="204" t="s">
        <v>0</v>
      </c>
      <c r="P123" s="151"/>
      <c r="Q123" s="144"/>
      <c r="R123" s="144"/>
      <c r="S123" s="144"/>
      <c r="T123" s="147"/>
      <c r="U123" s="147"/>
      <c r="V123" s="148"/>
      <c r="W123" s="149"/>
      <c r="X123" s="149"/>
      <c r="Y123" s="149"/>
      <c r="Z123" s="149"/>
      <c r="AA123" s="149"/>
      <c r="AB123" s="149"/>
      <c r="AC123" s="149"/>
      <c r="AD123" s="149"/>
      <c r="AE123" s="148"/>
      <c r="AF123" s="150"/>
      <c r="AG123" s="143"/>
      <c r="AH123" s="48"/>
      <c r="AI123" s="56"/>
      <c r="AJ123" s="56"/>
    </row>
    <row r="124" spans="1:36" ht="31.95" customHeight="1" x14ac:dyDescent="0.3">
      <c r="A124" s="12"/>
      <c r="B124" s="122"/>
      <c r="C124" s="49"/>
      <c r="D124" s="49">
        <f>IF(G124=Categories!$E$4,VLOOKUP(F124,Categories!$A$4:$C$13,3,1),VLOOKUP(G124,Categories!$E$4:$G$24,3,1))</f>
        <v>30</v>
      </c>
      <c r="E124" s="44" t="s">
        <v>0</v>
      </c>
      <c r="F124" s="50" t="s">
        <v>257</v>
      </c>
      <c r="G124" s="51" t="s">
        <v>2</v>
      </c>
      <c r="H124" s="52"/>
      <c r="I124" s="131">
        <v>2800</v>
      </c>
      <c r="J124" s="53">
        <v>1</v>
      </c>
      <c r="K124" s="54">
        <f>IFERROR(VLOOKUP(VLOOKUP(M124,M124,1,1),Categories!$K$4:$V$18,2+VLOOKUP(J124,J124,1,1)),"-"  )</f>
        <v>2.33</v>
      </c>
      <c r="L124" s="54" t="str">
        <f>IFERROR(VLOOKUP(VLOOKUP(M124,M124,1,1),Categories!$K$3:$V$18,7+VLOOKUP(J124,J124,1,1)),"-")</f>
        <v>0 rev.</v>
      </c>
      <c r="M124" s="55" t="s">
        <v>115</v>
      </c>
      <c r="N124" s="195" t="s">
        <v>0</v>
      </c>
      <c r="O124" s="204" t="s">
        <v>0</v>
      </c>
      <c r="P124" s="151"/>
      <c r="Q124" s="144"/>
      <c r="R124" s="144"/>
      <c r="S124" s="144"/>
      <c r="T124" s="147"/>
      <c r="U124" s="147"/>
      <c r="V124" s="148"/>
      <c r="W124" s="149"/>
      <c r="X124" s="149"/>
      <c r="Y124" s="149"/>
      <c r="Z124" s="149"/>
      <c r="AA124" s="149"/>
      <c r="AB124" s="149"/>
      <c r="AC124" s="149"/>
      <c r="AD124" s="149"/>
      <c r="AE124" s="148"/>
      <c r="AF124" s="150"/>
      <c r="AG124" s="143" t="s">
        <v>267</v>
      </c>
      <c r="AH124" s="56" t="s">
        <v>268</v>
      </c>
      <c r="AI124" s="56"/>
      <c r="AJ124" s="56"/>
    </row>
    <row r="125" spans="1:36" ht="31.95" customHeight="1" x14ac:dyDescent="0.3">
      <c r="A125" s="185"/>
      <c r="B125" s="186"/>
      <c r="C125" s="49"/>
      <c r="D125" s="49">
        <f>IF(G125=Categories!$E$4,VLOOKUP(F125,Categories!$A$4:$C$13,3,1),VLOOKUP(G125,Categories!$E$4:$G$24,3,1))</f>
        <v>120</v>
      </c>
      <c r="E125" s="44">
        <v>12</v>
      </c>
      <c r="F125" s="50" t="s">
        <v>45</v>
      </c>
      <c r="G125" s="51" t="s">
        <v>0</v>
      </c>
      <c r="H125" s="52"/>
      <c r="I125" s="131">
        <v>2800</v>
      </c>
      <c r="J125" s="53">
        <v>1</v>
      </c>
      <c r="K125" s="54">
        <f>IFERROR(VLOOKUP(VLOOKUP(M125,M125,1,1),Categories!$K$4:$V$18,2+VLOOKUP(J125,J125,1,1)),"-"  )</f>
        <v>2.33</v>
      </c>
      <c r="L125" s="54" t="str">
        <f>IFERROR(VLOOKUP(VLOOKUP(M125,M125,1,1),Categories!$K$3:$V$18,7+VLOOKUP(J125,J125,1,1)),"-")</f>
        <v>0 rev.</v>
      </c>
      <c r="M125" s="55" t="s">
        <v>115</v>
      </c>
      <c r="N125" s="195" t="s">
        <v>0</v>
      </c>
      <c r="O125" s="204" t="s">
        <v>0</v>
      </c>
      <c r="P125" s="187"/>
      <c r="Q125" s="188"/>
      <c r="R125" s="188"/>
      <c r="S125" s="144"/>
      <c r="T125" s="189"/>
      <c r="U125" s="189"/>
      <c r="V125" s="190"/>
      <c r="W125" s="191"/>
      <c r="X125" s="191"/>
      <c r="Y125" s="191"/>
      <c r="Z125" s="191"/>
      <c r="AA125" s="191"/>
      <c r="AB125" s="191"/>
      <c r="AC125" s="191"/>
      <c r="AD125" s="191"/>
      <c r="AE125" s="190"/>
      <c r="AF125" s="192"/>
      <c r="AG125" s="143" t="s">
        <v>278</v>
      </c>
      <c r="AH125" s="56"/>
      <c r="AI125" s="56"/>
      <c r="AJ125" s="56"/>
    </row>
    <row r="126" spans="1:36" ht="31.95" customHeight="1" x14ac:dyDescent="0.3">
      <c r="A126" s="185"/>
      <c r="B126" s="186"/>
      <c r="C126" s="49"/>
      <c r="D126" s="49">
        <f>IF(G126=Categories!$E$4,VLOOKUP(F126,Categories!$A$4:$C$13,3,1),VLOOKUP(G126,Categories!$E$4:$G$24,3,1))</f>
        <v>60</v>
      </c>
      <c r="E126" s="44">
        <v>12</v>
      </c>
      <c r="F126" s="50" t="s">
        <v>257</v>
      </c>
      <c r="G126" s="51" t="s">
        <v>263</v>
      </c>
      <c r="H126" s="52"/>
      <c r="I126" s="131">
        <v>2800</v>
      </c>
      <c r="J126" s="53">
        <v>2</v>
      </c>
      <c r="K126" s="54" t="str">
        <f>IFERROR(VLOOKUP(VLOOKUP(M126,M126,1,1),Categories!$K$4:$V$18,2+VLOOKUP(J126,J126,1,1)),"-"  )</f>
        <v>~9</v>
      </c>
      <c r="L126" s="54" t="str">
        <f>IFERROR(VLOOKUP(VLOOKUP(M126,M126,1,1),Categories!$K$3:$V$18,7+VLOOKUP(J126,J126,1,1)),"-")</f>
        <v>1.0 rev.</v>
      </c>
      <c r="M126" s="55" t="s">
        <v>115</v>
      </c>
      <c r="N126" s="195" t="s">
        <v>0</v>
      </c>
      <c r="O126" s="204" t="s">
        <v>0</v>
      </c>
      <c r="P126" s="187"/>
      <c r="Q126" s="188"/>
      <c r="R126" s="188"/>
      <c r="S126" s="144"/>
      <c r="T126" s="189"/>
      <c r="U126" s="189"/>
      <c r="V126" s="190"/>
      <c r="W126" s="191"/>
      <c r="X126" s="191"/>
      <c r="Y126" s="191"/>
      <c r="Z126" s="191"/>
      <c r="AA126" s="191"/>
      <c r="AB126" s="191"/>
      <c r="AC126" s="191"/>
      <c r="AD126" s="191"/>
      <c r="AE126" s="190"/>
      <c r="AF126" s="192"/>
      <c r="AG126" s="143"/>
      <c r="AH126" s="56"/>
      <c r="AI126" s="56"/>
      <c r="AJ126" s="56"/>
    </row>
    <row r="127" spans="1:36" ht="31.95" customHeight="1" x14ac:dyDescent="0.3">
      <c r="A127" s="12"/>
      <c r="B127" s="122"/>
      <c r="C127" s="49"/>
      <c r="D127" s="49">
        <f>IF(G127=Categories!$E$4,VLOOKUP(F127,Categories!$A$4:$C$13,3,1),VLOOKUP(G127,Categories!$E$4:$G$24,3,1))</f>
        <v>120</v>
      </c>
      <c r="E127" s="44">
        <v>12</v>
      </c>
      <c r="F127" s="50" t="s">
        <v>45</v>
      </c>
      <c r="G127" s="45" t="s">
        <v>0</v>
      </c>
      <c r="H127" s="52"/>
      <c r="I127" s="131">
        <v>2800</v>
      </c>
      <c r="J127" s="53">
        <v>2</v>
      </c>
      <c r="K127" s="54" t="str">
        <f>IFERROR(VLOOKUP(VLOOKUP(M127,M127,1,1),Categories!$K$4:$V$18,2+VLOOKUP(J127,J127,1,1)),"-"  )</f>
        <v>~9</v>
      </c>
      <c r="L127" s="54" t="str">
        <f>IFERROR(VLOOKUP(VLOOKUP(M127,M127,1,1),Categories!$K$3:$V$18,7+VLOOKUP(J127,J127,1,1)),"-")</f>
        <v>1.0 rev.</v>
      </c>
      <c r="M127" s="55" t="s">
        <v>115</v>
      </c>
      <c r="N127" s="195" t="s">
        <v>0</v>
      </c>
      <c r="O127" s="204" t="s">
        <v>0</v>
      </c>
      <c r="P127" s="151"/>
      <c r="Q127" s="144"/>
      <c r="R127" s="144"/>
      <c r="S127" s="144"/>
      <c r="T127" s="147"/>
      <c r="U127" s="147"/>
      <c r="V127" s="148"/>
      <c r="W127" s="149"/>
      <c r="X127" s="149"/>
      <c r="Y127" s="149"/>
      <c r="Z127" s="149"/>
      <c r="AA127" s="149"/>
      <c r="AB127" s="149"/>
      <c r="AC127" s="149"/>
      <c r="AD127" s="149"/>
      <c r="AE127" s="148"/>
      <c r="AF127" s="150"/>
      <c r="AG127" s="143" t="s">
        <v>278</v>
      </c>
      <c r="AH127" s="48"/>
      <c r="AI127" s="56"/>
      <c r="AJ127" s="56"/>
    </row>
    <row r="128" spans="1:36" ht="31.95" customHeight="1" x14ac:dyDescent="0.3">
      <c r="A128" s="12"/>
      <c r="B128" s="122"/>
      <c r="C128" s="49"/>
      <c r="D128" s="49">
        <f>IF(G128=Categories!$E$4,VLOOKUP(F128,Categories!$A$4:$C$13,3,1),VLOOKUP(G128,Categories!$E$4:$G$24,3,1))</f>
        <v>60</v>
      </c>
      <c r="E128" s="44">
        <v>12</v>
      </c>
      <c r="F128" s="50" t="s">
        <v>257</v>
      </c>
      <c r="G128" s="51" t="s">
        <v>263</v>
      </c>
      <c r="H128" s="52"/>
      <c r="I128" s="131">
        <v>2800</v>
      </c>
      <c r="J128" s="53">
        <v>3</v>
      </c>
      <c r="K128" s="54" t="str">
        <f>IFERROR(VLOOKUP(VLOOKUP(M128,M128,1,1),Categories!$K$4:$V$18,2+VLOOKUP(J128,J128,1,1)),"-"  )</f>
        <v>~10</v>
      </c>
      <c r="L128" s="54" t="str">
        <f>IFERROR(VLOOKUP(VLOOKUP(M128,M128,1,1),Categories!$K$3:$V$18,7+VLOOKUP(J128,J128,1,1)),"-")</f>
        <v>1.5 rev.</v>
      </c>
      <c r="M128" s="55" t="s">
        <v>115</v>
      </c>
      <c r="N128" s="195" t="s">
        <v>0</v>
      </c>
      <c r="O128" s="204" t="s">
        <v>0</v>
      </c>
      <c r="P128" s="151"/>
      <c r="Q128" s="144"/>
      <c r="R128" s="144"/>
      <c r="S128" s="144"/>
      <c r="T128" s="147"/>
      <c r="U128" s="147"/>
      <c r="V128" s="148"/>
      <c r="W128" s="149"/>
      <c r="X128" s="149"/>
      <c r="Y128" s="149"/>
      <c r="Z128" s="149"/>
      <c r="AA128" s="149"/>
      <c r="AB128" s="149"/>
      <c r="AC128" s="149"/>
      <c r="AD128" s="149"/>
      <c r="AE128" s="148"/>
      <c r="AF128" s="150"/>
      <c r="AG128" s="143"/>
      <c r="AH128" s="48"/>
      <c r="AI128" s="56"/>
      <c r="AJ128" s="56"/>
    </row>
    <row r="129" spans="1:36" ht="31.95" customHeight="1" x14ac:dyDescent="0.3">
      <c r="A129" s="12"/>
      <c r="B129" s="122"/>
      <c r="C129" s="49"/>
      <c r="D129" s="49">
        <f>IF(G129=Categories!$E$4,VLOOKUP(F129,Categories!$A$4:$C$13,3,1),VLOOKUP(G129,Categories!$E$4:$G$24,3,1))</f>
        <v>120</v>
      </c>
      <c r="E129" s="44">
        <v>12</v>
      </c>
      <c r="F129" s="50" t="s">
        <v>45</v>
      </c>
      <c r="G129" s="45" t="s">
        <v>0</v>
      </c>
      <c r="H129" s="52"/>
      <c r="I129" s="131">
        <v>2800</v>
      </c>
      <c r="J129" s="53">
        <v>3</v>
      </c>
      <c r="K129" s="54" t="str">
        <f>IFERROR(VLOOKUP(VLOOKUP(M129,M129,1,1),Categories!$K$4:$V$18,2+VLOOKUP(J129,J129,1,1)),"-"  )</f>
        <v>~10</v>
      </c>
      <c r="L129" s="54" t="str">
        <f>IFERROR(VLOOKUP(VLOOKUP(M129,M129,1,1),Categories!$K$3:$V$18,7+VLOOKUP(J129,J129,1,1)),"-")</f>
        <v>1.5 rev.</v>
      </c>
      <c r="M129" s="55" t="s">
        <v>115</v>
      </c>
      <c r="N129" s="195" t="s">
        <v>0</v>
      </c>
      <c r="O129" s="204" t="s">
        <v>0</v>
      </c>
      <c r="P129" s="151"/>
      <c r="Q129" s="144"/>
      <c r="R129" s="144"/>
      <c r="S129" s="144"/>
      <c r="T129" s="147"/>
      <c r="U129" s="147"/>
      <c r="V129" s="148"/>
      <c r="W129" s="149"/>
      <c r="X129" s="149"/>
      <c r="Y129" s="149"/>
      <c r="Z129" s="149"/>
      <c r="AA129" s="149"/>
      <c r="AB129" s="149"/>
      <c r="AC129" s="149"/>
      <c r="AD129" s="149"/>
      <c r="AE129" s="148"/>
      <c r="AF129" s="150"/>
      <c r="AG129" s="143" t="s">
        <v>278</v>
      </c>
      <c r="AH129" s="48"/>
      <c r="AI129" s="56"/>
      <c r="AJ129" s="56"/>
    </row>
    <row r="130" spans="1:36" ht="31.95" customHeight="1" x14ac:dyDescent="0.3">
      <c r="A130" s="12"/>
      <c r="B130" s="122"/>
      <c r="C130" s="49"/>
      <c r="D130" s="49">
        <f>IF(G130=Categories!$E$4,VLOOKUP(F130,Categories!$A$4:$C$13,3,1),VLOOKUP(G130,Categories!$E$4:$G$24,3,1))</f>
        <v>60</v>
      </c>
      <c r="E130" s="44">
        <v>12</v>
      </c>
      <c r="F130" s="50" t="s">
        <v>257</v>
      </c>
      <c r="G130" s="51" t="s">
        <v>263</v>
      </c>
      <c r="H130" s="52"/>
      <c r="I130" s="131">
        <v>2800</v>
      </c>
      <c r="J130" s="53">
        <v>4</v>
      </c>
      <c r="K130" s="54" t="str">
        <f>IFERROR(VLOOKUP(VLOOKUP(M130,M130,1,1),Categories!$K$4:$V$18,2+VLOOKUP(J130,J130,1,1)),"-"  )</f>
        <v>~11</v>
      </c>
      <c r="L130" s="54" t="str">
        <f>IFERROR(VLOOKUP(VLOOKUP(M130,M130,1,1),Categories!$K$3:$V$18,7+VLOOKUP(J130,J130,1,1)),"-")</f>
        <v>2.0 rev.</v>
      </c>
      <c r="M130" s="55" t="s">
        <v>115</v>
      </c>
      <c r="N130" s="195" t="s">
        <v>0</v>
      </c>
      <c r="O130" s="204" t="s">
        <v>0</v>
      </c>
      <c r="P130" s="151"/>
      <c r="Q130" s="144"/>
      <c r="R130" s="144"/>
      <c r="S130" s="144"/>
      <c r="T130" s="147"/>
      <c r="U130" s="147"/>
      <c r="V130" s="148"/>
      <c r="W130" s="149"/>
      <c r="X130" s="149"/>
      <c r="Y130" s="149"/>
      <c r="Z130" s="149"/>
      <c r="AA130" s="149"/>
      <c r="AB130" s="149"/>
      <c r="AC130" s="149"/>
      <c r="AD130" s="149"/>
      <c r="AE130" s="148"/>
      <c r="AF130" s="150"/>
      <c r="AG130" s="143"/>
      <c r="AH130" s="48"/>
      <c r="AI130" s="56"/>
      <c r="AJ130" s="56"/>
    </row>
    <row r="131" spans="1:36" ht="31.95" customHeight="1" x14ac:dyDescent="0.3">
      <c r="A131" s="12"/>
      <c r="B131" s="122"/>
      <c r="C131" s="49"/>
      <c r="D131" s="49">
        <f>IF(G131=Categories!$E$4,VLOOKUP(F131,Categories!$A$4:$C$13,3,1),VLOOKUP(G131,Categories!$E$4:$G$24,3,1))</f>
        <v>120</v>
      </c>
      <c r="E131" s="44">
        <v>12</v>
      </c>
      <c r="F131" s="50" t="s">
        <v>45</v>
      </c>
      <c r="G131" s="45" t="s">
        <v>0</v>
      </c>
      <c r="H131" s="52"/>
      <c r="I131" s="131">
        <v>2800</v>
      </c>
      <c r="J131" s="53">
        <v>4</v>
      </c>
      <c r="K131" s="54" t="str">
        <f>IFERROR(VLOOKUP(VLOOKUP(M131,M131,1,1),Categories!$K$4:$V$18,2+VLOOKUP(J131,J131,1,1)),"-"  )</f>
        <v>~11</v>
      </c>
      <c r="L131" s="54" t="str">
        <f>IFERROR(VLOOKUP(VLOOKUP(M131,M131,1,1),Categories!$K$3:$V$18,7+VLOOKUP(J131,J131,1,1)),"-")</f>
        <v>2.0 rev.</v>
      </c>
      <c r="M131" s="55" t="s">
        <v>115</v>
      </c>
      <c r="N131" s="195" t="s">
        <v>0</v>
      </c>
      <c r="O131" s="204" t="s">
        <v>0</v>
      </c>
      <c r="P131" s="151"/>
      <c r="Q131" s="144"/>
      <c r="R131" s="144"/>
      <c r="S131" s="188"/>
      <c r="T131" s="147"/>
      <c r="U131" s="147"/>
      <c r="V131" s="148"/>
      <c r="W131" s="149"/>
      <c r="X131" s="149"/>
      <c r="Y131" s="149"/>
      <c r="Z131" s="149"/>
      <c r="AA131" s="149"/>
      <c r="AB131" s="149"/>
      <c r="AC131" s="149"/>
      <c r="AD131" s="149"/>
      <c r="AE131" s="148"/>
      <c r="AF131" s="150"/>
      <c r="AG131" s="143" t="s">
        <v>278</v>
      </c>
      <c r="AH131" s="48"/>
      <c r="AI131" s="56"/>
      <c r="AJ131" s="56"/>
    </row>
    <row r="132" spans="1:36" ht="31.95" customHeight="1" x14ac:dyDescent="0.3">
      <c r="A132" s="12"/>
      <c r="B132" s="122"/>
      <c r="C132" s="49"/>
      <c r="D132" s="49">
        <f>IF(G132=Categories!$E$4,VLOOKUP(F132,Categories!$A$4:$C$13,3,1),VLOOKUP(G132,Categories!$E$4:$G$24,3,1))</f>
        <v>60</v>
      </c>
      <c r="E132" s="44">
        <v>12</v>
      </c>
      <c r="F132" s="50" t="s">
        <v>257</v>
      </c>
      <c r="G132" s="51" t="s">
        <v>263</v>
      </c>
      <c r="H132" s="52"/>
      <c r="I132" s="131">
        <v>2800</v>
      </c>
      <c r="J132" s="53">
        <v>5</v>
      </c>
      <c r="K132" s="54" t="str">
        <f>IFERROR(VLOOKUP(VLOOKUP(M132,M132,1,1),Categories!$K$4:$V$18,2+VLOOKUP(J132,J132,1,1)),"-"  )</f>
        <v>~12</v>
      </c>
      <c r="L132" s="54" t="str">
        <f>IFERROR(VLOOKUP(VLOOKUP(M132,M132,1,1),Categories!$K$3:$V$18,7+VLOOKUP(J132,J132,1,1)),"-")</f>
        <v>2.5 rev.</v>
      </c>
      <c r="M132" s="55" t="s">
        <v>115</v>
      </c>
      <c r="N132" s="195" t="s">
        <v>0</v>
      </c>
      <c r="O132" s="204" t="s">
        <v>0</v>
      </c>
      <c r="P132" s="151"/>
      <c r="Q132" s="144"/>
      <c r="R132" s="144"/>
      <c r="S132" s="188"/>
      <c r="T132" s="147"/>
      <c r="U132" s="147"/>
      <c r="V132" s="148"/>
      <c r="W132" s="149"/>
      <c r="X132" s="149"/>
      <c r="Y132" s="149"/>
      <c r="Z132" s="149"/>
      <c r="AA132" s="149"/>
      <c r="AB132" s="149"/>
      <c r="AC132" s="149"/>
      <c r="AD132" s="149"/>
      <c r="AE132" s="148"/>
      <c r="AF132" s="150"/>
      <c r="AG132" s="143"/>
      <c r="AH132" s="48"/>
      <c r="AI132" s="56"/>
      <c r="AJ132" s="56"/>
    </row>
    <row r="133" spans="1:36" ht="31.95" customHeight="1" x14ac:dyDescent="0.3">
      <c r="A133" s="12"/>
      <c r="B133" s="122"/>
      <c r="C133" s="49"/>
      <c r="D133" s="49">
        <f>IF(G133=Categories!$E$4,VLOOKUP(F133,Categories!$A$4:$C$13,3,1),VLOOKUP(G133,Categories!$E$4:$G$24,3,1))</f>
        <v>120</v>
      </c>
      <c r="E133" s="44">
        <v>12</v>
      </c>
      <c r="F133" s="50" t="s">
        <v>45</v>
      </c>
      <c r="G133" s="45" t="s">
        <v>0</v>
      </c>
      <c r="H133" s="52"/>
      <c r="I133" s="131">
        <v>2800</v>
      </c>
      <c r="J133" s="53">
        <v>5</v>
      </c>
      <c r="K133" s="54" t="str">
        <f>IFERROR(VLOOKUP(VLOOKUP(M133,M133,1,1),Categories!$K$4:$V$18,2+VLOOKUP(J133,J133,1,1)),"-"  )</f>
        <v>~12</v>
      </c>
      <c r="L133" s="54" t="str">
        <f>IFERROR(VLOOKUP(VLOOKUP(M133,M133,1,1),Categories!$K$3:$V$18,7+VLOOKUP(J133,J133,1,1)),"-")</f>
        <v>2.5 rev.</v>
      </c>
      <c r="M133" s="55" t="s">
        <v>115</v>
      </c>
      <c r="N133" s="195" t="s">
        <v>0</v>
      </c>
      <c r="O133" s="204" t="s">
        <v>0</v>
      </c>
      <c r="P133" s="151"/>
      <c r="Q133" s="144"/>
      <c r="R133" s="144"/>
      <c r="S133" s="188"/>
      <c r="T133" s="147"/>
      <c r="U133" s="147"/>
      <c r="V133" s="148"/>
      <c r="W133" s="149"/>
      <c r="X133" s="149"/>
      <c r="Y133" s="149"/>
      <c r="Z133" s="149"/>
      <c r="AA133" s="149"/>
      <c r="AB133" s="149"/>
      <c r="AC133" s="149"/>
      <c r="AD133" s="149"/>
      <c r="AE133" s="148"/>
      <c r="AF133" s="150"/>
      <c r="AG133" s="143" t="s">
        <v>278</v>
      </c>
      <c r="AH133" s="48"/>
      <c r="AI133" s="56"/>
      <c r="AJ133" s="56"/>
    </row>
    <row r="134" spans="1:36" ht="31.95" customHeight="1" x14ac:dyDescent="0.3">
      <c r="A134" s="12"/>
      <c r="B134" s="122"/>
      <c r="C134" s="49"/>
      <c r="D134" s="49">
        <f>IF(G134=Categories!$E$4,VLOOKUP(F134,Categories!$A$4:$C$13,3,1),VLOOKUP(G134,Categories!$E$4:$G$24,3,1))</f>
        <v>60</v>
      </c>
      <c r="E134" s="44">
        <v>12</v>
      </c>
      <c r="F134" s="50" t="s">
        <v>257</v>
      </c>
      <c r="G134" s="51" t="s">
        <v>264</v>
      </c>
      <c r="H134" s="52"/>
      <c r="I134" s="131">
        <v>2800</v>
      </c>
      <c r="J134" s="53">
        <v>1</v>
      </c>
      <c r="K134" s="54">
        <f>IFERROR(VLOOKUP(VLOOKUP(M134,M134,1,1),Categories!$K$4:$V$18,2+VLOOKUP(J134,J134,1,1)),"-"  )</f>
        <v>2.33</v>
      </c>
      <c r="L134" s="54" t="str">
        <f>IFERROR(VLOOKUP(VLOOKUP(M134,M134,1,1),Categories!$K$3:$V$18,7+VLOOKUP(J134,J134,1,1)),"-")</f>
        <v>0 rev.</v>
      </c>
      <c r="M134" s="55" t="s">
        <v>115</v>
      </c>
      <c r="N134" s="195" t="s">
        <v>0</v>
      </c>
      <c r="O134" s="204" t="s">
        <v>0</v>
      </c>
      <c r="P134" s="151"/>
      <c r="Q134" s="144"/>
      <c r="R134" s="144"/>
      <c r="S134" s="188"/>
      <c r="T134" s="147"/>
      <c r="U134" s="147"/>
      <c r="V134" s="148"/>
      <c r="W134" s="149"/>
      <c r="X134" s="149"/>
      <c r="Y134" s="149"/>
      <c r="Z134" s="149"/>
      <c r="AA134" s="149"/>
      <c r="AB134" s="149"/>
      <c r="AC134" s="149"/>
      <c r="AD134" s="149"/>
      <c r="AE134" s="148"/>
      <c r="AF134" s="150"/>
      <c r="AG134" s="143"/>
      <c r="AH134" s="48"/>
      <c r="AI134" s="56"/>
      <c r="AJ134" s="56"/>
    </row>
    <row r="135" spans="1:36" ht="31.95" customHeight="1" x14ac:dyDescent="0.3">
      <c r="A135" s="12"/>
      <c r="B135" s="122"/>
      <c r="C135" s="49"/>
      <c r="D135" s="49">
        <f>IF(G135=Categories!$E$4,VLOOKUP(F135,Categories!$A$4:$C$13,3,1),VLOOKUP(G135,Categories!$E$4:$G$24,3,1))</f>
        <v>120</v>
      </c>
      <c r="E135" s="44">
        <v>12</v>
      </c>
      <c r="F135" s="50" t="s">
        <v>261</v>
      </c>
      <c r="G135" s="45" t="s">
        <v>0</v>
      </c>
      <c r="H135" s="52"/>
      <c r="I135" s="131">
        <v>2800</v>
      </c>
      <c r="J135" s="53">
        <v>1</v>
      </c>
      <c r="K135" s="54">
        <f>IFERROR(VLOOKUP(VLOOKUP(M135,M135,1,1),Categories!$K$4:$V$18,2+VLOOKUP(J135,J135,1,1)),"-"  )</f>
        <v>2.33</v>
      </c>
      <c r="L135" s="54" t="str">
        <f>IFERROR(VLOOKUP(VLOOKUP(M135,M135,1,1),Categories!$K$3:$V$18,7+VLOOKUP(J135,J135,1,1)),"-")</f>
        <v>0 rev.</v>
      </c>
      <c r="M135" s="55" t="s">
        <v>115</v>
      </c>
      <c r="N135" s="195" t="s">
        <v>0</v>
      </c>
      <c r="O135" s="204" t="s">
        <v>0</v>
      </c>
      <c r="P135" s="151"/>
      <c r="Q135" s="144"/>
      <c r="R135" s="144"/>
      <c r="S135" s="144"/>
      <c r="T135" s="147"/>
      <c r="U135" s="147"/>
      <c r="V135" s="148"/>
      <c r="W135" s="149"/>
      <c r="X135" s="149"/>
      <c r="Y135" s="149"/>
      <c r="Z135" s="149"/>
      <c r="AA135" s="149"/>
      <c r="AB135" s="149"/>
      <c r="AC135" s="149"/>
      <c r="AD135" s="149"/>
      <c r="AE135" s="148"/>
      <c r="AF135" s="150"/>
      <c r="AG135" s="143"/>
      <c r="AH135" s="48"/>
      <c r="AI135" s="56"/>
      <c r="AJ135" s="56"/>
    </row>
    <row r="136" spans="1:36" ht="31.95" customHeight="1" x14ac:dyDescent="0.3">
      <c r="A136" s="12"/>
      <c r="B136" s="122"/>
      <c r="C136" s="49"/>
      <c r="D136" s="49">
        <f>IF(G136=Categories!$E$4,VLOOKUP(F136,Categories!$A$4:$C$13,3,1),VLOOKUP(G136,Categories!$E$4:$G$24,3,1))</f>
        <v>30</v>
      </c>
      <c r="E136" s="44" t="s">
        <v>0</v>
      </c>
      <c r="F136" s="50" t="s">
        <v>257</v>
      </c>
      <c r="G136" s="51" t="s">
        <v>2</v>
      </c>
      <c r="H136" s="52"/>
      <c r="I136" s="131">
        <v>3100</v>
      </c>
      <c r="J136" s="53">
        <v>1</v>
      </c>
      <c r="K136" s="54">
        <f>IFERROR(VLOOKUP(VLOOKUP(M136,M136,1,1),Categories!$K$4:$V$18,2+VLOOKUP(J136,J136,1,1)),"-"  )</f>
        <v>2.33</v>
      </c>
      <c r="L136" s="54" t="str">
        <f>IFERROR(VLOOKUP(VLOOKUP(M136,M136,1,1),Categories!$K$3:$V$18,7+VLOOKUP(J136,J136,1,1)),"-")</f>
        <v>0 rev.</v>
      </c>
      <c r="M136" s="55" t="s">
        <v>115</v>
      </c>
      <c r="N136" s="195" t="s">
        <v>0</v>
      </c>
      <c r="O136" s="204" t="s">
        <v>0</v>
      </c>
      <c r="P136" s="151"/>
      <c r="Q136" s="144"/>
      <c r="R136" s="144"/>
      <c r="S136" s="144"/>
      <c r="T136" s="147"/>
      <c r="U136" s="147"/>
      <c r="V136" s="148"/>
      <c r="W136" s="149"/>
      <c r="X136" s="149"/>
      <c r="Y136" s="149"/>
      <c r="Z136" s="149"/>
      <c r="AA136" s="149"/>
      <c r="AB136" s="149"/>
      <c r="AC136" s="149"/>
      <c r="AD136" s="149"/>
      <c r="AE136" s="148"/>
      <c r="AF136" s="150"/>
      <c r="AG136" s="143"/>
      <c r="AH136" s="48"/>
      <c r="AI136" s="56"/>
      <c r="AJ136" s="56"/>
    </row>
    <row r="137" spans="1:36" ht="31.95" customHeight="1" x14ac:dyDescent="0.3">
      <c r="A137" s="185"/>
      <c r="B137" s="186"/>
      <c r="C137" s="49"/>
      <c r="D137" s="49">
        <f>IF(G137=Categories!$E$4,VLOOKUP(F137,Categories!$A$4:$C$13,3,1),VLOOKUP(G137,Categories!$E$4:$G$24,3,1))</f>
        <v>120</v>
      </c>
      <c r="E137" s="44">
        <v>13</v>
      </c>
      <c r="F137" s="50" t="s">
        <v>45</v>
      </c>
      <c r="G137" s="51" t="s">
        <v>0</v>
      </c>
      <c r="H137" s="52"/>
      <c r="I137" s="131">
        <v>3100</v>
      </c>
      <c r="J137" s="53">
        <v>1</v>
      </c>
      <c r="K137" s="54">
        <f>IFERROR(VLOOKUP(VLOOKUP(M137,M137,1,1),Categories!$K$4:$V$18,2+VLOOKUP(J137,J137,1,1)),"-"  )</f>
        <v>2.33</v>
      </c>
      <c r="L137" s="54" t="str">
        <f>IFERROR(VLOOKUP(VLOOKUP(M137,M137,1,1),Categories!$K$3:$V$18,7+VLOOKUP(J137,J137,1,1)),"-")</f>
        <v>0 rev.</v>
      </c>
      <c r="M137" s="55" t="s">
        <v>115</v>
      </c>
      <c r="N137" s="195" t="s">
        <v>0</v>
      </c>
      <c r="O137" s="204" t="s">
        <v>0</v>
      </c>
      <c r="P137" s="187"/>
      <c r="Q137" s="188"/>
      <c r="R137" s="188"/>
      <c r="S137" s="144"/>
      <c r="T137" s="189"/>
      <c r="U137" s="189"/>
      <c r="V137" s="190"/>
      <c r="W137" s="191"/>
      <c r="X137" s="191"/>
      <c r="Y137" s="191"/>
      <c r="Z137" s="191"/>
      <c r="AA137" s="191"/>
      <c r="AB137" s="191"/>
      <c r="AC137" s="191"/>
      <c r="AD137" s="191"/>
      <c r="AE137" s="190"/>
      <c r="AF137" s="192"/>
      <c r="AG137" s="143"/>
      <c r="AH137" s="56"/>
      <c r="AI137" s="56"/>
      <c r="AJ137" s="56"/>
    </row>
    <row r="138" spans="1:36" ht="31.95" customHeight="1" x14ac:dyDescent="0.3">
      <c r="A138" s="185"/>
      <c r="B138" s="186"/>
      <c r="C138" s="49"/>
      <c r="D138" s="49">
        <f>IF(G138=Categories!$E$4,VLOOKUP(F138,Categories!$A$4:$C$13,3,1),VLOOKUP(G138,Categories!$E$4:$G$24,3,1))</f>
        <v>60</v>
      </c>
      <c r="E138" s="44">
        <v>13</v>
      </c>
      <c r="F138" s="50" t="s">
        <v>257</v>
      </c>
      <c r="G138" s="51" t="s">
        <v>263</v>
      </c>
      <c r="H138" s="52"/>
      <c r="I138" s="131">
        <v>3100</v>
      </c>
      <c r="J138" s="53">
        <v>2</v>
      </c>
      <c r="K138" s="54" t="str">
        <f>IFERROR(VLOOKUP(VLOOKUP(M138,M138,1,1),Categories!$K$4:$V$18,2+VLOOKUP(J138,J138,1,1)),"-"  )</f>
        <v>~9</v>
      </c>
      <c r="L138" s="54" t="str">
        <f>IFERROR(VLOOKUP(VLOOKUP(M138,M138,1,1),Categories!$K$3:$V$18,7+VLOOKUP(J138,J138,1,1)),"-")</f>
        <v>1.0 rev.</v>
      </c>
      <c r="M138" s="55" t="s">
        <v>115</v>
      </c>
      <c r="N138" s="195" t="s">
        <v>0</v>
      </c>
      <c r="O138" s="204" t="s">
        <v>0</v>
      </c>
      <c r="P138" s="187"/>
      <c r="Q138" s="188"/>
      <c r="R138" s="188"/>
      <c r="S138" s="144"/>
      <c r="T138" s="189"/>
      <c r="U138" s="189"/>
      <c r="V138" s="190"/>
      <c r="W138" s="191"/>
      <c r="X138" s="191"/>
      <c r="Y138" s="191"/>
      <c r="Z138" s="191"/>
      <c r="AA138" s="191"/>
      <c r="AB138" s="191"/>
      <c r="AC138" s="191"/>
      <c r="AD138" s="191"/>
      <c r="AE138" s="190"/>
      <c r="AF138" s="192"/>
      <c r="AG138" s="143"/>
      <c r="AH138" s="56"/>
      <c r="AI138" s="56"/>
      <c r="AJ138" s="56"/>
    </row>
    <row r="139" spans="1:36" ht="31.95" customHeight="1" x14ac:dyDescent="0.3">
      <c r="A139" s="12"/>
      <c r="B139" s="122"/>
      <c r="C139" s="49"/>
      <c r="D139" s="49">
        <f>IF(G139=Categories!$E$4,VLOOKUP(F139,Categories!$A$4:$C$13,3,1),VLOOKUP(G139,Categories!$E$4:$G$24,3,1))</f>
        <v>120</v>
      </c>
      <c r="E139" s="44">
        <v>13</v>
      </c>
      <c r="F139" s="50" t="s">
        <v>45</v>
      </c>
      <c r="G139" s="45" t="s">
        <v>0</v>
      </c>
      <c r="H139" s="52"/>
      <c r="I139" s="131">
        <v>3100</v>
      </c>
      <c r="J139" s="53">
        <v>2</v>
      </c>
      <c r="K139" s="54" t="str">
        <f>IFERROR(VLOOKUP(VLOOKUP(M139,M139,1,1),Categories!$K$4:$V$18,2+VLOOKUP(J139,J139,1,1)),"-"  )</f>
        <v>~9</v>
      </c>
      <c r="L139" s="54" t="str">
        <f>IFERROR(VLOOKUP(VLOOKUP(M139,M139,1,1),Categories!$K$3:$V$18,7+VLOOKUP(J139,J139,1,1)),"-")</f>
        <v>1.0 rev.</v>
      </c>
      <c r="M139" s="55" t="s">
        <v>115</v>
      </c>
      <c r="N139" s="195" t="s">
        <v>0</v>
      </c>
      <c r="O139" s="204" t="s">
        <v>0</v>
      </c>
      <c r="P139" s="151"/>
      <c r="Q139" s="144"/>
      <c r="R139" s="144"/>
      <c r="S139" s="144"/>
      <c r="T139" s="147"/>
      <c r="U139" s="147"/>
      <c r="V139" s="148"/>
      <c r="W139" s="149"/>
      <c r="X139" s="149"/>
      <c r="Y139" s="149"/>
      <c r="Z139" s="149"/>
      <c r="AA139" s="149"/>
      <c r="AB139" s="149"/>
      <c r="AC139" s="149"/>
      <c r="AD139" s="149"/>
      <c r="AE139" s="148"/>
      <c r="AF139" s="150"/>
      <c r="AG139" s="143"/>
      <c r="AH139" s="48"/>
      <c r="AI139" s="56"/>
      <c r="AJ139" s="56"/>
    </row>
    <row r="140" spans="1:36" ht="31.95" customHeight="1" x14ac:dyDescent="0.3">
      <c r="A140" s="12"/>
      <c r="B140" s="122"/>
      <c r="C140" s="49"/>
      <c r="D140" s="49">
        <f>IF(G140=Categories!$E$4,VLOOKUP(F140,Categories!$A$4:$C$13,3,1),VLOOKUP(G140,Categories!$E$4:$G$24,3,1))</f>
        <v>60</v>
      </c>
      <c r="E140" s="44">
        <v>13</v>
      </c>
      <c r="F140" s="50" t="s">
        <v>257</v>
      </c>
      <c r="G140" s="51" t="s">
        <v>263</v>
      </c>
      <c r="H140" s="52"/>
      <c r="I140" s="131">
        <v>3100</v>
      </c>
      <c r="J140" s="53">
        <v>3</v>
      </c>
      <c r="K140" s="54" t="str">
        <f>IFERROR(VLOOKUP(VLOOKUP(M140,M140,1,1),Categories!$K$4:$V$18,2+VLOOKUP(J140,J140,1,1)),"-"  )</f>
        <v>~10</v>
      </c>
      <c r="L140" s="54" t="str">
        <f>IFERROR(VLOOKUP(VLOOKUP(M140,M140,1,1),Categories!$K$3:$V$18,7+VLOOKUP(J140,J140,1,1)),"-")</f>
        <v>1.5 rev.</v>
      </c>
      <c r="M140" s="55" t="s">
        <v>115</v>
      </c>
      <c r="N140" s="195" t="s">
        <v>0</v>
      </c>
      <c r="O140" s="204" t="s">
        <v>0</v>
      </c>
      <c r="P140" s="151"/>
      <c r="Q140" s="144"/>
      <c r="R140" s="144"/>
      <c r="S140" s="144"/>
      <c r="T140" s="147"/>
      <c r="U140" s="147"/>
      <c r="V140" s="148"/>
      <c r="W140" s="149"/>
      <c r="X140" s="149"/>
      <c r="Y140" s="149"/>
      <c r="Z140" s="149"/>
      <c r="AA140" s="149"/>
      <c r="AB140" s="149"/>
      <c r="AC140" s="149"/>
      <c r="AD140" s="149"/>
      <c r="AE140" s="148"/>
      <c r="AF140" s="150"/>
      <c r="AG140" s="143"/>
      <c r="AH140" s="48"/>
      <c r="AI140" s="56"/>
      <c r="AJ140" s="56"/>
    </row>
    <row r="141" spans="1:36" ht="31.95" customHeight="1" x14ac:dyDescent="0.3">
      <c r="A141" s="12"/>
      <c r="B141" s="122"/>
      <c r="C141" s="49"/>
      <c r="D141" s="49">
        <f>IF(G141=Categories!$E$4,VLOOKUP(F141,Categories!$A$4:$C$13,3,1),VLOOKUP(G141,Categories!$E$4:$G$24,3,1))</f>
        <v>120</v>
      </c>
      <c r="E141" s="44">
        <v>13</v>
      </c>
      <c r="F141" s="50" t="s">
        <v>45</v>
      </c>
      <c r="G141" s="45" t="s">
        <v>0</v>
      </c>
      <c r="H141" s="52"/>
      <c r="I141" s="131">
        <v>3100</v>
      </c>
      <c r="J141" s="53">
        <v>3</v>
      </c>
      <c r="K141" s="54" t="str">
        <f>IFERROR(VLOOKUP(VLOOKUP(M141,M141,1,1),Categories!$K$4:$V$18,2+VLOOKUP(J141,J141,1,1)),"-"  )</f>
        <v>~10</v>
      </c>
      <c r="L141" s="54" t="str">
        <f>IFERROR(VLOOKUP(VLOOKUP(M141,M141,1,1),Categories!$K$3:$V$18,7+VLOOKUP(J141,J141,1,1)),"-")</f>
        <v>1.5 rev.</v>
      </c>
      <c r="M141" s="55" t="s">
        <v>115</v>
      </c>
      <c r="N141" s="195" t="s">
        <v>0</v>
      </c>
      <c r="O141" s="204" t="s">
        <v>0</v>
      </c>
      <c r="P141" s="151"/>
      <c r="Q141" s="144"/>
      <c r="R141" s="144"/>
      <c r="S141" s="188"/>
      <c r="T141" s="147"/>
      <c r="U141" s="147"/>
      <c r="V141" s="148"/>
      <c r="W141" s="149"/>
      <c r="X141" s="149"/>
      <c r="Y141" s="149"/>
      <c r="Z141" s="149"/>
      <c r="AA141" s="149"/>
      <c r="AB141" s="149"/>
      <c r="AC141" s="149"/>
      <c r="AD141" s="149"/>
      <c r="AE141" s="148"/>
      <c r="AF141" s="150"/>
      <c r="AG141" s="143"/>
      <c r="AH141" s="48"/>
      <c r="AI141" s="56"/>
      <c r="AJ141" s="56"/>
    </row>
    <row r="142" spans="1:36" ht="31.95" customHeight="1" x14ac:dyDescent="0.3">
      <c r="A142" s="12"/>
      <c r="B142" s="122"/>
      <c r="C142" s="49"/>
      <c r="D142" s="49">
        <f>IF(G142=Categories!$E$4,VLOOKUP(F142,Categories!$A$4:$C$13,3,1),VLOOKUP(G142,Categories!$E$4:$G$24,3,1))</f>
        <v>60</v>
      </c>
      <c r="E142" s="44">
        <v>13</v>
      </c>
      <c r="F142" s="50" t="s">
        <v>257</v>
      </c>
      <c r="G142" s="51" t="s">
        <v>263</v>
      </c>
      <c r="H142" s="52"/>
      <c r="I142" s="131">
        <v>3100</v>
      </c>
      <c r="J142" s="53">
        <v>4</v>
      </c>
      <c r="K142" s="54" t="str">
        <f>IFERROR(VLOOKUP(VLOOKUP(M142,M142,1,1),Categories!$K$4:$V$18,2+VLOOKUP(J142,J142,1,1)),"-"  )</f>
        <v>~11</v>
      </c>
      <c r="L142" s="54" t="str">
        <f>IFERROR(VLOOKUP(VLOOKUP(M142,M142,1,1),Categories!$K$3:$V$18,7+VLOOKUP(J142,J142,1,1)),"-")</f>
        <v>2.0 rev.</v>
      </c>
      <c r="M142" s="55" t="s">
        <v>115</v>
      </c>
      <c r="N142" s="195" t="s">
        <v>0</v>
      </c>
      <c r="O142" s="204" t="s">
        <v>0</v>
      </c>
      <c r="P142" s="151"/>
      <c r="Q142" s="144"/>
      <c r="R142" s="144"/>
      <c r="S142" s="188"/>
      <c r="T142" s="147"/>
      <c r="U142" s="147"/>
      <c r="V142" s="148"/>
      <c r="W142" s="149"/>
      <c r="X142" s="149"/>
      <c r="Y142" s="149"/>
      <c r="Z142" s="149"/>
      <c r="AA142" s="149"/>
      <c r="AB142" s="149"/>
      <c r="AC142" s="149"/>
      <c r="AD142" s="149"/>
      <c r="AE142" s="148"/>
      <c r="AF142" s="150"/>
      <c r="AG142" s="143"/>
      <c r="AH142" s="48"/>
      <c r="AI142" s="56"/>
      <c r="AJ142" s="56"/>
    </row>
    <row r="143" spans="1:36" ht="31.95" customHeight="1" x14ac:dyDescent="0.3">
      <c r="A143" s="12"/>
      <c r="B143" s="122"/>
      <c r="C143" s="49"/>
      <c r="D143" s="49">
        <f>IF(G143=Categories!$E$4,VLOOKUP(F143,Categories!$A$4:$C$13,3,1),VLOOKUP(G143,Categories!$E$4:$G$24,3,1))</f>
        <v>120</v>
      </c>
      <c r="E143" s="44">
        <v>13</v>
      </c>
      <c r="F143" s="50" t="s">
        <v>45</v>
      </c>
      <c r="G143" s="45" t="s">
        <v>0</v>
      </c>
      <c r="H143" s="52"/>
      <c r="I143" s="131">
        <v>3100</v>
      </c>
      <c r="J143" s="53">
        <v>4</v>
      </c>
      <c r="K143" s="54" t="str">
        <f>IFERROR(VLOOKUP(VLOOKUP(M143,M143,1,1),Categories!$K$4:$V$18,2+VLOOKUP(J143,J143,1,1)),"-"  )</f>
        <v>~11</v>
      </c>
      <c r="L143" s="54" t="str">
        <f>IFERROR(VLOOKUP(VLOOKUP(M143,M143,1,1),Categories!$K$3:$V$18,7+VLOOKUP(J143,J143,1,1)),"-")</f>
        <v>2.0 rev.</v>
      </c>
      <c r="M143" s="55" t="s">
        <v>115</v>
      </c>
      <c r="N143" s="195" t="s">
        <v>0</v>
      </c>
      <c r="O143" s="204" t="s">
        <v>0</v>
      </c>
      <c r="P143" s="151"/>
      <c r="Q143" s="144"/>
      <c r="R143" s="144"/>
      <c r="S143" s="144"/>
      <c r="T143" s="147"/>
      <c r="U143" s="147"/>
      <c r="V143" s="148"/>
      <c r="W143" s="149"/>
      <c r="X143" s="149"/>
      <c r="Y143" s="149"/>
      <c r="Z143" s="149"/>
      <c r="AA143" s="149"/>
      <c r="AB143" s="149"/>
      <c r="AC143" s="149"/>
      <c r="AD143" s="149"/>
      <c r="AE143" s="148"/>
      <c r="AF143" s="150"/>
      <c r="AG143" s="143"/>
      <c r="AH143" s="48"/>
      <c r="AI143" s="56"/>
      <c r="AJ143" s="56"/>
    </row>
    <row r="144" spans="1:36" ht="31.95" customHeight="1" x14ac:dyDescent="0.3">
      <c r="A144" s="12"/>
      <c r="B144" s="122"/>
      <c r="C144" s="49"/>
      <c r="D144" s="49">
        <f>IF(G144=Categories!$E$4,VLOOKUP(F144,Categories!$A$4:$C$13,3,1),VLOOKUP(G144,Categories!$E$4:$G$24,3,1))</f>
        <v>60</v>
      </c>
      <c r="E144" s="44">
        <v>13</v>
      </c>
      <c r="F144" s="50" t="s">
        <v>257</v>
      </c>
      <c r="G144" s="51" t="s">
        <v>263</v>
      </c>
      <c r="H144" s="52"/>
      <c r="I144" s="131">
        <v>3100</v>
      </c>
      <c r="J144" s="53">
        <v>5</v>
      </c>
      <c r="K144" s="54" t="str">
        <f>IFERROR(VLOOKUP(VLOOKUP(M144,M144,1,1),Categories!$K$4:$V$18,2+VLOOKUP(J144,J144,1,1)),"-"  )</f>
        <v>~12</v>
      </c>
      <c r="L144" s="54" t="str">
        <f>IFERROR(VLOOKUP(VLOOKUP(M144,M144,1,1),Categories!$K$3:$V$18,7+VLOOKUP(J144,J144,1,1)),"-")</f>
        <v>2.5 rev.</v>
      </c>
      <c r="M144" s="55" t="s">
        <v>115</v>
      </c>
      <c r="N144" s="195" t="s">
        <v>0</v>
      </c>
      <c r="O144" s="204" t="s">
        <v>0</v>
      </c>
      <c r="P144" s="151"/>
      <c r="Q144" s="144"/>
      <c r="R144" s="144"/>
      <c r="S144" s="144"/>
      <c r="T144" s="147"/>
      <c r="U144" s="147"/>
      <c r="V144" s="148"/>
      <c r="W144" s="149"/>
      <c r="X144" s="149"/>
      <c r="Y144" s="149"/>
      <c r="Z144" s="149"/>
      <c r="AA144" s="149"/>
      <c r="AB144" s="149"/>
      <c r="AC144" s="149"/>
      <c r="AD144" s="149"/>
      <c r="AE144" s="148"/>
      <c r="AF144" s="150"/>
      <c r="AG144" s="143"/>
      <c r="AH144" s="48"/>
      <c r="AI144" s="56"/>
      <c r="AJ144" s="56"/>
    </row>
    <row r="145" spans="1:36" ht="31.95" customHeight="1" x14ac:dyDescent="0.3">
      <c r="A145" s="12"/>
      <c r="B145" s="122"/>
      <c r="C145" s="49"/>
      <c r="D145" s="49">
        <f>IF(G145=Categories!$E$4,VLOOKUP(F145,Categories!$A$4:$C$13,3,1),VLOOKUP(G145,Categories!$E$4:$G$24,3,1))</f>
        <v>120</v>
      </c>
      <c r="E145" s="44">
        <v>13</v>
      </c>
      <c r="F145" s="50" t="s">
        <v>45</v>
      </c>
      <c r="G145" s="45" t="s">
        <v>0</v>
      </c>
      <c r="H145" s="52"/>
      <c r="I145" s="131">
        <v>3100</v>
      </c>
      <c r="J145" s="53">
        <v>5</v>
      </c>
      <c r="K145" s="54" t="str">
        <f>IFERROR(VLOOKUP(VLOOKUP(M145,M145,1,1),Categories!$K$4:$V$18,2+VLOOKUP(J145,J145,1,1)),"-"  )</f>
        <v>~12</v>
      </c>
      <c r="L145" s="54" t="str">
        <f>IFERROR(VLOOKUP(VLOOKUP(M145,M145,1,1),Categories!$K$3:$V$18,7+VLOOKUP(J145,J145,1,1)),"-")</f>
        <v>2.5 rev.</v>
      </c>
      <c r="M145" s="55" t="s">
        <v>115</v>
      </c>
      <c r="N145" s="195" t="s">
        <v>0</v>
      </c>
      <c r="O145" s="204" t="s">
        <v>0</v>
      </c>
      <c r="P145" s="151"/>
      <c r="Q145" s="144"/>
      <c r="R145" s="144"/>
      <c r="S145" s="144"/>
      <c r="T145" s="147"/>
      <c r="U145" s="147"/>
      <c r="V145" s="148"/>
      <c r="W145" s="149"/>
      <c r="X145" s="149"/>
      <c r="Y145" s="149"/>
      <c r="Z145" s="149"/>
      <c r="AA145" s="149"/>
      <c r="AB145" s="149"/>
      <c r="AC145" s="149"/>
      <c r="AD145" s="149"/>
      <c r="AE145" s="148"/>
      <c r="AF145" s="150"/>
      <c r="AG145" s="143"/>
      <c r="AH145" s="48"/>
      <c r="AI145" s="56"/>
      <c r="AJ145" s="56"/>
    </row>
    <row r="146" spans="1:36" ht="31.95" customHeight="1" x14ac:dyDescent="0.3">
      <c r="A146" s="12"/>
      <c r="B146" s="122"/>
      <c r="C146" s="49"/>
      <c r="D146" s="49">
        <f>IF(G146=Categories!$E$4,VLOOKUP(F146,Categories!$A$4:$C$13,3,1),VLOOKUP(G146,Categories!$E$4:$G$24,3,1))</f>
        <v>60</v>
      </c>
      <c r="E146" s="44">
        <v>13</v>
      </c>
      <c r="F146" s="50" t="s">
        <v>257</v>
      </c>
      <c r="G146" s="51" t="s">
        <v>264</v>
      </c>
      <c r="H146" s="52"/>
      <c r="I146" s="131">
        <v>3100</v>
      </c>
      <c r="J146" s="53">
        <v>1</v>
      </c>
      <c r="K146" s="54">
        <f>IFERROR(VLOOKUP(VLOOKUP(M146,M146,1,1),Categories!$K$4:$V$18,2+VLOOKUP(J146,J146,1,1)),"-"  )</f>
        <v>2.33</v>
      </c>
      <c r="L146" s="54" t="str">
        <f>IFERROR(VLOOKUP(VLOOKUP(M146,M146,1,1),Categories!$K$3:$V$18,7+VLOOKUP(J146,J146,1,1)),"-")</f>
        <v>0 rev.</v>
      </c>
      <c r="M146" s="55" t="s">
        <v>115</v>
      </c>
      <c r="N146" s="195" t="s">
        <v>0</v>
      </c>
      <c r="O146" s="204" t="s">
        <v>0</v>
      </c>
      <c r="P146" s="151"/>
      <c r="Q146" s="144"/>
      <c r="R146" s="144"/>
      <c r="S146" s="144"/>
      <c r="T146" s="147"/>
      <c r="U146" s="147"/>
      <c r="V146" s="148"/>
      <c r="W146" s="149"/>
      <c r="X146" s="149"/>
      <c r="Y146" s="149"/>
      <c r="Z146" s="149"/>
      <c r="AA146" s="149"/>
      <c r="AB146" s="149"/>
      <c r="AC146" s="149"/>
      <c r="AD146" s="149"/>
      <c r="AE146" s="148"/>
      <c r="AF146" s="150"/>
      <c r="AG146" s="143"/>
      <c r="AH146" s="48"/>
      <c r="AI146" s="56"/>
      <c r="AJ146" s="56"/>
    </row>
    <row r="147" spans="1:36" ht="31.95" customHeight="1" x14ac:dyDescent="0.3">
      <c r="A147" s="12"/>
      <c r="B147" s="122"/>
      <c r="C147" s="49"/>
      <c r="D147" s="49">
        <f>IF(G147=Categories!$E$4,VLOOKUP(F147,Categories!$A$4:$C$13,3,1),VLOOKUP(G147,Categories!$E$4:$G$24,3,1))</f>
        <v>120</v>
      </c>
      <c r="E147" s="44">
        <v>13</v>
      </c>
      <c r="F147" s="50" t="s">
        <v>261</v>
      </c>
      <c r="G147" s="45" t="s">
        <v>0</v>
      </c>
      <c r="H147" s="52"/>
      <c r="I147" s="131">
        <v>3100</v>
      </c>
      <c r="J147" s="53">
        <v>1</v>
      </c>
      <c r="K147" s="54">
        <f>IFERROR(VLOOKUP(VLOOKUP(M147,M147,1,1),Categories!$K$4:$V$18,2+VLOOKUP(J147,J147,1,1)),"-"  )</f>
        <v>2.33</v>
      </c>
      <c r="L147" s="54" t="str">
        <f>IFERROR(VLOOKUP(VLOOKUP(M147,M147,1,1),Categories!$K$3:$V$18,7+VLOOKUP(J147,J147,1,1)),"-")</f>
        <v>0 rev.</v>
      </c>
      <c r="M147" s="55" t="s">
        <v>115</v>
      </c>
      <c r="N147" s="195" t="s">
        <v>0</v>
      </c>
      <c r="O147" s="204" t="s">
        <v>0</v>
      </c>
      <c r="P147" s="151"/>
      <c r="Q147" s="144"/>
      <c r="R147" s="144"/>
      <c r="S147" s="144"/>
      <c r="T147" s="147"/>
      <c r="U147" s="147"/>
      <c r="V147" s="148"/>
      <c r="W147" s="149"/>
      <c r="X147" s="149"/>
      <c r="Y147" s="149"/>
      <c r="Z147" s="149"/>
      <c r="AA147" s="149"/>
      <c r="AB147" s="149"/>
      <c r="AC147" s="149"/>
      <c r="AD147" s="149"/>
      <c r="AE147" s="148"/>
      <c r="AF147" s="150"/>
      <c r="AG147" s="143"/>
      <c r="AH147" s="48"/>
      <c r="AI147" s="56"/>
      <c r="AJ147" s="56"/>
    </row>
    <row r="148" spans="1:36" ht="31.95" customHeight="1" x14ac:dyDescent="0.3">
      <c r="A148" s="12"/>
      <c r="B148" s="122"/>
      <c r="C148" s="49"/>
      <c r="D148" s="49">
        <f>IF(G148=Categories!$E$4,VLOOKUP(F148,Categories!$A$4:$C$13,3,1),VLOOKUP(G148,Categories!$E$4:$G$24,3,1))</f>
        <v>30</v>
      </c>
      <c r="E148" s="44" t="s">
        <v>0</v>
      </c>
      <c r="F148" s="50" t="s">
        <v>3</v>
      </c>
      <c r="G148" s="51" t="s">
        <v>2</v>
      </c>
      <c r="H148" s="52"/>
      <c r="I148" s="131">
        <v>2200</v>
      </c>
      <c r="J148" s="53">
        <v>1</v>
      </c>
      <c r="K148" s="54">
        <f>IFERROR(VLOOKUP(VLOOKUP(M148,M148,1,1),Categories!$K$4:$V$18,2+VLOOKUP(J148,J148,1,1)),"-"  )</f>
        <v>2.33</v>
      </c>
      <c r="L148" s="54" t="str">
        <f>IFERROR(VLOOKUP(VLOOKUP(M148,M148,1,1),Categories!$K$3:$V$18,7+VLOOKUP(J148,J148,1,1)),"-")</f>
        <v>0 rev.</v>
      </c>
      <c r="M148" s="55" t="s">
        <v>115</v>
      </c>
      <c r="N148" s="195" t="s">
        <v>0</v>
      </c>
      <c r="O148" s="204" t="s">
        <v>0</v>
      </c>
      <c r="P148" s="151"/>
      <c r="Q148" s="144"/>
      <c r="R148" s="144"/>
      <c r="S148" s="144"/>
      <c r="T148" s="147"/>
      <c r="U148" s="147"/>
      <c r="V148" s="148"/>
      <c r="W148" s="149"/>
      <c r="X148" s="149"/>
      <c r="Y148" s="149"/>
      <c r="Z148" s="149"/>
      <c r="AA148" s="149"/>
      <c r="AB148" s="149"/>
      <c r="AC148" s="149"/>
      <c r="AD148" s="149"/>
      <c r="AE148" s="148"/>
      <c r="AF148" s="150"/>
      <c r="AG148" s="143"/>
      <c r="AH148" s="48"/>
      <c r="AI148" s="56"/>
      <c r="AJ148" s="56"/>
    </row>
    <row r="149" spans="1:36" ht="31.95" customHeight="1" x14ac:dyDescent="0.3">
      <c r="A149" s="185"/>
      <c r="B149" s="186"/>
      <c r="C149" s="49"/>
      <c r="D149" s="49" t="str">
        <f>IF(G149=Categories!$E$4,VLOOKUP(F149,Categories!$A$4:$C$13,3,1),VLOOKUP(G149,Categories!$E$4:$G$24,3,1))</f>
        <v>-</v>
      </c>
      <c r="E149" s="44" t="s">
        <v>0</v>
      </c>
      <c r="F149" s="50" t="s">
        <v>3</v>
      </c>
      <c r="G149" s="51" t="s">
        <v>63</v>
      </c>
      <c r="H149" s="52"/>
      <c r="I149" s="131">
        <v>2200</v>
      </c>
      <c r="J149" s="53" t="s">
        <v>0</v>
      </c>
      <c r="K149" s="54" t="str">
        <f>IFERROR(VLOOKUP(VLOOKUP(M149,M149,1,1),Categories!$K$4:$V$18,2+VLOOKUP(J149,J149,1,1)),"-"  )</f>
        <v>-</v>
      </c>
      <c r="L149" s="54" t="str">
        <f>IFERROR(VLOOKUP(VLOOKUP(M149,M149,1,1),Categories!$K$3:$V$18,7+VLOOKUP(J149,J149,1,1)),"-")</f>
        <v>-</v>
      </c>
      <c r="M149" s="55" t="s">
        <v>0</v>
      </c>
      <c r="N149" s="195" t="s">
        <v>0</v>
      </c>
      <c r="O149" s="204" t="s">
        <v>0</v>
      </c>
      <c r="P149" s="187"/>
      <c r="Q149" s="188"/>
      <c r="R149" s="188"/>
      <c r="S149" s="188"/>
      <c r="T149" s="189"/>
      <c r="U149" s="189"/>
      <c r="V149" s="190"/>
      <c r="W149" s="191"/>
      <c r="X149" s="191"/>
      <c r="Y149" s="191"/>
      <c r="Z149" s="191"/>
      <c r="AA149" s="191"/>
      <c r="AB149" s="191"/>
      <c r="AC149" s="191"/>
      <c r="AD149" s="191"/>
      <c r="AE149" s="190"/>
      <c r="AF149" s="192"/>
      <c r="AG149" s="143"/>
      <c r="AH149" s="56"/>
      <c r="AI149" s="56"/>
      <c r="AJ149" s="56"/>
    </row>
    <row r="150" spans="1:36" ht="31.95" customHeight="1" x14ac:dyDescent="0.3">
      <c r="A150" s="185"/>
      <c r="B150" s="186"/>
      <c r="C150" s="49"/>
      <c r="D150" s="49" t="str">
        <f>IF(G150=Categories!$E$4,VLOOKUP(F150,Categories!$A$4:$C$13,3,1),VLOOKUP(G150,Categories!$E$4:$G$24,3,1))</f>
        <v>-</v>
      </c>
      <c r="E150" s="44" t="s">
        <v>0</v>
      </c>
      <c r="F150" s="50" t="s">
        <v>3</v>
      </c>
      <c r="G150" s="51" t="s">
        <v>64</v>
      </c>
      <c r="H150" s="52"/>
      <c r="I150" s="131">
        <v>2200</v>
      </c>
      <c r="J150" s="53">
        <v>1</v>
      </c>
      <c r="K150" s="54">
        <f>IFERROR(VLOOKUP(VLOOKUP(M150,M150,1,1),Categories!$K$4:$V$18,2+VLOOKUP(J150,J150,1,1)),"-"  )</f>
        <v>1.67</v>
      </c>
      <c r="L150" s="54" t="str">
        <f>IFERROR(VLOOKUP(VLOOKUP(M150,M150,1,1),Categories!$K$3:$V$18,7+VLOOKUP(J150,J150,1,1)),"-")</f>
        <v>0 ATM</v>
      </c>
      <c r="M150" s="55" t="s">
        <v>60</v>
      </c>
      <c r="N150" s="195" t="s">
        <v>0</v>
      </c>
      <c r="O150" s="204" t="s">
        <v>0</v>
      </c>
      <c r="P150" s="187"/>
      <c r="Q150" s="188"/>
      <c r="R150" s="188"/>
      <c r="S150" s="188"/>
      <c r="T150" s="189"/>
      <c r="U150" s="189"/>
      <c r="V150" s="190"/>
      <c r="W150" s="191"/>
      <c r="X150" s="191"/>
      <c r="Y150" s="191"/>
      <c r="Z150" s="191"/>
      <c r="AA150" s="191"/>
      <c r="AB150" s="191"/>
      <c r="AC150" s="191"/>
      <c r="AD150" s="191"/>
      <c r="AE150" s="190"/>
      <c r="AF150" s="192"/>
      <c r="AG150" s="143" t="s">
        <v>267</v>
      </c>
      <c r="AH150" s="56" t="s">
        <v>268</v>
      </c>
      <c r="AI150" s="56"/>
      <c r="AJ150" s="56"/>
    </row>
    <row r="151" spans="1:36" ht="31.95" customHeight="1" x14ac:dyDescent="0.3">
      <c r="A151" s="185"/>
      <c r="B151" s="186"/>
      <c r="C151" s="49"/>
      <c r="D151" s="49">
        <f>IF(G151=Categories!$E$4,VLOOKUP(F151,Categories!$A$4:$C$13,3,1),VLOOKUP(G151,Categories!$E$4:$G$24,3,1))</f>
        <v>120</v>
      </c>
      <c r="E151" s="44">
        <v>14</v>
      </c>
      <c r="F151" s="50" t="s">
        <v>45</v>
      </c>
      <c r="G151" s="51" t="s">
        <v>0</v>
      </c>
      <c r="H151" s="52"/>
      <c r="I151" s="131">
        <v>2200</v>
      </c>
      <c r="J151" s="53">
        <v>1</v>
      </c>
      <c r="K151" s="54">
        <f>IFERROR(VLOOKUP(VLOOKUP(M151,M151,1,1),Categories!$K$4:$V$18,2+VLOOKUP(J151,J151,1,1)),"-"  )</f>
        <v>1.67</v>
      </c>
      <c r="L151" s="54" t="str">
        <f>IFERROR(VLOOKUP(VLOOKUP(M151,M151,1,1),Categories!$K$3:$V$18,7+VLOOKUP(J151,J151,1,1)),"-")</f>
        <v>0 ATM</v>
      </c>
      <c r="M151" s="55" t="s">
        <v>60</v>
      </c>
      <c r="N151" s="195" t="s">
        <v>0</v>
      </c>
      <c r="O151" s="204" t="s">
        <v>0</v>
      </c>
      <c r="P151" s="187"/>
      <c r="Q151" s="188"/>
      <c r="R151" s="188"/>
      <c r="S151" s="144"/>
      <c r="T151" s="189"/>
      <c r="U151" s="189"/>
      <c r="V151" s="190"/>
      <c r="W151" s="191"/>
      <c r="X151" s="191"/>
      <c r="Y151" s="191"/>
      <c r="Z151" s="191"/>
      <c r="AA151" s="191"/>
      <c r="AB151" s="191"/>
      <c r="AC151" s="191"/>
      <c r="AD151" s="191"/>
      <c r="AE151" s="190"/>
      <c r="AF151" s="192"/>
      <c r="AG151" s="143"/>
      <c r="AH151" s="56"/>
      <c r="AI151" s="56"/>
      <c r="AJ151" s="56"/>
    </row>
    <row r="152" spans="1:36" ht="31.95" customHeight="1" x14ac:dyDescent="0.3">
      <c r="A152" s="185"/>
      <c r="B152" s="186"/>
      <c r="C152" s="49"/>
      <c r="D152" s="49">
        <f>IF(G152=Categories!$E$4,VLOOKUP(F152,Categories!$A$4:$C$13,3,1),VLOOKUP(G152,Categories!$E$4:$G$24,3,1))</f>
        <v>60</v>
      </c>
      <c r="E152" s="44">
        <v>14</v>
      </c>
      <c r="F152" s="50" t="s">
        <v>257</v>
      </c>
      <c r="G152" s="51" t="s">
        <v>263</v>
      </c>
      <c r="H152" s="52"/>
      <c r="I152" s="131">
        <v>2200</v>
      </c>
      <c r="J152" s="53">
        <v>2</v>
      </c>
      <c r="K152" s="54">
        <f>IFERROR(VLOOKUP(VLOOKUP(M152,M152,1,1),Categories!$K$4:$V$18,2+VLOOKUP(J152,J152,1,1)),"-"  )</f>
        <v>7.3</v>
      </c>
      <c r="L152" s="54" t="str">
        <f>IFERROR(VLOOKUP(VLOOKUP(M152,M152,1,1),Categories!$K$3:$V$18,7+VLOOKUP(J152,J152,1,1)),"-")</f>
        <v>4 ATM</v>
      </c>
      <c r="M152" s="55" t="s">
        <v>60</v>
      </c>
      <c r="N152" s="195" t="s">
        <v>0</v>
      </c>
      <c r="O152" s="204" t="s">
        <v>0</v>
      </c>
      <c r="P152" s="187"/>
      <c r="Q152" s="188"/>
      <c r="R152" s="188"/>
      <c r="S152" s="144"/>
      <c r="T152" s="189"/>
      <c r="U152" s="189"/>
      <c r="V152" s="190"/>
      <c r="W152" s="191"/>
      <c r="X152" s="191"/>
      <c r="Y152" s="191"/>
      <c r="Z152" s="191"/>
      <c r="AA152" s="191"/>
      <c r="AB152" s="191"/>
      <c r="AC152" s="191"/>
      <c r="AD152" s="191"/>
      <c r="AE152" s="190"/>
      <c r="AF152" s="192"/>
      <c r="AG152" s="143"/>
      <c r="AH152" s="56"/>
      <c r="AI152" s="56"/>
      <c r="AJ152" s="56"/>
    </row>
    <row r="153" spans="1:36" ht="31.95" customHeight="1" x14ac:dyDescent="0.3">
      <c r="A153" s="12"/>
      <c r="B153" s="122"/>
      <c r="C153" s="49"/>
      <c r="D153" s="49">
        <f>IF(G153=Categories!$E$4,VLOOKUP(F153,Categories!$A$4:$C$13,3,1),VLOOKUP(G153,Categories!$E$4:$G$24,3,1))</f>
        <v>120</v>
      </c>
      <c r="E153" s="44">
        <v>14</v>
      </c>
      <c r="F153" s="50" t="s">
        <v>45</v>
      </c>
      <c r="G153" s="45" t="s">
        <v>0</v>
      </c>
      <c r="H153" s="52"/>
      <c r="I153" s="131">
        <v>2200</v>
      </c>
      <c r="J153" s="53">
        <v>2</v>
      </c>
      <c r="K153" s="54">
        <f>IFERROR(VLOOKUP(VLOOKUP(M153,M153,1,1),Categories!$K$4:$V$18,2+VLOOKUP(J153,J153,1,1)),"-"  )</f>
        <v>7.3</v>
      </c>
      <c r="L153" s="54" t="str">
        <f>IFERROR(VLOOKUP(VLOOKUP(M153,M153,1,1),Categories!$K$3:$V$18,7+VLOOKUP(J153,J153,1,1)),"-")</f>
        <v>4 ATM</v>
      </c>
      <c r="M153" s="55" t="s">
        <v>60</v>
      </c>
      <c r="N153" s="195" t="s">
        <v>0</v>
      </c>
      <c r="O153" s="204" t="s">
        <v>0</v>
      </c>
      <c r="P153" s="151"/>
      <c r="Q153" s="144"/>
      <c r="R153" s="144"/>
      <c r="S153" s="144"/>
      <c r="T153" s="147"/>
      <c r="U153" s="147"/>
      <c r="V153" s="148"/>
      <c r="W153" s="149"/>
      <c r="X153" s="149"/>
      <c r="Y153" s="149"/>
      <c r="Z153" s="149"/>
      <c r="AA153" s="149"/>
      <c r="AB153" s="149"/>
      <c r="AC153" s="149"/>
      <c r="AD153" s="149"/>
      <c r="AE153" s="148"/>
      <c r="AF153" s="150"/>
      <c r="AG153" s="143"/>
      <c r="AH153" s="48"/>
      <c r="AI153" s="56"/>
      <c r="AJ153" s="56"/>
    </row>
    <row r="154" spans="1:36" ht="31.95" customHeight="1" x14ac:dyDescent="0.3">
      <c r="A154" s="12"/>
      <c r="B154" s="122"/>
      <c r="C154" s="49"/>
      <c r="D154" s="49">
        <f>IF(G154=Categories!$E$4,VLOOKUP(F154,Categories!$A$4:$C$13,3,1),VLOOKUP(G154,Categories!$E$4:$G$24,3,1))</f>
        <v>60</v>
      </c>
      <c r="E154" s="44">
        <v>14</v>
      </c>
      <c r="F154" s="50" t="s">
        <v>257</v>
      </c>
      <c r="G154" s="51" t="s">
        <v>263</v>
      </c>
      <c r="H154" s="52"/>
      <c r="I154" s="131">
        <v>2200</v>
      </c>
      <c r="J154" s="53">
        <v>3</v>
      </c>
      <c r="K154" s="54">
        <f>IFERROR(VLOOKUP(VLOOKUP(M154,M154,1,1),Categories!$K$4:$V$18,2+VLOOKUP(J154,J154,1,1)),"-"  )</f>
        <v>8.52</v>
      </c>
      <c r="L154" s="54" t="str">
        <f>IFERROR(VLOOKUP(VLOOKUP(M154,M154,1,1),Categories!$K$3:$V$18,7+VLOOKUP(J154,J154,1,1)),"-")</f>
        <v>13 ATM</v>
      </c>
      <c r="M154" s="55" t="s">
        <v>60</v>
      </c>
      <c r="N154" s="195" t="s">
        <v>0</v>
      </c>
      <c r="O154" s="204" t="s">
        <v>0</v>
      </c>
      <c r="P154" s="151"/>
      <c r="Q154" s="144"/>
      <c r="R154" s="144"/>
      <c r="S154" s="144"/>
      <c r="T154" s="147"/>
      <c r="U154" s="147"/>
      <c r="V154" s="148"/>
      <c r="W154" s="149"/>
      <c r="X154" s="149"/>
      <c r="Y154" s="149"/>
      <c r="Z154" s="149"/>
      <c r="AA154" s="149"/>
      <c r="AB154" s="149"/>
      <c r="AC154" s="149"/>
      <c r="AD154" s="149"/>
      <c r="AE154" s="148"/>
      <c r="AF154" s="150"/>
      <c r="AG154" s="143"/>
      <c r="AH154" s="48"/>
      <c r="AI154" s="56"/>
      <c r="AJ154" s="207"/>
    </row>
    <row r="155" spans="1:36" ht="31.95" customHeight="1" x14ac:dyDescent="0.3">
      <c r="A155" s="12"/>
      <c r="B155" s="122"/>
      <c r="C155" s="49"/>
      <c r="D155" s="49">
        <f>IF(G155=Categories!$E$4,VLOOKUP(F155,Categories!$A$4:$C$13,3,1),VLOOKUP(G155,Categories!$E$4:$G$24,3,1))</f>
        <v>120</v>
      </c>
      <c r="E155" s="44">
        <v>14</v>
      </c>
      <c r="F155" s="50" t="s">
        <v>45</v>
      </c>
      <c r="G155" s="45" t="s">
        <v>0</v>
      </c>
      <c r="H155" s="52"/>
      <c r="I155" s="131">
        <v>2200</v>
      </c>
      <c r="J155" s="53">
        <v>3</v>
      </c>
      <c r="K155" s="54">
        <f>IFERROR(VLOOKUP(VLOOKUP(M155,M155,1,1),Categories!$K$4:$V$18,2+VLOOKUP(J155,J155,1,1)),"-"  )</f>
        <v>8.52</v>
      </c>
      <c r="L155" s="54" t="str">
        <f>IFERROR(VLOOKUP(VLOOKUP(M155,M155,1,1),Categories!$K$3:$V$18,7+VLOOKUP(J155,J155,1,1)),"-")</f>
        <v>13 ATM</v>
      </c>
      <c r="M155" s="55" t="s">
        <v>60</v>
      </c>
      <c r="N155" s="195" t="s">
        <v>0</v>
      </c>
      <c r="O155" s="204" t="s">
        <v>0</v>
      </c>
      <c r="P155" s="151"/>
      <c r="Q155" s="144"/>
      <c r="R155" s="144"/>
      <c r="S155" s="144"/>
      <c r="T155" s="147"/>
      <c r="U155" s="147"/>
      <c r="V155" s="148"/>
      <c r="W155" s="149"/>
      <c r="X155" s="149"/>
      <c r="Y155" s="149"/>
      <c r="Z155" s="149"/>
      <c r="AA155" s="149"/>
      <c r="AB155" s="149"/>
      <c r="AC155" s="149"/>
      <c r="AD155" s="149"/>
      <c r="AE155" s="148"/>
      <c r="AF155" s="150"/>
      <c r="AG155" s="143"/>
      <c r="AH155" s="48"/>
      <c r="AI155" s="56"/>
      <c r="AJ155" s="56"/>
    </row>
    <row r="156" spans="1:36" ht="31.95" customHeight="1" x14ac:dyDescent="0.3">
      <c r="A156" s="12"/>
      <c r="B156" s="122"/>
      <c r="C156" s="49"/>
      <c r="D156" s="49">
        <f>IF(G156=Categories!$E$4,VLOOKUP(F156,Categories!$A$4:$C$13,3,1),VLOOKUP(G156,Categories!$E$4:$G$24,3,1))</f>
        <v>60</v>
      </c>
      <c r="E156" s="44">
        <v>14</v>
      </c>
      <c r="F156" s="50" t="s">
        <v>257</v>
      </c>
      <c r="G156" s="51" t="s">
        <v>264</v>
      </c>
      <c r="H156" s="52"/>
      <c r="I156" s="131">
        <v>2200</v>
      </c>
      <c r="J156" s="53">
        <v>1</v>
      </c>
      <c r="K156" s="54">
        <f>IFERROR(VLOOKUP(VLOOKUP(M156,M156,1,1),Categories!$K$4:$V$18,2+VLOOKUP(J156,J156,1,1)),"-"  )</f>
        <v>1.67</v>
      </c>
      <c r="L156" s="54" t="str">
        <f>IFERROR(VLOOKUP(VLOOKUP(M156,M156,1,1),Categories!$K$3:$V$18,7+VLOOKUP(J156,J156,1,1)),"-")</f>
        <v>0 ATM</v>
      </c>
      <c r="M156" s="55" t="s">
        <v>60</v>
      </c>
      <c r="N156" s="195" t="s">
        <v>0</v>
      </c>
      <c r="O156" s="204" t="s">
        <v>0</v>
      </c>
      <c r="P156" s="151"/>
      <c r="Q156" s="144"/>
      <c r="R156" s="144"/>
      <c r="S156" s="144"/>
      <c r="T156" s="147"/>
      <c r="U156" s="147"/>
      <c r="V156" s="148"/>
      <c r="W156" s="149"/>
      <c r="X156" s="149"/>
      <c r="Y156" s="149"/>
      <c r="Z156" s="149"/>
      <c r="AA156" s="149"/>
      <c r="AB156" s="149"/>
      <c r="AC156" s="149"/>
      <c r="AD156" s="149"/>
      <c r="AE156" s="148"/>
      <c r="AF156" s="150"/>
      <c r="AG156" s="143"/>
      <c r="AH156" s="48"/>
      <c r="AI156" s="56"/>
      <c r="AJ156" s="56"/>
    </row>
    <row r="157" spans="1:36" ht="31.95" customHeight="1" x14ac:dyDescent="0.3">
      <c r="A157" s="12"/>
      <c r="B157" s="122"/>
      <c r="C157" s="49"/>
      <c r="D157" s="49">
        <f>IF(G157=Categories!$E$4,VLOOKUP(F157,Categories!$A$4:$C$13,3,1),VLOOKUP(G157,Categories!$E$4:$G$24,3,1))</f>
        <v>120</v>
      </c>
      <c r="E157" s="44">
        <v>14</v>
      </c>
      <c r="F157" s="50" t="s">
        <v>261</v>
      </c>
      <c r="G157" s="45" t="s">
        <v>0</v>
      </c>
      <c r="H157" s="52"/>
      <c r="I157" s="131">
        <v>2200</v>
      </c>
      <c r="J157" s="53">
        <v>1</v>
      </c>
      <c r="K157" s="54">
        <f>IFERROR(VLOOKUP(VLOOKUP(M157,M157,1,1),Categories!$K$4:$V$18,2+VLOOKUP(J157,J157,1,1)),"-"  )</f>
        <v>1.67</v>
      </c>
      <c r="L157" s="54" t="str">
        <f>IFERROR(VLOOKUP(VLOOKUP(M157,M157,1,1),Categories!$K$3:$V$18,7+VLOOKUP(J157,J157,1,1)),"-")</f>
        <v>0 ATM</v>
      </c>
      <c r="M157" s="55" t="s">
        <v>60</v>
      </c>
      <c r="N157" s="195" t="s">
        <v>0</v>
      </c>
      <c r="O157" s="204" t="s">
        <v>0</v>
      </c>
      <c r="P157" s="151"/>
      <c r="Q157" s="144"/>
      <c r="R157" s="144"/>
      <c r="S157" s="188"/>
      <c r="T157" s="147"/>
      <c r="U157" s="147"/>
      <c r="V157" s="148"/>
      <c r="W157" s="149"/>
      <c r="X157" s="149"/>
      <c r="Y157" s="149"/>
      <c r="Z157" s="149"/>
      <c r="AA157" s="149"/>
      <c r="AB157" s="149"/>
      <c r="AC157" s="149"/>
      <c r="AD157" s="149"/>
      <c r="AE157" s="148"/>
      <c r="AF157" s="150"/>
      <c r="AG157" s="143"/>
      <c r="AH157" s="48"/>
      <c r="AI157" s="56"/>
      <c r="AJ157" s="56"/>
    </row>
    <row r="158" spans="1:36" ht="31.95" customHeight="1" x14ac:dyDescent="0.3">
      <c r="A158" s="12"/>
      <c r="B158" s="205"/>
      <c r="C158" s="49"/>
      <c r="D158" s="49">
        <f>IF(G158=Categories!$E$4,VLOOKUP(F158,Categories!$A$4:$C$13,3,1),VLOOKUP(G158,Categories!$E$4:$G$24,3,1))</f>
        <v>30</v>
      </c>
      <c r="E158" s="44" t="s">
        <v>0</v>
      </c>
      <c r="F158" s="50" t="s">
        <v>3</v>
      </c>
      <c r="G158" s="51" t="s">
        <v>2</v>
      </c>
      <c r="H158" s="52"/>
      <c r="I158" s="131">
        <v>2500</v>
      </c>
      <c r="J158" s="53">
        <v>1</v>
      </c>
      <c r="K158" s="54">
        <f>IFERROR(VLOOKUP(VLOOKUP(M158,M158,1,1),Categories!$K$4:$V$18,2+VLOOKUP(J158,J158,1,1)),"-"  )</f>
        <v>1.67</v>
      </c>
      <c r="L158" s="54" t="str">
        <f>IFERROR(VLOOKUP(VLOOKUP(M158,M158,1,1),Categories!$K$3:$V$18,7+VLOOKUP(J158,J158,1,1)),"-")</f>
        <v>0 ATM</v>
      </c>
      <c r="M158" s="55" t="s">
        <v>60</v>
      </c>
      <c r="N158" s="195" t="s">
        <v>0</v>
      </c>
      <c r="O158" s="204" t="s">
        <v>0</v>
      </c>
      <c r="P158" s="151"/>
      <c r="Q158" s="144"/>
      <c r="R158" s="144"/>
      <c r="S158" s="188"/>
      <c r="T158" s="147"/>
      <c r="U158" s="147"/>
      <c r="V158" s="148"/>
      <c r="W158" s="149"/>
      <c r="X158" s="149"/>
      <c r="Y158" s="149"/>
      <c r="Z158" s="149"/>
      <c r="AA158" s="149"/>
      <c r="AB158" s="149"/>
      <c r="AC158" s="149"/>
      <c r="AD158" s="149"/>
      <c r="AE158" s="148"/>
      <c r="AF158" s="150"/>
      <c r="AG158" s="143"/>
      <c r="AH158" s="48"/>
      <c r="AI158" s="56"/>
      <c r="AJ158" s="56"/>
    </row>
    <row r="159" spans="1:36" ht="31.95" customHeight="1" x14ac:dyDescent="0.3">
      <c r="A159" s="185"/>
      <c r="B159" s="206"/>
      <c r="C159" s="49"/>
      <c r="D159" s="49">
        <f>IF(G159=Categories!$E$4,VLOOKUP(F159,Categories!$A$4:$C$13,3,1),VLOOKUP(G159,Categories!$E$4:$G$24,3,1))</f>
        <v>120</v>
      </c>
      <c r="E159" s="44">
        <v>15</v>
      </c>
      <c r="F159" s="50" t="s">
        <v>45</v>
      </c>
      <c r="G159" s="51" t="s">
        <v>0</v>
      </c>
      <c r="H159" s="52"/>
      <c r="I159" s="131">
        <v>2500</v>
      </c>
      <c r="J159" s="53">
        <v>1</v>
      </c>
      <c r="K159" s="54">
        <f>IFERROR(VLOOKUP(VLOOKUP(M159,M159,1,1),Categories!$K$4:$V$18,2+VLOOKUP(J159,J159,1,1)),"-"  )</f>
        <v>1.67</v>
      </c>
      <c r="L159" s="54" t="str">
        <f>IFERROR(VLOOKUP(VLOOKUP(M159,M159,1,1),Categories!$K$3:$V$18,7+VLOOKUP(J159,J159,1,1)),"-")</f>
        <v>0 ATM</v>
      </c>
      <c r="M159" s="55" t="s">
        <v>60</v>
      </c>
      <c r="N159" s="195" t="s">
        <v>0</v>
      </c>
      <c r="O159" s="204" t="s">
        <v>0</v>
      </c>
      <c r="P159" s="187"/>
      <c r="Q159" s="188"/>
      <c r="R159" s="188"/>
      <c r="S159" s="188"/>
      <c r="T159" s="189"/>
      <c r="U159" s="189"/>
      <c r="V159" s="190"/>
      <c r="W159" s="191"/>
      <c r="X159" s="191"/>
      <c r="Y159" s="191"/>
      <c r="Z159" s="191"/>
      <c r="AA159" s="191"/>
      <c r="AB159" s="191"/>
      <c r="AC159" s="191"/>
      <c r="AD159" s="191"/>
      <c r="AE159" s="190"/>
      <c r="AF159" s="192"/>
      <c r="AG159" s="143"/>
      <c r="AH159" s="56"/>
      <c r="AI159" s="56"/>
      <c r="AJ159" s="56"/>
    </row>
    <row r="160" spans="1:36" ht="31.95" customHeight="1" x14ac:dyDescent="0.3">
      <c r="A160" s="185"/>
      <c r="B160" s="186"/>
      <c r="C160" s="49"/>
      <c r="D160" s="49">
        <f>IF(G160=Categories!$E$4,VLOOKUP(F160,Categories!$A$4:$C$13,3,1),VLOOKUP(G160,Categories!$E$4:$G$24,3,1))</f>
        <v>60</v>
      </c>
      <c r="E160" s="44">
        <v>15</v>
      </c>
      <c r="F160" s="50" t="s">
        <v>257</v>
      </c>
      <c r="G160" s="51" t="s">
        <v>263</v>
      </c>
      <c r="H160" s="52"/>
      <c r="I160" s="131">
        <v>2500</v>
      </c>
      <c r="J160" s="53">
        <v>2</v>
      </c>
      <c r="K160" s="54">
        <f>IFERROR(VLOOKUP(VLOOKUP(M160,M160,1,1),Categories!$K$4:$V$18,2+VLOOKUP(J160,J160,1,1)),"-"  )</f>
        <v>7.3</v>
      </c>
      <c r="L160" s="54" t="str">
        <f>IFERROR(VLOOKUP(VLOOKUP(M160,M160,1,1),Categories!$K$3:$V$18,7+VLOOKUP(J160,J160,1,1)),"-")</f>
        <v>4 ATM</v>
      </c>
      <c r="M160" s="55" t="s">
        <v>60</v>
      </c>
      <c r="N160" s="195" t="s">
        <v>0</v>
      </c>
      <c r="O160" s="204" t="s">
        <v>0</v>
      </c>
      <c r="P160" s="187"/>
      <c r="Q160" s="188"/>
      <c r="R160" s="188"/>
      <c r="S160" s="188"/>
      <c r="T160" s="189"/>
      <c r="U160" s="189"/>
      <c r="V160" s="190"/>
      <c r="W160" s="191"/>
      <c r="X160" s="191"/>
      <c r="Y160" s="191"/>
      <c r="Z160" s="191"/>
      <c r="AA160" s="191"/>
      <c r="AB160" s="191"/>
      <c r="AC160" s="191"/>
      <c r="AD160" s="191"/>
      <c r="AE160" s="190"/>
      <c r="AF160" s="192"/>
      <c r="AG160" s="143"/>
      <c r="AH160" s="56"/>
      <c r="AI160" s="56"/>
      <c r="AJ160" s="56"/>
    </row>
    <row r="161" spans="1:36" ht="31.95" customHeight="1" x14ac:dyDescent="0.3">
      <c r="A161" s="12"/>
      <c r="B161" s="122"/>
      <c r="C161" s="49"/>
      <c r="D161" s="49">
        <f>IF(G161=Categories!$E$4,VLOOKUP(F161,Categories!$A$4:$C$13,3,1),VLOOKUP(G161,Categories!$E$4:$G$24,3,1))</f>
        <v>120</v>
      </c>
      <c r="E161" s="44">
        <v>15</v>
      </c>
      <c r="F161" s="50" t="s">
        <v>45</v>
      </c>
      <c r="G161" s="45" t="s">
        <v>0</v>
      </c>
      <c r="H161" s="52"/>
      <c r="I161" s="131">
        <v>2500</v>
      </c>
      <c r="J161" s="53">
        <v>2</v>
      </c>
      <c r="K161" s="54">
        <f>IFERROR(VLOOKUP(VLOOKUP(M161,M161,1,1),Categories!$K$4:$V$18,2+VLOOKUP(J161,J161,1,1)),"-"  )</f>
        <v>7.3</v>
      </c>
      <c r="L161" s="54" t="str">
        <f>IFERROR(VLOOKUP(VLOOKUP(M161,M161,1,1),Categories!$K$3:$V$18,7+VLOOKUP(J161,J161,1,1)),"-")</f>
        <v>4 ATM</v>
      </c>
      <c r="M161" s="55" t="s">
        <v>60</v>
      </c>
      <c r="N161" s="195" t="s">
        <v>0</v>
      </c>
      <c r="O161" s="204" t="s">
        <v>0</v>
      </c>
      <c r="P161" s="151"/>
      <c r="Q161" s="144"/>
      <c r="R161" s="144"/>
      <c r="S161" s="188"/>
      <c r="T161" s="147"/>
      <c r="U161" s="147"/>
      <c r="V161" s="148"/>
      <c r="W161" s="149"/>
      <c r="X161" s="149"/>
      <c r="Y161" s="149"/>
      <c r="Z161" s="149"/>
      <c r="AA161" s="149"/>
      <c r="AB161" s="149"/>
      <c r="AC161" s="149"/>
      <c r="AD161" s="149"/>
      <c r="AE161" s="148"/>
      <c r="AF161" s="150"/>
      <c r="AG161" s="143"/>
      <c r="AH161" s="48"/>
      <c r="AI161" s="56"/>
      <c r="AJ161" s="56"/>
    </row>
    <row r="162" spans="1:36" ht="31.95" customHeight="1" x14ac:dyDescent="0.3">
      <c r="A162" s="12"/>
      <c r="B162" s="122"/>
      <c r="C162" s="49"/>
      <c r="D162" s="49">
        <f>IF(G162=Categories!$E$4,VLOOKUP(F162,Categories!$A$4:$C$13,3,1),VLOOKUP(G162,Categories!$E$4:$G$24,3,1))</f>
        <v>60</v>
      </c>
      <c r="E162" s="44">
        <v>15</v>
      </c>
      <c r="F162" s="50" t="s">
        <v>257</v>
      </c>
      <c r="G162" s="51" t="s">
        <v>263</v>
      </c>
      <c r="H162" s="52"/>
      <c r="I162" s="131">
        <v>2500</v>
      </c>
      <c r="J162" s="53">
        <v>3</v>
      </c>
      <c r="K162" s="54">
        <f>IFERROR(VLOOKUP(VLOOKUP(M162,M162,1,1),Categories!$K$4:$V$18,2+VLOOKUP(J162,J162,1,1)),"-"  )</f>
        <v>8.52</v>
      </c>
      <c r="L162" s="54" t="str">
        <f>IFERROR(VLOOKUP(VLOOKUP(M162,M162,1,1),Categories!$K$3:$V$18,7+VLOOKUP(J162,J162,1,1)),"-")</f>
        <v>13 ATM</v>
      </c>
      <c r="M162" s="55" t="s">
        <v>60</v>
      </c>
      <c r="N162" s="195" t="s">
        <v>0</v>
      </c>
      <c r="O162" s="204" t="s">
        <v>0</v>
      </c>
      <c r="P162" s="151"/>
      <c r="Q162" s="144"/>
      <c r="R162" s="144"/>
      <c r="S162" s="188"/>
      <c r="T162" s="147"/>
      <c r="U162" s="147"/>
      <c r="V162" s="148"/>
      <c r="W162" s="149"/>
      <c r="X162" s="149"/>
      <c r="Y162" s="149"/>
      <c r="Z162" s="149"/>
      <c r="AA162" s="149"/>
      <c r="AB162" s="149"/>
      <c r="AC162" s="149"/>
      <c r="AD162" s="149"/>
      <c r="AE162" s="148"/>
      <c r="AF162" s="150"/>
      <c r="AG162" s="143"/>
      <c r="AH162" s="48"/>
      <c r="AI162" s="56"/>
      <c r="AJ162" s="56"/>
    </row>
    <row r="163" spans="1:36" ht="31.95" customHeight="1" x14ac:dyDescent="0.3">
      <c r="A163" s="12"/>
      <c r="B163" s="122"/>
      <c r="C163" s="49"/>
      <c r="D163" s="49">
        <f>IF(G163=Categories!$E$4,VLOOKUP(F163,Categories!$A$4:$C$13,3,1),VLOOKUP(G163,Categories!$E$4:$G$24,3,1))</f>
        <v>120</v>
      </c>
      <c r="E163" s="44">
        <v>15</v>
      </c>
      <c r="F163" s="50" t="s">
        <v>45</v>
      </c>
      <c r="G163" s="45" t="s">
        <v>0</v>
      </c>
      <c r="H163" s="52"/>
      <c r="I163" s="131">
        <v>2500</v>
      </c>
      <c r="J163" s="53">
        <v>3</v>
      </c>
      <c r="K163" s="54">
        <f>IFERROR(VLOOKUP(VLOOKUP(M163,M163,1,1),Categories!$K$4:$V$18,2+VLOOKUP(J163,J163,1,1)),"-"  )</f>
        <v>8.52</v>
      </c>
      <c r="L163" s="54" t="str">
        <f>IFERROR(VLOOKUP(VLOOKUP(M163,M163,1,1),Categories!$K$3:$V$18,7+VLOOKUP(J163,J163,1,1)),"-")</f>
        <v>13 ATM</v>
      </c>
      <c r="M163" s="55" t="s">
        <v>60</v>
      </c>
      <c r="N163" s="195" t="s">
        <v>0</v>
      </c>
      <c r="O163" s="204" t="s">
        <v>0</v>
      </c>
      <c r="P163" s="151"/>
      <c r="Q163" s="144"/>
      <c r="R163" s="144"/>
      <c r="S163" s="188"/>
      <c r="T163" s="147"/>
      <c r="U163" s="147"/>
      <c r="V163" s="148"/>
      <c r="W163" s="149"/>
      <c r="X163" s="149"/>
      <c r="Y163" s="149"/>
      <c r="Z163" s="149"/>
      <c r="AA163" s="149"/>
      <c r="AB163" s="149"/>
      <c r="AC163" s="149"/>
      <c r="AD163" s="149"/>
      <c r="AE163" s="148"/>
      <c r="AF163" s="150"/>
      <c r="AG163" s="143"/>
      <c r="AH163" s="48"/>
      <c r="AI163" s="56"/>
      <c r="AJ163" s="56"/>
    </row>
    <row r="164" spans="1:36" ht="31.95" customHeight="1" x14ac:dyDescent="0.3">
      <c r="A164" s="12"/>
      <c r="B164" s="122"/>
      <c r="C164" s="49"/>
      <c r="D164" s="49">
        <f>IF(G164=Categories!$E$4,VLOOKUP(F164,Categories!$A$4:$C$13,3,1),VLOOKUP(G164,Categories!$E$4:$G$24,3,1))</f>
        <v>60</v>
      </c>
      <c r="E164" s="44">
        <v>15</v>
      </c>
      <c r="F164" s="50" t="s">
        <v>257</v>
      </c>
      <c r="G164" s="51" t="s">
        <v>264</v>
      </c>
      <c r="H164" s="52"/>
      <c r="I164" s="131">
        <v>2500</v>
      </c>
      <c r="J164" s="53">
        <v>1</v>
      </c>
      <c r="K164" s="54">
        <f>IFERROR(VLOOKUP(VLOOKUP(M164,M164,1,1),Categories!$K$4:$V$18,2+VLOOKUP(J164,J164,1,1)),"-"  )</f>
        <v>1.67</v>
      </c>
      <c r="L164" s="54" t="str">
        <f>IFERROR(VLOOKUP(VLOOKUP(M164,M164,1,1),Categories!$K$3:$V$18,7+VLOOKUP(J164,J164,1,1)),"-")</f>
        <v>0 ATM</v>
      </c>
      <c r="M164" s="55" t="s">
        <v>60</v>
      </c>
      <c r="N164" s="195" t="s">
        <v>0</v>
      </c>
      <c r="O164" s="204" t="s">
        <v>0</v>
      </c>
      <c r="P164" s="151"/>
      <c r="Q164" s="144"/>
      <c r="R164" s="144"/>
      <c r="S164" s="188"/>
      <c r="T164" s="147"/>
      <c r="U164" s="147"/>
      <c r="V164" s="148"/>
      <c r="W164" s="149"/>
      <c r="X164" s="149"/>
      <c r="Y164" s="149"/>
      <c r="Z164" s="149"/>
      <c r="AA164" s="149"/>
      <c r="AB164" s="149"/>
      <c r="AC164" s="149"/>
      <c r="AD164" s="149"/>
      <c r="AE164" s="148"/>
      <c r="AF164" s="150"/>
      <c r="AG164" s="143"/>
      <c r="AH164" s="48"/>
      <c r="AI164" s="56"/>
      <c r="AJ164" s="56"/>
    </row>
    <row r="165" spans="1:36" ht="31.95" customHeight="1" x14ac:dyDescent="0.3">
      <c r="A165" s="12"/>
      <c r="B165" s="205"/>
      <c r="C165" s="49"/>
      <c r="D165" s="49">
        <f>IF(G165=Categories!$E$4,VLOOKUP(F165,Categories!$A$4:$C$13,3,1),VLOOKUP(G165,Categories!$E$4:$G$24,3,1))</f>
        <v>120</v>
      </c>
      <c r="E165" s="44">
        <v>15</v>
      </c>
      <c r="F165" s="50" t="s">
        <v>261</v>
      </c>
      <c r="G165" s="45" t="s">
        <v>0</v>
      </c>
      <c r="H165" s="52"/>
      <c r="I165" s="131">
        <v>2500</v>
      </c>
      <c r="J165" s="53">
        <v>1</v>
      </c>
      <c r="K165" s="54">
        <f>IFERROR(VLOOKUP(VLOOKUP(M165,M165,1,1),Categories!$K$4:$V$18,2+VLOOKUP(J165,J165,1,1)),"-"  )</f>
        <v>1.67</v>
      </c>
      <c r="L165" s="54" t="str">
        <f>IFERROR(VLOOKUP(VLOOKUP(M165,M165,1,1),Categories!$K$3:$V$18,7+VLOOKUP(J165,J165,1,1)),"-")</f>
        <v>0 ATM</v>
      </c>
      <c r="M165" s="55" t="s">
        <v>60</v>
      </c>
      <c r="N165" s="195" t="s">
        <v>0</v>
      </c>
      <c r="O165" s="204" t="s">
        <v>0</v>
      </c>
      <c r="P165" s="151"/>
      <c r="Q165" s="144"/>
      <c r="R165" s="144"/>
      <c r="S165" s="144"/>
      <c r="T165" s="147"/>
      <c r="U165" s="147"/>
      <c r="V165" s="148"/>
      <c r="W165" s="149"/>
      <c r="X165" s="149"/>
      <c r="Y165" s="149"/>
      <c r="Z165" s="149"/>
      <c r="AA165" s="149"/>
      <c r="AB165" s="149"/>
      <c r="AC165" s="149"/>
      <c r="AD165" s="149"/>
      <c r="AE165" s="148"/>
      <c r="AF165" s="150"/>
      <c r="AG165" s="143"/>
      <c r="AH165" s="48"/>
      <c r="AI165" s="56"/>
      <c r="AJ165" s="56"/>
    </row>
    <row r="166" spans="1:36" ht="31.95" customHeight="1" x14ac:dyDescent="0.3">
      <c r="A166" s="12"/>
      <c r="B166" s="122"/>
      <c r="C166" s="49"/>
      <c r="D166" s="49">
        <f>IF(G166=Categories!$E$4,VLOOKUP(F166,Categories!$A$4:$C$13,3,1),VLOOKUP(G166,Categories!$E$4:$G$24,3,1))</f>
        <v>30</v>
      </c>
      <c r="E166" s="44" t="s">
        <v>0</v>
      </c>
      <c r="F166" s="50" t="s">
        <v>257</v>
      </c>
      <c r="G166" s="51" t="s">
        <v>2</v>
      </c>
      <c r="H166" s="52"/>
      <c r="I166" s="131">
        <v>2800</v>
      </c>
      <c r="J166" s="53">
        <v>1</v>
      </c>
      <c r="K166" s="54">
        <f>IFERROR(VLOOKUP(VLOOKUP(M166,M166,1,1),Categories!$K$4:$V$18,2+VLOOKUP(J166,J166,1,1)),"-"  )</f>
        <v>1.67</v>
      </c>
      <c r="L166" s="54" t="str">
        <f>IFERROR(VLOOKUP(VLOOKUP(M166,M166,1,1),Categories!$K$3:$V$18,7+VLOOKUP(J166,J166,1,1)),"-")</f>
        <v>0 ATM</v>
      </c>
      <c r="M166" s="55" t="s">
        <v>60</v>
      </c>
      <c r="N166" s="195" t="s">
        <v>0</v>
      </c>
      <c r="O166" s="204" t="s">
        <v>0</v>
      </c>
      <c r="P166" s="151"/>
      <c r="Q166" s="144"/>
      <c r="R166" s="144"/>
      <c r="T166" s="147"/>
      <c r="U166" s="147"/>
      <c r="V166" s="148"/>
      <c r="W166" s="149"/>
      <c r="X166" s="149"/>
      <c r="Y166" s="149"/>
      <c r="Z166" s="149"/>
      <c r="AA166" s="149"/>
      <c r="AB166" s="149"/>
      <c r="AC166" s="149"/>
      <c r="AD166" s="149"/>
      <c r="AE166" s="148"/>
      <c r="AF166" s="150"/>
      <c r="AG166" s="143"/>
      <c r="AH166" s="48"/>
      <c r="AI166" s="56"/>
      <c r="AJ166" s="56"/>
    </row>
    <row r="167" spans="1:36" ht="31.95" customHeight="1" x14ac:dyDescent="0.3">
      <c r="A167" s="185"/>
      <c r="B167" s="186"/>
      <c r="C167" s="49"/>
      <c r="D167" s="49">
        <f>IF(G167=Categories!$E$4,VLOOKUP(F167,Categories!$A$4:$C$13,3,1),VLOOKUP(G167,Categories!$E$4:$G$24,3,1))</f>
        <v>120</v>
      </c>
      <c r="E167" s="44">
        <v>16</v>
      </c>
      <c r="F167" s="50" t="s">
        <v>45</v>
      </c>
      <c r="G167" s="51" t="s">
        <v>0</v>
      </c>
      <c r="H167" s="52"/>
      <c r="I167" s="131">
        <v>2800</v>
      </c>
      <c r="J167" s="53">
        <v>1</v>
      </c>
      <c r="K167" s="54">
        <f>IFERROR(VLOOKUP(VLOOKUP(M167,M167,1,1),Categories!$K$4:$V$18,2+VLOOKUP(J167,J167,1,1)),"-"  )</f>
        <v>1.67</v>
      </c>
      <c r="L167" s="54" t="str">
        <f>IFERROR(VLOOKUP(VLOOKUP(M167,M167,1,1),Categories!$K$3:$V$18,7+VLOOKUP(J167,J167,1,1)),"-")</f>
        <v>0 ATM</v>
      </c>
      <c r="M167" s="55" t="s">
        <v>60</v>
      </c>
      <c r="N167" s="195" t="s">
        <v>0</v>
      </c>
      <c r="O167" s="204" t="s">
        <v>0</v>
      </c>
      <c r="P167" s="187"/>
      <c r="Q167" s="188"/>
      <c r="R167" s="188"/>
      <c r="T167" s="189"/>
      <c r="U167" s="189"/>
      <c r="V167" s="190"/>
      <c r="W167" s="191"/>
      <c r="X167" s="191"/>
      <c r="Y167" s="191"/>
      <c r="Z167" s="191"/>
      <c r="AA167" s="191"/>
      <c r="AB167" s="191"/>
      <c r="AC167" s="191"/>
      <c r="AD167" s="191"/>
      <c r="AE167" s="190"/>
      <c r="AF167" s="192"/>
      <c r="AG167" s="143" t="s">
        <v>278</v>
      </c>
      <c r="AH167" s="56"/>
      <c r="AI167" s="56"/>
      <c r="AJ167" s="56"/>
    </row>
    <row r="168" spans="1:36" ht="31.95" customHeight="1" x14ac:dyDescent="0.3">
      <c r="A168" s="185"/>
      <c r="B168" s="186"/>
      <c r="C168" s="49"/>
      <c r="D168" s="49">
        <f>IF(G168=Categories!$E$4,VLOOKUP(F168,Categories!$A$4:$C$13,3,1),VLOOKUP(G168,Categories!$E$4:$G$24,3,1))</f>
        <v>60</v>
      </c>
      <c r="E168" s="44">
        <v>16</v>
      </c>
      <c r="F168" s="50" t="s">
        <v>257</v>
      </c>
      <c r="G168" s="51" t="s">
        <v>263</v>
      </c>
      <c r="H168" s="52"/>
      <c r="I168" s="131">
        <v>2800</v>
      </c>
      <c r="J168" s="53">
        <v>2</v>
      </c>
      <c r="K168" s="54">
        <f>IFERROR(VLOOKUP(VLOOKUP(M168,M168,1,1),Categories!$K$4:$V$18,2+VLOOKUP(J168,J168,1,1)),"-"  )</f>
        <v>7.3</v>
      </c>
      <c r="L168" s="54" t="str">
        <f>IFERROR(VLOOKUP(VLOOKUP(M168,M168,1,1),Categories!$K$3:$V$18,7+VLOOKUP(J168,J168,1,1)),"-")</f>
        <v>4 ATM</v>
      </c>
      <c r="M168" s="55" t="s">
        <v>60</v>
      </c>
      <c r="N168" s="195" t="s">
        <v>0</v>
      </c>
      <c r="O168" s="204" t="s">
        <v>0</v>
      </c>
      <c r="P168" s="187"/>
      <c r="Q168" s="188"/>
      <c r="R168" s="188"/>
      <c r="T168" s="189"/>
      <c r="U168" s="189"/>
      <c r="V168" s="190"/>
      <c r="W168" s="191"/>
      <c r="X168" s="191"/>
      <c r="Y168" s="191"/>
      <c r="Z168" s="191"/>
      <c r="AA168" s="191"/>
      <c r="AB168" s="191"/>
      <c r="AC168" s="191"/>
      <c r="AD168" s="191"/>
      <c r="AE168" s="190"/>
      <c r="AF168" s="192"/>
      <c r="AG168" s="143"/>
      <c r="AH168" s="56"/>
      <c r="AI168" s="56"/>
      <c r="AJ168" s="56"/>
    </row>
    <row r="169" spans="1:36" ht="31.95" customHeight="1" x14ac:dyDescent="0.3">
      <c r="A169" s="12"/>
      <c r="B169" s="122"/>
      <c r="C169" s="49"/>
      <c r="D169" s="49">
        <f>IF(G169=Categories!$E$4,VLOOKUP(F169,Categories!$A$4:$C$13,3,1),VLOOKUP(G169,Categories!$E$4:$G$24,3,1))</f>
        <v>120</v>
      </c>
      <c r="E169" s="44">
        <v>16</v>
      </c>
      <c r="F169" s="50" t="s">
        <v>45</v>
      </c>
      <c r="G169" s="45" t="s">
        <v>0</v>
      </c>
      <c r="H169" s="52"/>
      <c r="I169" s="131">
        <v>2800</v>
      </c>
      <c r="J169" s="53">
        <v>2</v>
      </c>
      <c r="K169" s="54">
        <f>IFERROR(VLOOKUP(VLOOKUP(M169,M169,1,1),Categories!$K$4:$V$18,2+VLOOKUP(J169,J169,1,1)),"-"  )</f>
        <v>7.3</v>
      </c>
      <c r="L169" s="54" t="str">
        <f>IFERROR(VLOOKUP(VLOOKUP(M169,M169,1,1),Categories!$K$3:$V$18,7+VLOOKUP(J169,J169,1,1)),"-")</f>
        <v>4 ATM</v>
      </c>
      <c r="M169" s="55" t="s">
        <v>60</v>
      </c>
      <c r="N169" s="195" t="s">
        <v>0</v>
      </c>
      <c r="O169" s="204" t="s">
        <v>0</v>
      </c>
      <c r="P169" s="151"/>
      <c r="Q169" s="144"/>
      <c r="R169" s="144"/>
      <c r="T169" s="147"/>
      <c r="U169" s="147"/>
      <c r="V169" s="148"/>
      <c r="W169" s="149"/>
      <c r="X169" s="149"/>
      <c r="Y169" s="149"/>
      <c r="Z169" s="149"/>
      <c r="AA169" s="149"/>
      <c r="AB169" s="149"/>
      <c r="AC169" s="149"/>
      <c r="AD169" s="149"/>
      <c r="AE169" s="148"/>
      <c r="AF169" s="150"/>
      <c r="AG169" s="143" t="s">
        <v>278</v>
      </c>
      <c r="AH169" s="48"/>
      <c r="AI169" s="56"/>
      <c r="AJ169" s="56"/>
    </row>
    <row r="170" spans="1:36" ht="31.95" customHeight="1" x14ac:dyDescent="0.3">
      <c r="A170" s="12"/>
      <c r="B170" s="122"/>
      <c r="C170" s="49"/>
      <c r="D170" s="49">
        <f>IF(G170=Categories!$E$4,VLOOKUP(F170,Categories!$A$4:$C$13,3,1),VLOOKUP(G170,Categories!$E$4:$G$24,3,1))</f>
        <v>60</v>
      </c>
      <c r="E170" s="44">
        <v>16</v>
      </c>
      <c r="F170" s="50" t="s">
        <v>257</v>
      </c>
      <c r="G170" s="51" t="s">
        <v>263</v>
      </c>
      <c r="H170" s="52"/>
      <c r="I170" s="131">
        <v>2800</v>
      </c>
      <c r="J170" s="53">
        <v>3</v>
      </c>
      <c r="K170" s="54">
        <f>IFERROR(VLOOKUP(VLOOKUP(M170,M170,1,1),Categories!$K$4:$V$18,2+VLOOKUP(J170,J170,1,1)),"-"  )</f>
        <v>8.52</v>
      </c>
      <c r="L170" s="54" t="str">
        <f>IFERROR(VLOOKUP(VLOOKUP(M170,M170,1,1),Categories!$K$3:$V$18,7+VLOOKUP(J170,J170,1,1)),"-")</f>
        <v>13 ATM</v>
      </c>
      <c r="M170" s="55" t="s">
        <v>60</v>
      </c>
      <c r="N170" s="195" t="s">
        <v>0</v>
      </c>
      <c r="O170" s="204" t="s">
        <v>0</v>
      </c>
      <c r="P170" s="151"/>
      <c r="Q170" s="144"/>
      <c r="R170" s="144"/>
      <c r="T170" s="147"/>
      <c r="U170" s="147"/>
      <c r="V170" s="148"/>
      <c r="W170" s="149"/>
      <c r="X170" s="149"/>
      <c r="Y170" s="149"/>
      <c r="Z170" s="149"/>
      <c r="AA170" s="149"/>
      <c r="AB170" s="149"/>
      <c r="AC170" s="149"/>
      <c r="AD170" s="149"/>
      <c r="AE170" s="148"/>
      <c r="AF170" s="150"/>
      <c r="AG170" s="143"/>
      <c r="AH170" s="48"/>
      <c r="AI170" s="56"/>
      <c r="AJ170" s="56"/>
    </row>
    <row r="171" spans="1:36" ht="31.95" customHeight="1" x14ac:dyDescent="0.3">
      <c r="A171" s="12"/>
      <c r="B171" s="122"/>
      <c r="C171" s="49"/>
      <c r="D171" s="49">
        <f>IF(G171=Categories!$E$4,VLOOKUP(F171,Categories!$A$4:$C$13,3,1),VLOOKUP(G171,Categories!$E$4:$G$24,3,1))</f>
        <v>120</v>
      </c>
      <c r="E171" s="44">
        <v>16</v>
      </c>
      <c r="F171" s="50" t="s">
        <v>45</v>
      </c>
      <c r="G171" s="45" t="s">
        <v>0</v>
      </c>
      <c r="H171" s="52"/>
      <c r="I171" s="131">
        <v>2800</v>
      </c>
      <c r="J171" s="53">
        <v>3</v>
      </c>
      <c r="K171" s="54">
        <f>IFERROR(VLOOKUP(VLOOKUP(M171,M171,1,1),Categories!$K$4:$V$18,2+VLOOKUP(J171,J171,1,1)),"-"  )</f>
        <v>8.52</v>
      </c>
      <c r="L171" s="54" t="str">
        <f>IFERROR(VLOOKUP(VLOOKUP(M171,M171,1,1),Categories!$K$3:$V$18,7+VLOOKUP(J171,J171,1,1)),"-")</f>
        <v>13 ATM</v>
      </c>
      <c r="M171" s="55" t="s">
        <v>60</v>
      </c>
      <c r="N171" s="195" t="s">
        <v>0</v>
      </c>
      <c r="O171" s="204" t="s">
        <v>0</v>
      </c>
      <c r="P171" s="151"/>
      <c r="Q171" s="144"/>
      <c r="R171" s="144"/>
      <c r="T171" s="147"/>
      <c r="U171" s="147"/>
      <c r="V171" s="148"/>
      <c r="W171" s="149"/>
      <c r="X171" s="149"/>
      <c r="Y171" s="149"/>
      <c r="Z171" s="149"/>
      <c r="AA171" s="149"/>
      <c r="AB171" s="149"/>
      <c r="AC171" s="149"/>
      <c r="AD171" s="149"/>
      <c r="AE171" s="148"/>
      <c r="AF171" s="150"/>
      <c r="AG171" s="143" t="s">
        <v>278</v>
      </c>
      <c r="AH171" s="48"/>
      <c r="AI171" s="56"/>
      <c r="AJ171" s="56"/>
    </row>
    <row r="172" spans="1:36" ht="31.95" customHeight="1" x14ac:dyDescent="0.3">
      <c r="A172" s="12"/>
      <c r="B172" s="122"/>
      <c r="C172" s="49"/>
      <c r="D172" s="49">
        <f>IF(G172=Categories!$E$4,VLOOKUP(F172,Categories!$A$4:$C$13,3,1),VLOOKUP(G172,Categories!$E$4:$G$24,3,1))</f>
        <v>60</v>
      </c>
      <c r="E172" s="44">
        <v>16</v>
      </c>
      <c r="F172" s="50" t="s">
        <v>257</v>
      </c>
      <c r="G172" s="51" t="s">
        <v>264</v>
      </c>
      <c r="H172" s="52"/>
      <c r="I172" s="131">
        <v>2800</v>
      </c>
      <c r="J172" s="53">
        <v>1</v>
      </c>
      <c r="K172" s="54">
        <f>IFERROR(VLOOKUP(VLOOKUP(M172,M172,1,1),Categories!$K$4:$V$18,2+VLOOKUP(J172,J172,1,1)),"-"  )</f>
        <v>1.67</v>
      </c>
      <c r="L172" s="54" t="str">
        <f>IFERROR(VLOOKUP(VLOOKUP(M172,M172,1,1),Categories!$K$3:$V$18,7+VLOOKUP(J172,J172,1,1)),"-")</f>
        <v>0 ATM</v>
      </c>
      <c r="M172" s="55" t="s">
        <v>60</v>
      </c>
      <c r="N172" s="195" t="s">
        <v>0</v>
      </c>
      <c r="O172" s="204" t="s">
        <v>0</v>
      </c>
      <c r="P172" s="151"/>
      <c r="Q172" s="144"/>
      <c r="R172" s="144"/>
      <c r="T172" s="147"/>
      <c r="U172" s="147"/>
      <c r="V172" s="148"/>
      <c r="W172" s="149"/>
      <c r="X172" s="149"/>
      <c r="Y172" s="149"/>
      <c r="Z172" s="149"/>
      <c r="AA172" s="149"/>
      <c r="AB172" s="149"/>
      <c r="AC172" s="149"/>
      <c r="AD172" s="149"/>
      <c r="AE172" s="148"/>
      <c r="AF172" s="150"/>
      <c r="AG172" s="143"/>
      <c r="AH172" s="48"/>
      <c r="AI172" s="56"/>
      <c r="AJ172" s="56"/>
    </row>
    <row r="173" spans="1:36" ht="31.95" customHeight="1" x14ac:dyDescent="0.3">
      <c r="A173" s="12"/>
      <c r="B173" s="122"/>
      <c r="C173" s="49"/>
      <c r="D173" s="49">
        <f>IF(G173=Categories!$E$4,VLOOKUP(F173,Categories!$A$4:$C$13,3,1),VLOOKUP(G173,Categories!$E$4:$G$24,3,1))</f>
        <v>120</v>
      </c>
      <c r="E173" s="44">
        <v>16</v>
      </c>
      <c r="F173" s="50" t="s">
        <v>261</v>
      </c>
      <c r="G173" s="45" t="s">
        <v>0</v>
      </c>
      <c r="H173" s="52"/>
      <c r="I173" s="131">
        <v>2800</v>
      </c>
      <c r="J173" s="53">
        <v>1</v>
      </c>
      <c r="K173" s="54">
        <f>IFERROR(VLOOKUP(VLOOKUP(M173,M173,1,1),Categories!$K$4:$V$18,2+VLOOKUP(J173,J173,1,1)),"-"  )</f>
        <v>1.67</v>
      </c>
      <c r="L173" s="54" t="str">
        <f>IFERROR(VLOOKUP(VLOOKUP(M173,M173,1,1),Categories!$K$3:$V$18,7+VLOOKUP(J173,J173,1,1)),"-")</f>
        <v>0 ATM</v>
      </c>
      <c r="M173" s="55" t="s">
        <v>60</v>
      </c>
      <c r="N173" s="195" t="s">
        <v>0</v>
      </c>
      <c r="O173" s="204" t="s">
        <v>0</v>
      </c>
      <c r="P173" s="151"/>
      <c r="Q173" s="144"/>
      <c r="R173" s="144"/>
      <c r="T173" s="147"/>
      <c r="U173" s="147"/>
      <c r="V173" s="148"/>
      <c r="W173" s="149"/>
      <c r="X173" s="149"/>
      <c r="Y173" s="149"/>
      <c r="Z173" s="149"/>
      <c r="AA173" s="149"/>
      <c r="AB173" s="149"/>
      <c r="AC173" s="149"/>
      <c r="AD173" s="149"/>
      <c r="AE173" s="148"/>
      <c r="AF173" s="150"/>
      <c r="AG173" s="143"/>
      <c r="AH173" s="48"/>
      <c r="AI173" s="56"/>
      <c r="AJ173" s="56"/>
    </row>
    <row r="174" spans="1:36" ht="31.95" customHeight="1" x14ac:dyDescent="0.3">
      <c r="A174" s="12"/>
      <c r="B174" s="122"/>
      <c r="C174" s="49"/>
      <c r="D174" s="49">
        <f>IF(G174=Categories!$E$4,VLOOKUP(F174,Categories!$A$4:$C$13,3,1),VLOOKUP(G174,Categories!$E$4:$G$24,3,1))</f>
        <v>30</v>
      </c>
      <c r="E174" s="44" t="s">
        <v>0</v>
      </c>
      <c r="F174" s="50" t="s">
        <v>257</v>
      </c>
      <c r="G174" s="51" t="s">
        <v>2</v>
      </c>
      <c r="H174" s="52"/>
      <c r="I174" s="131">
        <v>3100</v>
      </c>
      <c r="J174" s="53">
        <v>1</v>
      </c>
      <c r="K174" s="54">
        <f>IFERROR(VLOOKUP(VLOOKUP(M174,M174,1,1),Categories!$K$4:$V$18,2+VLOOKUP(J174,J174,1,1)),"-"  )</f>
        <v>1.67</v>
      </c>
      <c r="L174" s="54" t="str">
        <f>IFERROR(VLOOKUP(VLOOKUP(M174,M174,1,1),Categories!$K$3:$V$18,7+VLOOKUP(J174,J174,1,1)),"-")</f>
        <v>0 ATM</v>
      </c>
      <c r="M174" s="55" t="s">
        <v>60</v>
      </c>
      <c r="N174" s="195" t="s">
        <v>0</v>
      </c>
      <c r="O174" s="204" t="s">
        <v>0</v>
      </c>
      <c r="P174" s="151"/>
      <c r="Q174" s="144"/>
      <c r="R174" s="144"/>
      <c r="T174" s="147"/>
      <c r="U174" s="147"/>
      <c r="V174" s="148"/>
      <c r="W174" s="149"/>
      <c r="X174" s="149"/>
      <c r="Y174" s="149"/>
      <c r="Z174" s="149"/>
      <c r="AA174" s="149"/>
      <c r="AB174" s="149"/>
      <c r="AC174" s="149"/>
      <c r="AD174" s="149"/>
      <c r="AE174" s="148"/>
      <c r="AF174" s="150"/>
      <c r="AG174" s="143"/>
      <c r="AH174" s="48"/>
      <c r="AI174" s="56"/>
      <c r="AJ174" s="56"/>
    </row>
    <row r="175" spans="1:36" ht="31.95" customHeight="1" x14ac:dyDescent="0.3">
      <c r="A175" s="185"/>
      <c r="B175" s="186"/>
      <c r="C175" s="49"/>
      <c r="D175" s="49">
        <f>IF(G175=Categories!$E$4,VLOOKUP(F175,Categories!$A$4:$C$13,3,1),VLOOKUP(G175,Categories!$E$4:$G$24,3,1))</f>
        <v>120</v>
      </c>
      <c r="E175" s="44">
        <v>17</v>
      </c>
      <c r="F175" s="50" t="s">
        <v>45</v>
      </c>
      <c r="G175" s="51" t="s">
        <v>0</v>
      </c>
      <c r="H175" s="52"/>
      <c r="I175" s="131">
        <v>3100</v>
      </c>
      <c r="J175" s="53">
        <v>1</v>
      </c>
      <c r="K175" s="54">
        <f>IFERROR(VLOOKUP(VLOOKUP(M175,M175,1,1),Categories!$K$4:$V$18,2+VLOOKUP(J175,J175,1,1)),"-"  )</f>
        <v>1.67</v>
      </c>
      <c r="L175" s="54" t="str">
        <f>IFERROR(VLOOKUP(VLOOKUP(M175,M175,1,1),Categories!$K$3:$V$18,7+VLOOKUP(J175,J175,1,1)),"-")</f>
        <v>0 ATM</v>
      </c>
      <c r="M175" s="55" t="s">
        <v>60</v>
      </c>
      <c r="N175" s="195" t="s">
        <v>0</v>
      </c>
      <c r="O175" s="204" t="s">
        <v>0</v>
      </c>
      <c r="P175" s="187"/>
      <c r="Q175" s="188"/>
      <c r="R175" s="188"/>
      <c r="T175" s="189"/>
      <c r="U175" s="189"/>
      <c r="V175" s="190"/>
      <c r="W175" s="191"/>
      <c r="X175" s="191"/>
      <c r="Y175" s="191"/>
      <c r="Z175" s="191"/>
      <c r="AA175" s="191"/>
      <c r="AB175" s="191"/>
      <c r="AC175" s="191"/>
      <c r="AD175" s="191"/>
      <c r="AE175" s="190"/>
      <c r="AF175" s="192"/>
      <c r="AG175" s="143"/>
      <c r="AH175" s="56"/>
      <c r="AI175" s="56"/>
      <c r="AJ175" s="56"/>
    </row>
    <row r="176" spans="1:36" ht="31.95" customHeight="1" x14ac:dyDescent="0.3">
      <c r="A176" s="185"/>
      <c r="B176" s="186"/>
      <c r="C176" s="49"/>
      <c r="D176" s="49">
        <f>IF(G176=Categories!$E$4,VLOOKUP(F176,Categories!$A$4:$C$13,3,1),VLOOKUP(G176,Categories!$E$4:$G$24,3,1))</f>
        <v>60</v>
      </c>
      <c r="E176" s="44">
        <v>17</v>
      </c>
      <c r="F176" s="50" t="s">
        <v>257</v>
      </c>
      <c r="G176" s="51" t="s">
        <v>263</v>
      </c>
      <c r="H176" s="52"/>
      <c r="I176" s="131">
        <v>3100</v>
      </c>
      <c r="J176" s="53">
        <v>2</v>
      </c>
      <c r="K176" s="54">
        <f>IFERROR(VLOOKUP(VLOOKUP(M176,M176,1,1),Categories!$K$4:$V$18,2+VLOOKUP(J176,J176,1,1)),"-"  )</f>
        <v>7.3</v>
      </c>
      <c r="L176" s="54" t="str">
        <f>IFERROR(VLOOKUP(VLOOKUP(M176,M176,1,1),Categories!$K$3:$V$18,7+VLOOKUP(J176,J176,1,1)),"-")</f>
        <v>4 ATM</v>
      </c>
      <c r="M176" s="55" t="s">
        <v>60</v>
      </c>
      <c r="N176" s="195" t="s">
        <v>0</v>
      </c>
      <c r="O176" s="204" t="s">
        <v>0</v>
      </c>
      <c r="P176" s="187"/>
      <c r="Q176" s="188"/>
      <c r="R176" s="188"/>
      <c r="T176" s="189"/>
      <c r="U176" s="189"/>
      <c r="V176" s="190"/>
      <c r="W176" s="191"/>
      <c r="X176" s="191"/>
      <c r="Y176" s="191"/>
      <c r="Z176" s="191"/>
      <c r="AA176" s="191"/>
      <c r="AB176" s="191"/>
      <c r="AC176" s="191"/>
      <c r="AD176" s="191"/>
      <c r="AE176" s="190"/>
      <c r="AF176" s="192"/>
      <c r="AG176" s="143"/>
      <c r="AH176" s="56"/>
      <c r="AI176" s="56"/>
      <c r="AJ176" s="56"/>
    </row>
    <row r="177" spans="1:36" ht="31.95" customHeight="1" x14ac:dyDescent="0.3">
      <c r="A177" s="12"/>
      <c r="B177" s="122"/>
      <c r="C177" s="49"/>
      <c r="D177" s="49">
        <f>IF(G177=Categories!$E$4,VLOOKUP(F177,Categories!$A$4:$C$13,3,1),VLOOKUP(G177,Categories!$E$4:$G$24,3,1))</f>
        <v>120</v>
      </c>
      <c r="E177" s="44">
        <v>17</v>
      </c>
      <c r="F177" s="50" t="s">
        <v>45</v>
      </c>
      <c r="G177" s="45" t="s">
        <v>0</v>
      </c>
      <c r="H177" s="52"/>
      <c r="I177" s="131">
        <v>3100</v>
      </c>
      <c r="J177" s="53">
        <v>2</v>
      </c>
      <c r="K177" s="54">
        <f>IFERROR(VLOOKUP(VLOOKUP(M177,M177,1,1),Categories!$K$4:$V$18,2+VLOOKUP(J177,J177,1,1)),"-"  )</f>
        <v>7.3</v>
      </c>
      <c r="L177" s="54" t="str">
        <f>IFERROR(VLOOKUP(VLOOKUP(M177,M177,1,1),Categories!$K$3:$V$18,7+VLOOKUP(J177,J177,1,1)),"-")</f>
        <v>4 ATM</v>
      </c>
      <c r="M177" s="55" t="s">
        <v>60</v>
      </c>
      <c r="N177" s="195" t="s">
        <v>0</v>
      </c>
      <c r="O177" s="204" t="s">
        <v>0</v>
      </c>
      <c r="P177" s="151"/>
      <c r="Q177" s="144"/>
      <c r="R177" s="144"/>
      <c r="T177" s="147"/>
      <c r="U177" s="147"/>
      <c r="V177" s="148"/>
      <c r="W177" s="149"/>
      <c r="X177" s="149"/>
      <c r="Y177" s="149"/>
      <c r="Z177" s="149"/>
      <c r="AA177" s="149"/>
      <c r="AB177" s="149"/>
      <c r="AC177" s="149"/>
      <c r="AD177" s="149"/>
      <c r="AE177" s="148"/>
      <c r="AF177" s="150"/>
      <c r="AG177" s="143"/>
      <c r="AH177" s="48"/>
      <c r="AI177" s="56"/>
      <c r="AJ177" s="56"/>
    </row>
    <row r="178" spans="1:36" ht="31.95" customHeight="1" x14ac:dyDescent="0.3">
      <c r="A178" s="12"/>
      <c r="B178" s="122"/>
      <c r="C178" s="49"/>
      <c r="D178" s="49">
        <f>IF(G178=Categories!$E$4,VLOOKUP(F178,Categories!$A$4:$C$13,3,1),VLOOKUP(G178,Categories!$E$4:$G$24,3,1))</f>
        <v>60</v>
      </c>
      <c r="E178" s="44">
        <v>17</v>
      </c>
      <c r="F178" s="50" t="s">
        <v>257</v>
      </c>
      <c r="G178" s="51" t="s">
        <v>263</v>
      </c>
      <c r="H178" s="52"/>
      <c r="I178" s="131">
        <v>3100</v>
      </c>
      <c r="J178" s="53">
        <v>3</v>
      </c>
      <c r="K178" s="54">
        <f>IFERROR(VLOOKUP(VLOOKUP(M178,M178,1,1),Categories!$K$4:$V$18,2+VLOOKUP(J178,J178,1,1)),"-"  )</f>
        <v>8.52</v>
      </c>
      <c r="L178" s="54" t="str">
        <f>IFERROR(VLOOKUP(VLOOKUP(M178,M178,1,1),Categories!$K$3:$V$18,7+VLOOKUP(J178,J178,1,1)),"-")</f>
        <v>13 ATM</v>
      </c>
      <c r="M178" s="55" t="s">
        <v>60</v>
      </c>
      <c r="N178" s="195" t="s">
        <v>0</v>
      </c>
      <c r="O178" s="204" t="s">
        <v>0</v>
      </c>
      <c r="P178" s="151"/>
      <c r="Q178" s="144"/>
      <c r="R178" s="144"/>
      <c r="T178" s="147"/>
      <c r="U178" s="147"/>
      <c r="V178" s="148"/>
      <c r="W178" s="149"/>
      <c r="X178" s="149"/>
      <c r="Y178" s="149"/>
      <c r="Z178" s="149"/>
      <c r="AA178" s="149"/>
      <c r="AB178" s="149"/>
      <c r="AC178" s="149"/>
      <c r="AD178" s="149"/>
      <c r="AE178" s="148"/>
      <c r="AF178" s="150"/>
      <c r="AG178" s="143"/>
      <c r="AH178" s="48"/>
      <c r="AI178" s="56"/>
      <c r="AJ178" s="56"/>
    </row>
    <row r="179" spans="1:36" ht="31.95" customHeight="1" x14ac:dyDescent="0.3">
      <c r="A179" s="12"/>
      <c r="B179" s="122"/>
      <c r="C179" s="49"/>
      <c r="D179" s="49">
        <f>IF(G179=Categories!$E$4,VLOOKUP(F179,Categories!$A$4:$C$13,3,1),VLOOKUP(G179,Categories!$E$4:$G$24,3,1))</f>
        <v>120</v>
      </c>
      <c r="E179" s="44">
        <v>17</v>
      </c>
      <c r="F179" s="50" t="s">
        <v>45</v>
      </c>
      <c r="G179" s="45" t="s">
        <v>0</v>
      </c>
      <c r="H179" s="52"/>
      <c r="I179" s="131">
        <v>3100</v>
      </c>
      <c r="J179" s="53">
        <v>3</v>
      </c>
      <c r="K179" s="54">
        <f>IFERROR(VLOOKUP(VLOOKUP(M179,M179,1,1),Categories!$K$4:$V$18,2+VLOOKUP(J179,J179,1,1)),"-"  )</f>
        <v>8.52</v>
      </c>
      <c r="L179" s="54" t="str">
        <f>IFERROR(VLOOKUP(VLOOKUP(M179,M179,1,1),Categories!$K$3:$V$18,7+VLOOKUP(J179,J179,1,1)),"-")</f>
        <v>13 ATM</v>
      </c>
      <c r="M179" s="55" t="s">
        <v>60</v>
      </c>
      <c r="N179" s="195" t="s">
        <v>0</v>
      </c>
      <c r="O179" s="204" t="s">
        <v>0</v>
      </c>
      <c r="P179" s="151"/>
      <c r="Q179" s="144"/>
      <c r="R179" s="144"/>
      <c r="T179" s="147"/>
      <c r="U179" s="147"/>
      <c r="V179" s="148"/>
      <c r="W179" s="149"/>
      <c r="X179" s="149"/>
      <c r="Y179" s="149"/>
      <c r="Z179" s="149"/>
      <c r="AA179" s="149"/>
      <c r="AB179" s="149"/>
      <c r="AC179" s="149"/>
      <c r="AD179" s="149"/>
      <c r="AE179" s="148"/>
      <c r="AF179" s="150"/>
      <c r="AG179" s="143"/>
      <c r="AH179" s="48"/>
      <c r="AI179" s="56"/>
      <c r="AJ179" s="56"/>
    </row>
    <row r="180" spans="1:36" ht="31.95" customHeight="1" x14ac:dyDescent="0.3">
      <c r="A180" s="12"/>
      <c r="B180" s="122"/>
      <c r="C180" s="49"/>
      <c r="D180" s="49">
        <f>IF(G180=Categories!$E$4,VLOOKUP(F180,Categories!$A$4:$C$13,3,1),VLOOKUP(G180,Categories!$E$4:$G$24,3,1))</f>
        <v>60</v>
      </c>
      <c r="E180" s="44">
        <v>17</v>
      </c>
      <c r="F180" s="50" t="s">
        <v>257</v>
      </c>
      <c r="G180" s="51" t="s">
        <v>264</v>
      </c>
      <c r="H180" s="52"/>
      <c r="I180" s="131">
        <v>3100</v>
      </c>
      <c r="J180" s="53">
        <v>1</v>
      </c>
      <c r="K180" s="54">
        <f>IFERROR(VLOOKUP(VLOOKUP(M180,M180,1,1),Categories!$K$4:$V$18,2+VLOOKUP(J180,J180,1,1)),"-"  )</f>
        <v>1.67</v>
      </c>
      <c r="L180" s="54" t="str">
        <f>IFERROR(VLOOKUP(VLOOKUP(M180,M180,1,1),Categories!$K$3:$V$18,7+VLOOKUP(J180,J180,1,1)),"-")</f>
        <v>0 ATM</v>
      </c>
      <c r="M180" s="55" t="s">
        <v>60</v>
      </c>
      <c r="N180" s="195" t="s">
        <v>0</v>
      </c>
      <c r="O180" s="204" t="s">
        <v>0</v>
      </c>
      <c r="P180" s="151"/>
      <c r="Q180" s="144"/>
      <c r="R180" s="144"/>
      <c r="T180" s="147"/>
      <c r="U180" s="147"/>
      <c r="V180" s="148"/>
      <c r="W180" s="149"/>
      <c r="X180" s="149"/>
      <c r="Y180" s="149"/>
      <c r="Z180" s="149"/>
      <c r="AA180" s="149"/>
      <c r="AB180" s="149"/>
      <c r="AC180" s="149"/>
      <c r="AD180" s="149"/>
      <c r="AE180" s="148"/>
      <c r="AF180" s="150"/>
      <c r="AG180" s="143"/>
      <c r="AH180" s="48"/>
      <c r="AI180" s="56"/>
      <c r="AJ180" s="56"/>
    </row>
    <row r="181" spans="1:36" ht="31.95" customHeight="1" x14ac:dyDescent="0.3">
      <c r="A181" s="12"/>
      <c r="B181" s="122"/>
      <c r="C181" s="49"/>
      <c r="D181" s="49">
        <f>IF(G181=Categories!$E$4,VLOOKUP(F181,Categories!$A$4:$C$13,3,1),VLOOKUP(G181,Categories!$E$4:$G$24,3,1))</f>
        <v>120</v>
      </c>
      <c r="E181" s="44">
        <v>17</v>
      </c>
      <c r="F181" s="50" t="s">
        <v>261</v>
      </c>
      <c r="G181" s="45" t="s">
        <v>0</v>
      </c>
      <c r="H181" s="52"/>
      <c r="I181" s="131">
        <v>3100</v>
      </c>
      <c r="J181" s="53">
        <v>1</v>
      </c>
      <c r="K181" s="54">
        <f>IFERROR(VLOOKUP(VLOOKUP(M181,M181,1,1),Categories!$K$4:$V$18,2+VLOOKUP(J181,J181,1,1)),"-"  )</f>
        <v>1.67</v>
      </c>
      <c r="L181" s="54" t="str">
        <f>IFERROR(VLOOKUP(VLOOKUP(M181,M181,1,1),Categories!$K$3:$V$18,7+VLOOKUP(J181,J181,1,1)),"-")</f>
        <v>0 ATM</v>
      </c>
      <c r="M181" s="55" t="s">
        <v>60</v>
      </c>
      <c r="N181" s="195" t="s">
        <v>0</v>
      </c>
      <c r="O181" s="204" t="s">
        <v>0</v>
      </c>
      <c r="P181" s="151"/>
      <c r="Q181" s="144"/>
      <c r="R181" s="144"/>
      <c r="T181" s="147"/>
      <c r="U181" s="147"/>
      <c r="V181" s="148"/>
      <c r="W181" s="149"/>
      <c r="X181" s="149"/>
      <c r="Y181" s="149"/>
      <c r="Z181" s="149"/>
      <c r="AA181" s="149"/>
      <c r="AB181" s="149"/>
      <c r="AC181" s="149"/>
      <c r="AD181" s="149"/>
      <c r="AE181" s="148"/>
      <c r="AF181" s="150"/>
      <c r="AG181" s="143"/>
      <c r="AH181" s="48"/>
      <c r="AI181" s="56"/>
      <c r="AJ181" s="56"/>
    </row>
    <row r="182" spans="1:36" ht="31.95" customHeight="1" x14ac:dyDescent="0.3">
      <c r="A182" s="12"/>
      <c r="B182" s="122"/>
      <c r="C182" s="49"/>
      <c r="D182" s="49">
        <f>IF(G182=Categories!$E$4,VLOOKUP(F182,Categories!$A$4:$C$13,3,1),VLOOKUP(G182,Categories!$E$4:$G$24,3,1))</f>
        <v>30</v>
      </c>
      <c r="E182" s="44" t="s">
        <v>0</v>
      </c>
      <c r="F182" s="50" t="s">
        <v>3</v>
      </c>
      <c r="G182" s="51" t="s">
        <v>2</v>
      </c>
      <c r="H182" s="52"/>
      <c r="I182" s="131">
        <v>2200</v>
      </c>
      <c r="J182" s="53">
        <v>1</v>
      </c>
      <c r="K182" s="54">
        <f>IFERROR(VLOOKUP(VLOOKUP(M182,M182,1,1),Categories!$K$4:$V$18,2+VLOOKUP(J182,J182,1,1)),"-"  )</f>
        <v>1.67</v>
      </c>
      <c r="L182" s="54" t="str">
        <f>IFERROR(VLOOKUP(VLOOKUP(M182,M182,1,1),Categories!$K$3:$V$18,7+VLOOKUP(J182,J182,1,1)),"-")</f>
        <v>0 ATM</v>
      </c>
      <c r="M182" s="55" t="s">
        <v>60</v>
      </c>
      <c r="N182" s="195" t="s">
        <v>0</v>
      </c>
      <c r="O182" s="204" t="s">
        <v>0</v>
      </c>
      <c r="P182" s="151"/>
      <c r="Q182" s="144"/>
      <c r="R182" s="144"/>
      <c r="T182" s="147"/>
      <c r="U182" s="147"/>
      <c r="V182" s="148"/>
      <c r="W182" s="149"/>
      <c r="X182" s="149"/>
      <c r="Y182" s="149"/>
      <c r="Z182" s="149"/>
      <c r="AA182" s="149"/>
      <c r="AB182" s="149"/>
      <c r="AC182" s="149"/>
      <c r="AD182" s="149"/>
      <c r="AE182" s="148"/>
      <c r="AF182" s="150"/>
      <c r="AG182" s="143"/>
      <c r="AH182" s="48"/>
      <c r="AI182" s="56"/>
      <c r="AJ182" s="56"/>
    </row>
    <row r="183" spans="1:36" ht="31.95" customHeight="1" x14ac:dyDescent="0.3">
      <c r="A183" s="185"/>
      <c r="B183" s="186"/>
      <c r="C183" s="49"/>
      <c r="D183" s="49" t="str">
        <f>IF(G183=Categories!$E$4,VLOOKUP(F183,Categories!$A$4:$C$13,3,1),VLOOKUP(G183,Categories!$E$4:$G$24,3,1))</f>
        <v>-</v>
      </c>
      <c r="E183" s="44" t="s">
        <v>0</v>
      </c>
      <c r="F183" s="50" t="s">
        <v>3</v>
      </c>
      <c r="G183" s="51" t="s">
        <v>63</v>
      </c>
      <c r="H183" s="52"/>
      <c r="I183" s="131">
        <v>2200</v>
      </c>
      <c r="J183" s="53" t="s">
        <v>0</v>
      </c>
      <c r="K183" s="54" t="str">
        <f>IFERROR(VLOOKUP(VLOOKUP(M183,M183,1,1),Categories!$K$4:$V$18,2+VLOOKUP(J183,J183,1,1)),"-"  )</f>
        <v>-</v>
      </c>
      <c r="L183" s="54" t="str">
        <f>IFERROR(VLOOKUP(VLOOKUP(M183,M183,1,1),Categories!$K$3:$V$18,7+VLOOKUP(J183,J183,1,1)),"-")</f>
        <v>-</v>
      </c>
      <c r="M183" s="55" t="s">
        <v>0</v>
      </c>
      <c r="N183" s="195" t="s">
        <v>0</v>
      </c>
      <c r="O183" s="204" t="s">
        <v>0</v>
      </c>
      <c r="P183" s="187"/>
      <c r="Q183" s="188"/>
      <c r="R183" s="188"/>
      <c r="T183" s="189"/>
      <c r="U183" s="189"/>
      <c r="V183" s="190"/>
      <c r="W183" s="191"/>
      <c r="X183" s="191"/>
      <c r="Y183" s="191"/>
      <c r="Z183" s="191"/>
      <c r="AA183" s="191"/>
      <c r="AB183" s="191"/>
      <c r="AC183" s="191"/>
      <c r="AD183" s="191"/>
      <c r="AE183" s="190"/>
      <c r="AF183" s="192"/>
      <c r="AG183" s="143" t="s">
        <v>267</v>
      </c>
      <c r="AH183" s="56" t="s">
        <v>268</v>
      </c>
      <c r="AI183" s="56"/>
      <c r="AJ183" s="56"/>
    </row>
    <row r="184" spans="1:36" ht="31.95" customHeight="1" x14ac:dyDescent="0.3">
      <c r="A184" s="185"/>
      <c r="B184" s="186"/>
      <c r="C184" s="49"/>
      <c r="D184" s="49" t="str">
        <f>IF(G184=Categories!$E$4,VLOOKUP(F184,Categories!$A$4:$C$13,3,1),VLOOKUP(G184,Categories!$E$4:$G$24,3,1))</f>
        <v>-</v>
      </c>
      <c r="E184" s="44" t="s">
        <v>0</v>
      </c>
      <c r="F184" s="50" t="s">
        <v>3</v>
      </c>
      <c r="G184" s="51" t="s">
        <v>64</v>
      </c>
      <c r="H184" s="52"/>
      <c r="I184" s="131">
        <v>2200</v>
      </c>
      <c r="J184" s="53">
        <v>1</v>
      </c>
      <c r="K184" s="54">
        <f>IFERROR(VLOOKUP(VLOOKUP(M184,M184,1,1),Categories!$K$4:$V$18,2+VLOOKUP(J184,J184,1,1)),"-"  )</f>
        <v>0.9</v>
      </c>
      <c r="L184" s="54" t="str">
        <f>IFERROR(VLOOKUP(VLOOKUP(M184,M184,1,1),Categories!$K$3:$V$18,7+VLOOKUP(J184,J184,1,1)),"-")</f>
        <v>0 ATM</v>
      </c>
      <c r="M184" s="55" t="s">
        <v>228</v>
      </c>
      <c r="N184" s="195" t="s">
        <v>0</v>
      </c>
      <c r="O184" s="204" t="s">
        <v>0</v>
      </c>
      <c r="P184" s="187"/>
      <c r="Q184" s="188"/>
      <c r="R184" s="188"/>
      <c r="T184" s="189"/>
      <c r="U184" s="189"/>
      <c r="V184" s="190"/>
      <c r="W184" s="191"/>
      <c r="X184" s="191"/>
      <c r="Y184" s="191"/>
      <c r="Z184" s="191"/>
      <c r="AA184" s="191"/>
      <c r="AB184" s="191"/>
      <c r="AC184" s="191"/>
      <c r="AD184" s="191"/>
      <c r="AE184" s="190"/>
      <c r="AF184" s="192"/>
      <c r="AG184" s="143"/>
      <c r="AH184" s="56"/>
      <c r="AI184" s="56"/>
      <c r="AJ184" s="56"/>
    </row>
    <row r="185" spans="1:36" ht="31.95" customHeight="1" x14ac:dyDescent="0.3">
      <c r="A185" s="185"/>
      <c r="B185" s="186"/>
      <c r="C185" s="49"/>
      <c r="D185" s="49">
        <f>IF(G185=Categories!$E$4,VLOOKUP(F185,Categories!$A$4:$C$13,3,1),VLOOKUP(G185,Categories!$E$4:$G$24,3,1))</f>
        <v>120</v>
      </c>
      <c r="E185" s="44">
        <v>18</v>
      </c>
      <c r="F185" s="50" t="s">
        <v>45</v>
      </c>
      <c r="G185" s="51" t="s">
        <v>0</v>
      </c>
      <c r="H185" s="52"/>
      <c r="I185" s="131">
        <v>2200</v>
      </c>
      <c r="J185" s="53">
        <v>1</v>
      </c>
      <c r="K185" s="54">
        <f>IFERROR(VLOOKUP(VLOOKUP(M185,M185,1,1),Categories!$K$4:$V$18,2+VLOOKUP(J185,J185,1,1)),"-"  )</f>
        <v>0.9</v>
      </c>
      <c r="L185" s="54" t="str">
        <f>IFERROR(VLOOKUP(VLOOKUP(M185,M185,1,1),Categories!$K$3:$V$18,7+VLOOKUP(J185,J185,1,1)),"-")</f>
        <v>0 ATM</v>
      </c>
      <c r="M185" s="55" t="s">
        <v>228</v>
      </c>
      <c r="N185" s="195" t="s">
        <v>0</v>
      </c>
      <c r="O185" s="204" t="s">
        <v>0</v>
      </c>
      <c r="P185" s="187"/>
      <c r="Q185" s="188"/>
      <c r="R185" s="188"/>
      <c r="T185" s="189"/>
      <c r="U185" s="189"/>
      <c r="V185" s="190"/>
      <c r="W185" s="191"/>
      <c r="X185" s="191"/>
      <c r="Y185" s="191"/>
      <c r="Z185" s="191"/>
      <c r="AA185" s="191"/>
      <c r="AB185" s="191"/>
      <c r="AC185" s="191"/>
      <c r="AD185" s="191"/>
      <c r="AE185" s="190"/>
      <c r="AF185" s="192"/>
      <c r="AG185" s="143"/>
      <c r="AH185" s="56"/>
      <c r="AI185" s="56"/>
      <c r="AJ185" s="56"/>
    </row>
    <row r="186" spans="1:36" ht="31.95" customHeight="1" x14ac:dyDescent="0.3">
      <c r="A186" s="185"/>
      <c r="B186" s="186"/>
      <c r="C186" s="49"/>
      <c r="D186" s="49">
        <f>IF(G186=Categories!$E$4,VLOOKUP(F186,Categories!$A$4:$C$13,3,1),VLOOKUP(G186,Categories!$E$4:$G$24,3,1))</f>
        <v>60</v>
      </c>
      <c r="E186" s="44">
        <v>18</v>
      </c>
      <c r="F186" s="50" t="s">
        <v>257</v>
      </c>
      <c r="G186" s="51" t="s">
        <v>263</v>
      </c>
      <c r="H186" s="52"/>
      <c r="I186" s="131">
        <v>2200</v>
      </c>
      <c r="J186" s="53">
        <v>2</v>
      </c>
      <c r="K186" s="54">
        <f>IFERROR(VLOOKUP(VLOOKUP(M186,M186,1,1),Categories!$K$4:$V$18,2+VLOOKUP(J186,J186,1,1)),"-"  )</f>
        <v>4.3099999999999996</v>
      </c>
      <c r="L186" s="54" t="str">
        <f>IFERROR(VLOOKUP(VLOOKUP(M186,M186,1,1),Categories!$K$3:$V$18,7+VLOOKUP(J186,J186,1,1)),"-")</f>
        <v>8 ATM</v>
      </c>
      <c r="M186" s="55" t="s">
        <v>228</v>
      </c>
      <c r="N186" s="195" t="s">
        <v>0</v>
      </c>
      <c r="O186" s="204" t="s">
        <v>0</v>
      </c>
      <c r="P186" s="187"/>
      <c r="Q186" s="188"/>
      <c r="R186" s="188"/>
      <c r="T186" s="189"/>
      <c r="U186" s="189"/>
      <c r="V186" s="190"/>
      <c r="W186" s="191"/>
      <c r="X186" s="191"/>
      <c r="Y186" s="191"/>
      <c r="Z186" s="191"/>
      <c r="AA186" s="191"/>
      <c r="AB186" s="191"/>
      <c r="AC186" s="191"/>
      <c r="AD186" s="191"/>
      <c r="AE186" s="190"/>
      <c r="AF186" s="192"/>
      <c r="AG186" s="143"/>
      <c r="AH186" s="56"/>
      <c r="AI186" s="56"/>
      <c r="AJ186" s="56"/>
    </row>
    <row r="187" spans="1:36" ht="31.95" customHeight="1" x14ac:dyDescent="0.3">
      <c r="A187" s="12"/>
      <c r="B187" s="122"/>
      <c r="C187" s="49"/>
      <c r="D187" s="49">
        <f>IF(G187=Categories!$E$4,VLOOKUP(F187,Categories!$A$4:$C$13,3,1),VLOOKUP(G187,Categories!$E$4:$G$24,3,1))</f>
        <v>120</v>
      </c>
      <c r="E187" s="44">
        <v>18</v>
      </c>
      <c r="F187" s="50" t="s">
        <v>45</v>
      </c>
      <c r="G187" s="45" t="s">
        <v>0</v>
      </c>
      <c r="H187" s="52"/>
      <c r="I187" s="131">
        <v>2200</v>
      </c>
      <c r="J187" s="53">
        <v>2</v>
      </c>
      <c r="K187" s="54">
        <f>IFERROR(VLOOKUP(VLOOKUP(M187,M187,1,1),Categories!$K$4:$V$18,2+VLOOKUP(J187,J187,1,1)),"-"  )</f>
        <v>4.3099999999999996</v>
      </c>
      <c r="L187" s="54" t="str">
        <f>IFERROR(VLOOKUP(VLOOKUP(M187,M187,1,1),Categories!$K$3:$V$18,7+VLOOKUP(J187,J187,1,1)),"-")</f>
        <v>8 ATM</v>
      </c>
      <c r="M187" s="55" t="s">
        <v>228</v>
      </c>
      <c r="N187" s="195" t="s">
        <v>0</v>
      </c>
      <c r="O187" s="204" t="s">
        <v>0</v>
      </c>
      <c r="P187" s="151"/>
      <c r="Q187" s="144"/>
      <c r="R187" s="144"/>
      <c r="T187" s="147"/>
      <c r="U187" s="147"/>
      <c r="V187" s="148"/>
      <c r="W187" s="149"/>
      <c r="X187" s="149"/>
      <c r="Y187" s="149"/>
      <c r="Z187" s="149"/>
      <c r="AA187" s="149"/>
      <c r="AB187" s="149"/>
      <c r="AC187" s="149"/>
      <c r="AD187" s="149"/>
      <c r="AE187" s="148"/>
      <c r="AF187" s="150"/>
      <c r="AG187" s="143"/>
      <c r="AH187" s="48"/>
      <c r="AI187" s="56"/>
      <c r="AJ187" s="56"/>
    </row>
    <row r="188" spans="1:36" ht="31.95" customHeight="1" x14ac:dyDescent="0.3">
      <c r="A188" s="12"/>
      <c r="B188" s="122"/>
      <c r="C188" s="49"/>
      <c r="D188" s="49">
        <f>IF(G188=Categories!$E$4,VLOOKUP(F188,Categories!$A$4:$C$13,3,1),VLOOKUP(G188,Categories!$E$4:$G$24,3,1))</f>
        <v>60</v>
      </c>
      <c r="E188" s="44">
        <v>18</v>
      </c>
      <c r="F188" s="50" t="s">
        <v>257</v>
      </c>
      <c r="G188" s="51" t="s">
        <v>263</v>
      </c>
      <c r="H188" s="52"/>
      <c r="I188" s="131">
        <v>2200</v>
      </c>
      <c r="J188" s="53">
        <v>3</v>
      </c>
      <c r="K188" s="54">
        <f>IFERROR(VLOOKUP(VLOOKUP(M188,M188,1,1),Categories!$K$4:$V$18,2+VLOOKUP(J188,J188,1,1)),"-"  )</f>
        <v>4.67</v>
      </c>
      <c r="L188" s="54" t="str">
        <f>IFERROR(VLOOKUP(VLOOKUP(M188,M188,1,1),Categories!$K$3:$V$18,7+VLOOKUP(J188,J188,1,1)),"-")</f>
        <v>18 ATM</v>
      </c>
      <c r="M188" s="55" t="s">
        <v>228</v>
      </c>
      <c r="N188" s="195" t="s">
        <v>0</v>
      </c>
      <c r="O188" s="204" t="s">
        <v>0</v>
      </c>
      <c r="P188" s="151"/>
      <c r="Q188" s="144"/>
      <c r="R188" s="144"/>
      <c r="T188" s="147"/>
      <c r="U188" s="147"/>
      <c r="V188" s="148"/>
      <c r="W188" s="149"/>
      <c r="X188" s="149"/>
      <c r="Y188" s="149"/>
      <c r="Z188" s="149"/>
      <c r="AA188" s="149"/>
      <c r="AB188" s="149"/>
      <c r="AC188" s="149"/>
      <c r="AD188" s="149"/>
      <c r="AE188" s="148"/>
      <c r="AF188" s="150"/>
      <c r="AG188" s="143"/>
      <c r="AH188" s="48"/>
      <c r="AI188" s="56"/>
      <c r="AJ188" s="56"/>
    </row>
    <row r="189" spans="1:36" ht="31.95" customHeight="1" x14ac:dyDescent="0.3">
      <c r="A189" s="12"/>
      <c r="B189" s="122"/>
      <c r="C189" s="49"/>
      <c r="D189" s="49">
        <f>IF(G189=Categories!$E$4,VLOOKUP(F189,Categories!$A$4:$C$13,3,1),VLOOKUP(G189,Categories!$E$4:$G$24,3,1))</f>
        <v>120</v>
      </c>
      <c r="E189" s="44">
        <v>18</v>
      </c>
      <c r="F189" s="50" t="s">
        <v>45</v>
      </c>
      <c r="G189" s="45" t="s">
        <v>0</v>
      </c>
      <c r="H189" s="52"/>
      <c r="I189" s="131">
        <v>2200</v>
      </c>
      <c r="J189" s="53">
        <v>3</v>
      </c>
      <c r="K189" s="54">
        <f>IFERROR(VLOOKUP(VLOOKUP(M189,M189,1,1),Categories!$K$4:$V$18,2+VLOOKUP(J189,J189,1,1)),"-"  )</f>
        <v>4.67</v>
      </c>
      <c r="L189" s="54" t="str">
        <f>IFERROR(VLOOKUP(VLOOKUP(M189,M189,1,1),Categories!$K$3:$V$18,7+VLOOKUP(J189,J189,1,1)),"-")</f>
        <v>18 ATM</v>
      </c>
      <c r="M189" s="55" t="s">
        <v>228</v>
      </c>
      <c r="N189" s="195" t="s">
        <v>0</v>
      </c>
      <c r="O189" s="204" t="s">
        <v>0</v>
      </c>
      <c r="P189" s="151"/>
      <c r="Q189" s="144"/>
      <c r="R189" s="144"/>
      <c r="T189" s="147"/>
      <c r="U189" s="147"/>
      <c r="V189" s="148"/>
      <c r="W189" s="149"/>
      <c r="X189" s="149"/>
      <c r="Y189" s="149"/>
      <c r="Z189" s="149"/>
      <c r="AA189" s="149"/>
      <c r="AB189" s="149"/>
      <c r="AC189" s="149"/>
      <c r="AD189" s="149"/>
      <c r="AE189" s="148"/>
      <c r="AF189" s="150"/>
      <c r="AG189" s="143"/>
      <c r="AH189" s="48"/>
      <c r="AI189" s="56"/>
      <c r="AJ189" s="56"/>
    </row>
    <row r="190" spans="1:36" ht="31.95" customHeight="1" x14ac:dyDescent="0.3">
      <c r="A190" s="12"/>
      <c r="B190" s="122"/>
      <c r="C190" s="49"/>
      <c r="D190" s="49">
        <f>IF(G190=Categories!$E$4,VLOOKUP(F190,Categories!$A$4:$C$13,3,1),VLOOKUP(G190,Categories!$E$4:$G$24,3,1))</f>
        <v>60</v>
      </c>
      <c r="E190" s="44">
        <v>18</v>
      </c>
      <c r="F190" s="50" t="s">
        <v>257</v>
      </c>
      <c r="G190" s="51" t="s">
        <v>264</v>
      </c>
      <c r="H190" s="52"/>
      <c r="I190" s="131">
        <v>2200</v>
      </c>
      <c r="J190" s="53">
        <v>1</v>
      </c>
      <c r="K190" s="54">
        <f>IFERROR(VLOOKUP(VLOOKUP(M190,M190,1,1),Categories!$K$4:$V$18,2+VLOOKUP(J190,J190,1,1)),"-"  )</f>
        <v>0.9</v>
      </c>
      <c r="L190" s="54" t="str">
        <f>IFERROR(VLOOKUP(VLOOKUP(M190,M190,1,1),Categories!$K$3:$V$18,7+VLOOKUP(J190,J190,1,1)),"-")</f>
        <v>0 ATM</v>
      </c>
      <c r="M190" s="55" t="s">
        <v>228</v>
      </c>
      <c r="N190" s="195" t="s">
        <v>0</v>
      </c>
      <c r="O190" s="204" t="s">
        <v>0</v>
      </c>
      <c r="P190" s="151"/>
      <c r="Q190" s="144"/>
      <c r="R190" s="144"/>
      <c r="T190" s="147"/>
      <c r="U190" s="147"/>
      <c r="V190" s="148"/>
      <c r="W190" s="149"/>
      <c r="X190" s="149"/>
      <c r="Y190" s="149"/>
      <c r="Z190" s="149"/>
      <c r="AA190" s="149"/>
      <c r="AB190" s="149"/>
      <c r="AC190" s="149"/>
      <c r="AD190" s="149"/>
      <c r="AE190" s="148"/>
      <c r="AF190" s="150"/>
      <c r="AG190" s="143"/>
      <c r="AH190" s="48"/>
      <c r="AI190" s="56"/>
      <c r="AJ190" s="56"/>
    </row>
    <row r="191" spans="1:36" ht="31.95" customHeight="1" x14ac:dyDescent="0.3">
      <c r="A191" s="12"/>
      <c r="B191" s="122"/>
      <c r="C191" s="49"/>
      <c r="D191" s="49">
        <f>IF(G191=Categories!$E$4,VLOOKUP(F191,Categories!$A$4:$C$13,3,1),VLOOKUP(G191,Categories!$E$4:$G$24,3,1))</f>
        <v>120</v>
      </c>
      <c r="E191" s="44">
        <v>18</v>
      </c>
      <c r="F191" s="50" t="s">
        <v>261</v>
      </c>
      <c r="G191" s="45" t="s">
        <v>0</v>
      </c>
      <c r="H191" s="52"/>
      <c r="I191" s="131">
        <v>2200</v>
      </c>
      <c r="J191" s="53">
        <v>1</v>
      </c>
      <c r="K191" s="54">
        <f>IFERROR(VLOOKUP(VLOOKUP(M191,M191,1,1),Categories!$K$4:$V$18,2+VLOOKUP(J191,J191,1,1)),"-"  )</f>
        <v>0.9</v>
      </c>
      <c r="L191" s="54" t="str">
        <f>IFERROR(VLOOKUP(VLOOKUP(M191,M191,1,1),Categories!$K$3:$V$18,7+VLOOKUP(J191,J191,1,1)),"-")</f>
        <v>0 ATM</v>
      </c>
      <c r="M191" s="55" t="s">
        <v>228</v>
      </c>
      <c r="N191" s="195" t="s">
        <v>0</v>
      </c>
      <c r="O191" s="204" t="s">
        <v>0</v>
      </c>
      <c r="P191" s="151"/>
      <c r="Q191" s="144"/>
      <c r="R191" s="144"/>
      <c r="T191" s="147"/>
      <c r="U191" s="147"/>
      <c r="V191" s="148"/>
      <c r="W191" s="149"/>
      <c r="X191" s="149"/>
      <c r="Y191" s="149"/>
      <c r="Z191" s="149"/>
      <c r="AA191" s="149"/>
      <c r="AB191" s="149"/>
      <c r="AC191" s="149"/>
      <c r="AD191" s="149"/>
      <c r="AE191" s="148"/>
      <c r="AF191" s="150"/>
      <c r="AG191" s="143"/>
      <c r="AH191" s="48"/>
      <c r="AI191" s="56"/>
      <c r="AJ191" s="56"/>
    </row>
    <row r="192" spans="1:36" ht="31.95" customHeight="1" x14ac:dyDescent="0.3">
      <c r="A192" s="12"/>
      <c r="B192" s="205"/>
      <c r="C192" s="49"/>
      <c r="D192" s="49">
        <f>IF(G192=Categories!$E$4,VLOOKUP(F192,Categories!$A$4:$C$13,3,1),VLOOKUP(G192,Categories!$E$4:$G$24,3,1))</f>
        <v>30</v>
      </c>
      <c r="E192" s="44" t="s">
        <v>0</v>
      </c>
      <c r="F192" s="50" t="s">
        <v>3</v>
      </c>
      <c r="G192" s="51" t="s">
        <v>2</v>
      </c>
      <c r="H192" s="52"/>
      <c r="I192" s="131">
        <v>2500</v>
      </c>
      <c r="J192" s="53">
        <v>1</v>
      </c>
      <c r="K192" s="54">
        <f>IFERROR(VLOOKUP(VLOOKUP(M192,M192,1,1),Categories!$K$4:$V$18,2+VLOOKUP(J192,J192,1,1)),"-"  )</f>
        <v>0.9</v>
      </c>
      <c r="L192" s="54" t="str">
        <f>IFERROR(VLOOKUP(VLOOKUP(M192,M192,1,1),Categories!$K$3:$V$18,7+VLOOKUP(J192,J192,1,1)),"-")</f>
        <v>0 ATM</v>
      </c>
      <c r="M192" s="55" t="s">
        <v>228</v>
      </c>
      <c r="N192" s="195" t="s">
        <v>0</v>
      </c>
      <c r="O192" s="204" t="s">
        <v>0</v>
      </c>
      <c r="P192" s="151"/>
      <c r="Q192" s="144"/>
      <c r="R192" s="144"/>
      <c r="T192" s="147"/>
      <c r="U192" s="147"/>
      <c r="V192" s="148"/>
      <c r="W192" s="149"/>
      <c r="X192" s="149"/>
      <c r="Y192" s="149"/>
      <c r="Z192" s="149"/>
      <c r="AA192" s="149"/>
      <c r="AB192" s="149"/>
      <c r="AC192" s="149"/>
      <c r="AD192" s="149"/>
      <c r="AE192" s="148"/>
      <c r="AF192" s="150"/>
      <c r="AG192" s="143"/>
      <c r="AH192" s="48"/>
      <c r="AI192" s="56"/>
      <c r="AJ192" s="56"/>
    </row>
    <row r="193" spans="1:36" ht="31.95" customHeight="1" x14ac:dyDescent="0.3">
      <c r="A193" s="185"/>
      <c r="B193" s="206"/>
      <c r="C193" s="49"/>
      <c r="D193" s="49">
        <f>IF(G193=Categories!$E$4,VLOOKUP(F193,Categories!$A$4:$C$13,3,1),VLOOKUP(G193,Categories!$E$4:$G$24,3,1))</f>
        <v>120</v>
      </c>
      <c r="E193" s="44">
        <v>19</v>
      </c>
      <c r="F193" s="50" t="s">
        <v>45</v>
      </c>
      <c r="G193" s="51" t="s">
        <v>0</v>
      </c>
      <c r="H193" s="52"/>
      <c r="I193" s="131">
        <v>2500</v>
      </c>
      <c r="J193" s="53">
        <v>1</v>
      </c>
      <c r="K193" s="54">
        <f>IFERROR(VLOOKUP(VLOOKUP(M193,M193,1,1),Categories!$K$4:$V$18,2+VLOOKUP(J193,J193,1,1)),"-"  )</f>
        <v>0.9</v>
      </c>
      <c r="L193" s="54" t="str">
        <f>IFERROR(VLOOKUP(VLOOKUP(M193,M193,1,1),Categories!$K$3:$V$18,7+VLOOKUP(J193,J193,1,1)),"-")</f>
        <v>0 ATM</v>
      </c>
      <c r="M193" s="55" t="s">
        <v>228</v>
      </c>
      <c r="N193" s="195" t="s">
        <v>0</v>
      </c>
      <c r="O193" s="204" t="s">
        <v>0</v>
      </c>
      <c r="P193" s="187"/>
      <c r="Q193" s="188"/>
      <c r="R193" s="188"/>
      <c r="T193" s="189"/>
      <c r="U193" s="189"/>
      <c r="V193" s="190"/>
      <c r="W193" s="191"/>
      <c r="X193" s="191"/>
      <c r="Y193" s="191"/>
      <c r="Z193" s="191"/>
      <c r="AA193" s="191"/>
      <c r="AB193" s="191"/>
      <c r="AC193" s="191"/>
      <c r="AD193" s="191"/>
      <c r="AE193" s="190"/>
      <c r="AF193" s="192"/>
      <c r="AG193" s="143"/>
      <c r="AH193" s="56"/>
      <c r="AI193" s="56"/>
      <c r="AJ193" s="56"/>
    </row>
    <row r="194" spans="1:36" ht="31.95" customHeight="1" x14ac:dyDescent="0.3">
      <c r="A194" s="185"/>
      <c r="B194" s="186"/>
      <c r="C194" s="49"/>
      <c r="D194" s="49">
        <f>IF(G194=Categories!$E$4,VLOOKUP(F194,Categories!$A$4:$C$13,3,1),VLOOKUP(G194,Categories!$E$4:$G$24,3,1))</f>
        <v>60</v>
      </c>
      <c r="E194" s="44">
        <v>19</v>
      </c>
      <c r="F194" s="50" t="s">
        <v>257</v>
      </c>
      <c r="G194" s="51" t="s">
        <v>263</v>
      </c>
      <c r="H194" s="52"/>
      <c r="I194" s="131">
        <v>2500</v>
      </c>
      <c r="J194" s="53">
        <v>2</v>
      </c>
      <c r="K194" s="54">
        <f>IFERROR(VLOOKUP(VLOOKUP(M194,M194,1,1),Categories!$K$4:$V$18,2+VLOOKUP(J194,J194,1,1)),"-"  )</f>
        <v>4.3099999999999996</v>
      </c>
      <c r="L194" s="54" t="str">
        <f>IFERROR(VLOOKUP(VLOOKUP(M194,M194,1,1),Categories!$K$3:$V$18,7+VLOOKUP(J194,J194,1,1)),"-")</f>
        <v>8 ATM</v>
      </c>
      <c r="M194" s="55" t="s">
        <v>228</v>
      </c>
      <c r="N194" s="195" t="s">
        <v>0</v>
      </c>
      <c r="O194" s="204" t="s">
        <v>0</v>
      </c>
      <c r="P194" s="187"/>
      <c r="Q194" s="188"/>
      <c r="R194" s="188"/>
      <c r="T194" s="189"/>
      <c r="U194" s="189"/>
      <c r="V194" s="190"/>
      <c r="W194" s="191"/>
      <c r="X194" s="191"/>
      <c r="Y194" s="191"/>
      <c r="Z194" s="191"/>
      <c r="AA194" s="191"/>
      <c r="AB194" s="191"/>
      <c r="AC194" s="191"/>
      <c r="AD194" s="191"/>
      <c r="AE194" s="190"/>
      <c r="AF194" s="192"/>
      <c r="AG194" s="143"/>
      <c r="AH194" s="56"/>
      <c r="AI194" s="56"/>
      <c r="AJ194" s="56"/>
    </row>
    <row r="195" spans="1:36" ht="31.95" customHeight="1" x14ac:dyDescent="0.3">
      <c r="A195" s="12"/>
      <c r="B195" s="122"/>
      <c r="C195" s="49"/>
      <c r="D195" s="49">
        <f>IF(G195=Categories!$E$4,VLOOKUP(F195,Categories!$A$4:$C$13,3,1),VLOOKUP(G195,Categories!$E$4:$G$24,3,1))</f>
        <v>120</v>
      </c>
      <c r="E195" s="44">
        <v>19</v>
      </c>
      <c r="F195" s="50" t="s">
        <v>45</v>
      </c>
      <c r="G195" s="45" t="s">
        <v>0</v>
      </c>
      <c r="H195" s="52"/>
      <c r="I195" s="131">
        <v>2500</v>
      </c>
      <c r="J195" s="53">
        <v>2</v>
      </c>
      <c r="K195" s="54">
        <f>IFERROR(VLOOKUP(VLOOKUP(M195,M195,1,1),Categories!$K$4:$V$18,2+VLOOKUP(J195,J195,1,1)),"-"  )</f>
        <v>4.3099999999999996</v>
      </c>
      <c r="L195" s="54" t="str">
        <f>IFERROR(VLOOKUP(VLOOKUP(M195,M195,1,1),Categories!$K$3:$V$18,7+VLOOKUP(J195,J195,1,1)),"-")</f>
        <v>8 ATM</v>
      </c>
      <c r="M195" s="55" t="s">
        <v>228</v>
      </c>
      <c r="N195" s="195" t="s">
        <v>0</v>
      </c>
      <c r="O195" s="204" t="s">
        <v>0</v>
      </c>
      <c r="P195" s="151"/>
      <c r="Q195" s="144"/>
      <c r="R195" s="144"/>
      <c r="T195" s="147"/>
      <c r="U195" s="147"/>
      <c r="V195" s="148"/>
      <c r="W195" s="149"/>
      <c r="X195" s="149"/>
      <c r="Y195" s="149"/>
      <c r="Z195" s="149"/>
      <c r="AA195" s="149"/>
      <c r="AB195" s="149"/>
      <c r="AC195" s="149"/>
      <c r="AD195" s="149"/>
      <c r="AE195" s="148"/>
      <c r="AF195" s="150"/>
      <c r="AG195" s="143"/>
      <c r="AH195" s="48"/>
      <c r="AI195" s="56"/>
      <c r="AJ195" s="56"/>
    </row>
    <row r="196" spans="1:36" ht="31.95" customHeight="1" x14ac:dyDescent="0.3">
      <c r="A196" s="12"/>
      <c r="B196" s="122"/>
      <c r="C196" s="49"/>
      <c r="D196" s="49">
        <f>IF(G196=Categories!$E$4,VLOOKUP(F196,Categories!$A$4:$C$13,3,1),VLOOKUP(G196,Categories!$E$4:$G$24,3,1))</f>
        <v>60</v>
      </c>
      <c r="E196" s="44">
        <v>19</v>
      </c>
      <c r="F196" s="50" t="s">
        <v>257</v>
      </c>
      <c r="G196" s="51" t="s">
        <v>263</v>
      </c>
      <c r="H196" s="52"/>
      <c r="I196" s="131">
        <v>2500</v>
      </c>
      <c r="J196" s="53">
        <v>3</v>
      </c>
      <c r="K196" s="54">
        <f>IFERROR(VLOOKUP(VLOOKUP(M196,M196,1,1),Categories!$K$4:$V$18,2+VLOOKUP(J196,J196,1,1)),"-"  )</f>
        <v>4.67</v>
      </c>
      <c r="L196" s="54" t="str">
        <f>IFERROR(VLOOKUP(VLOOKUP(M196,M196,1,1),Categories!$K$3:$V$18,7+VLOOKUP(J196,J196,1,1)),"-")</f>
        <v>18 ATM</v>
      </c>
      <c r="M196" s="55" t="s">
        <v>228</v>
      </c>
      <c r="N196" s="195" t="s">
        <v>0</v>
      </c>
      <c r="O196" s="204" t="s">
        <v>0</v>
      </c>
      <c r="P196" s="151"/>
      <c r="Q196" s="144"/>
      <c r="R196" s="144"/>
      <c r="T196" s="147"/>
      <c r="U196" s="147"/>
      <c r="V196" s="148"/>
      <c r="W196" s="149"/>
      <c r="X196" s="149"/>
      <c r="Y196" s="149"/>
      <c r="Z196" s="149"/>
      <c r="AA196" s="149"/>
      <c r="AB196" s="149"/>
      <c r="AC196" s="149"/>
      <c r="AD196" s="149"/>
      <c r="AE196" s="148"/>
      <c r="AF196" s="150"/>
      <c r="AG196" s="143"/>
      <c r="AH196" s="48"/>
      <c r="AI196" s="56"/>
      <c r="AJ196" s="56"/>
    </row>
    <row r="197" spans="1:36" ht="31.95" customHeight="1" x14ac:dyDescent="0.3">
      <c r="A197" s="12"/>
      <c r="B197" s="122"/>
      <c r="C197" s="49"/>
      <c r="D197" s="49">
        <f>IF(G197=Categories!$E$4,VLOOKUP(F197,Categories!$A$4:$C$13,3,1),VLOOKUP(G197,Categories!$E$4:$G$24,3,1))</f>
        <v>120</v>
      </c>
      <c r="E197" s="44">
        <v>19</v>
      </c>
      <c r="F197" s="50" t="s">
        <v>45</v>
      </c>
      <c r="G197" s="45" t="s">
        <v>0</v>
      </c>
      <c r="H197" s="52"/>
      <c r="I197" s="131">
        <v>2500</v>
      </c>
      <c r="J197" s="53">
        <v>3</v>
      </c>
      <c r="K197" s="54">
        <f>IFERROR(VLOOKUP(VLOOKUP(M197,M197,1,1),Categories!$K$4:$V$18,2+VLOOKUP(J197,J197,1,1)),"-"  )</f>
        <v>4.67</v>
      </c>
      <c r="L197" s="54" t="str">
        <f>IFERROR(VLOOKUP(VLOOKUP(M197,M197,1,1),Categories!$K$3:$V$18,7+VLOOKUP(J197,J197,1,1)),"-")</f>
        <v>18 ATM</v>
      </c>
      <c r="M197" s="55" t="s">
        <v>228</v>
      </c>
      <c r="N197" s="195" t="s">
        <v>0</v>
      </c>
      <c r="O197" s="204" t="s">
        <v>0</v>
      </c>
      <c r="P197" s="151"/>
      <c r="Q197" s="144"/>
      <c r="R197" s="144"/>
      <c r="T197" s="147"/>
      <c r="U197" s="147"/>
      <c r="V197" s="148"/>
      <c r="W197" s="149"/>
      <c r="X197" s="149"/>
      <c r="Y197" s="149"/>
      <c r="Z197" s="149"/>
      <c r="AA197" s="149"/>
      <c r="AB197" s="149"/>
      <c r="AC197" s="149"/>
      <c r="AD197" s="149"/>
      <c r="AE197" s="148"/>
      <c r="AF197" s="150"/>
      <c r="AG197" s="143"/>
      <c r="AH197" s="48"/>
      <c r="AI197" s="56"/>
      <c r="AJ197" s="56"/>
    </row>
    <row r="198" spans="1:36" ht="31.95" customHeight="1" x14ac:dyDescent="0.3">
      <c r="A198" s="12"/>
      <c r="B198" s="122"/>
      <c r="C198" s="49"/>
      <c r="D198" s="49">
        <f>IF(G198=Categories!$E$4,VLOOKUP(F198,Categories!$A$4:$C$13,3,1),VLOOKUP(G198,Categories!$E$4:$G$24,3,1))</f>
        <v>60</v>
      </c>
      <c r="E198" s="44">
        <v>19</v>
      </c>
      <c r="F198" s="50" t="s">
        <v>257</v>
      </c>
      <c r="G198" s="51" t="s">
        <v>264</v>
      </c>
      <c r="H198" s="52"/>
      <c r="I198" s="131">
        <v>2500</v>
      </c>
      <c r="J198" s="53">
        <v>1</v>
      </c>
      <c r="K198" s="54">
        <f>IFERROR(VLOOKUP(VLOOKUP(M198,M198,1,1),Categories!$K$4:$V$18,2+VLOOKUP(J198,J198,1,1)),"-"  )</f>
        <v>0.9</v>
      </c>
      <c r="L198" s="54" t="str">
        <f>IFERROR(VLOOKUP(VLOOKUP(M198,M198,1,1),Categories!$K$3:$V$18,7+VLOOKUP(J198,J198,1,1)),"-")</f>
        <v>0 ATM</v>
      </c>
      <c r="M198" s="55" t="s">
        <v>228</v>
      </c>
      <c r="N198" s="195" t="s">
        <v>0</v>
      </c>
      <c r="O198" s="204" t="s">
        <v>0</v>
      </c>
      <c r="P198" s="151"/>
      <c r="Q198" s="144"/>
      <c r="R198" s="144"/>
      <c r="T198" s="147"/>
      <c r="U198" s="147"/>
      <c r="V198" s="148"/>
      <c r="W198" s="149"/>
      <c r="X198" s="149"/>
      <c r="Y198" s="149"/>
      <c r="Z198" s="149"/>
      <c r="AA198" s="149"/>
      <c r="AB198" s="149"/>
      <c r="AC198" s="149"/>
      <c r="AD198" s="149"/>
      <c r="AE198" s="148"/>
      <c r="AF198" s="150"/>
      <c r="AG198" s="143"/>
      <c r="AH198" s="48"/>
      <c r="AI198" s="56"/>
      <c r="AJ198" s="56"/>
    </row>
    <row r="199" spans="1:36" ht="31.95" customHeight="1" x14ac:dyDescent="0.3">
      <c r="A199" s="12"/>
      <c r="B199" s="205"/>
      <c r="C199" s="49"/>
      <c r="D199" s="49">
        <f>IF(G199=Categories!$E$4,VLOOKUP(F199,Categories!$A$4:$C$13,3,1),VLOOKUP(G199,Categories!$E$4:$G$24,3,1))</f>
        <v>120</v>
      </c>
      <c r="E199" s="44">
        <v>19</v>
      </c>
      <c r="F199" s="50" t="s">
        <v>261</v>
      </c>
      <c r="G199" s="45" t="s">
        <v>0</v>
      </c>
      <c r="H199" s="52"/>
      <c r="I199" s="131">
        <v>2500</v>
      </c>
      <c r="J199" s="53">
        <v>1</v>
      </c>
      <c r="K199" s="54">
        <f>IFERROR(VLOOKUP(VLOOKUP(M199,M199,1,1),Categories!$K$4:$V$18,2+VLOOKUP(J199,J199,1,1)),"-"  )</f>
        <v>0.9</v>
      </c>
      <c r="L199" s="54" t="str">
        <f>IFERROR(VLOOKUP(VLOOKUP(M199,M199,1,1),Categories!$K$3:$V$18,7+VLOOKUP(J199,J199,1,1)),"-")</f>
        <v>0 ATM</v>
      </c>
      <c r="M199" s="55" t="s">
        <v>228</v>
      </c>
      <c r="N199" s="195" t="s">
        <v>0</v>
      </c>
      <c r="O199" s="204" t="s">
        <v>0</v>
      </c>
      <c r="P199" s="151"/>
      <c r="Q199" s="144"/>
      <c r="R199" s="144"/>
      <c r="T199" s="147"/>
      <c r="U199" s="147"/>
      <c r="V199" s="148"/>
      <c r="W199" s="149"/>
      <c r="X199" s="149"/>
      <c r="Y199" s="149"/>
      <c r="Z199" s="149"/>
      <c r="AA199" s="149"/>
      <c r="AB199" s="149"/>
      <c r="AC199" s="149"/>
      <c r="AD199" s="149"/>
      <c r="AE199" s="148"/>
      <c r="AF199" s="150"/>
      <c r="AG199" s="143"/>
      <c r="AH199" s="48"/>
      <c r="AI199" s="56"/>
      <c r="AJ199" s="56"/>
    </row>
    <row r="200" spans="1:36" ht="31.95" customHeight="1" x14ac:dyDescent="0.3">
      <c r="A200" s="12"/>
      <c r="B200" s="122"/>
      <c r="C200" s="49"/>
      <c r="D200" s="49">
        <f>IF(G200=Categories!$E$4,VLOOKUP(F200,Categories!$A$4:$C$13,3,1),VLOOKUP(G200,Categories!$E$4:$G$24,3,1))</f>
        <v>30</v>
      </c>
      <c r="E200" s="44" t="s">
        <v>0</v>
      </c>
      <c r="F200" s="50" t="s">
        <v>257</v>
      </c>
      <c r="G200" s="51" t="s">
        <v>2</v>
      </c>
      <c r="H200" s="52"/>
      <c r="I200" s="131">
        <v>2800</v>
      </c>
      <c r="J200" s="53">
        <v>1</v>
      </c>
      <c r="K200" s="54">
        <f>IFERROR(VLOOKUP(VLOOKUP(M200,M200,1,1),Categories!$K$4:$V$18,2+VLOOKUP(J200,J200,1,1)),"-"  )</f>
        <v>0.9</v>
      </c>
      <c r="L200" s="54" t="str">
        <f>IFERROR(VLOOKUP(VLOOKUP(M200,M200,1,1),Categories!$K$3:$V$18,7+VLOOKUP(J200,J200,1,1)),"-")</f>
        <v>0 ATM</v>
      </c>
      <c r="M200" s="55" t="s">
        <v>228</v>
      </c>
      <c r="N200" s="195" t="s">
        <v>0</v>
      </c>
      <c r="O200" s="204" t="s">
        <v>0</v>
      </c>
      <c r="P200" s="151"/>
      <c r="Q200" s="144"/>
      <c r="R200" s="144"/>
      <c r="T200" s="147"/>
      <c r="U200" s="147"/>
      <c r="V200" s="148"/>
      <c r="W200" s="149"/>
      <c r="X200" s="149"/>
      <c r="Y200" s="149"/>
      <c r="Z200" s="149"/>
      <c r="AA200" s="149"/>
      <c r="AB200" s="149"/>
      <c r="AC200" s="149"/>
      <c r="AD200" s="149"/>
      <c r="AE200" s="148"/>
      <c r="AF200" s="150"/>
      <c r="AG200" s="143"/>
      <c r="AH200" s="48"/>
      <c r="AI200" s="56"/>
      <c r="AJ200" s="56"/>
    </row>
    <row r="201" spans="1:36" ht="31.95" customHeight="1" x14ac:dyDescent="0.3">
      <c r="A201" s="185"/>
      <c r="B201" s="186"/>
      <c r="C201" s="49"/>
      <c r="D201" s="49">
        <f>IF(G201=Categories!$E$4,VLOOKUP(F201,Categories!$A$4:$C$13,3,1),VLOOKUP(G201,Categories!$E$4:$G$24,3,1))</f>
        <v>120</v>
      </c>
      <c r="E201" s="44">
        <v>20</v>
      </c>
      <c r="F201" s="50" t="s">
        <v>45</v>
      </c>
      <c r="G201" s="51" t="s">
        <v>0</v>
      </c>
      <c r="H201" s="52"/>
      <c r="I201" s="131">
        <v>2800</v>
      </c>
      <c r="J201" s="53">
        <v>1</v>
      </c>
      <c r="K201" s="54">
        <f>IFERROR(VLOOKUP(VLOOKUP(M201,M201,1,1),Categories!$K$4:$V$18,2+VLOOKUP(J201,J201,1,1)),"-"  )</f>
        <v>0.9</v>
      </c>
      <c r="L201" s="54" t="str">
        <f>IFERROR(VLOOKUP(VLOOKUP(M201,M201,1,1),Categories!$K$3:$V$18,7+VLOOKUP(J201,J201,1,1)),"-")</f>
        <v>0 ATM</v>
      </c>
      <c r="M201" s="55" t="s">
        <v>228</v>
      </c>
      <c r="N201" s="195" t="s">
        <v>0</v>
      </c>
      <c r="O201" s="204" t="s">
        <v>0</v>
      </c>
      <c r="P201" s="187"/>
      <c r="Q201" s="188"/>
      <c r="R201" s="188"/>
      <c r="T201" s="189"/>
      <c r="U201" s="189"/>
      <c r="V201" s="190"/>
      <c r="W201" s="191"/>
      <c r="X201" s="191"/>
      <c r="Y201" s="191"/>
      <c r="Z201" s="191"/>
      <c r="AA201" s="191"/>
      <c r="AB201" s="191"/>
      <c r="AC201" s="191"/>
      <c r="AD201" s="191"/>
      <c r="AE201" s="190"/>
      <c r="AF201" s="192"/>
      <c r="AG201" s="143" t="s">
        <v>278</v>
      </c>
      <c r="AH201" s="56"/>
      <c r="AI201" s="56"/>
      <c r="AJ201" s="56"/>
    </row>
    <row r="202" spans="1:36" ht="31.95" customHeight="1" x14ac:dyDescent="0.3">
      <c r="A202" s="185"/>
      <c r="B202" s="186"/>
      <c r="C202" s="49"/>
      <c r="D202" s="49">
        <f>IF(G202=Categories!$E$4,VLOOKUP(F202,Categories!$A$4:$C$13,3,1),VLOOKUP(G202,Categories!$E$4:$G$24,3,1))</f>
        <v>60</v>
      </c>
      <c r="E202" s="44">
        <v>20</v>
      </c>
      <c r="F202" s="50" t="s">
        <v>257</v>
      </c>
      <c r="G202" s="51" t="s">
        <v>263</v>
      </c>
      <c r="H202" s="52"/>
      <c r="I202" s="131">
        <v>2800</v>
      </c>
      <c r="J202" s="53">
        <v>2</v>
      </c>
      <c r="K202" s="54">
        <f>IFERROR(VLOOKUP(VLOOKUP(M202,M202,1,1),Categories!$K$4:$V$18,2+VLOOKUP(J202,J202,1,1)),"-"  )</f>
        <v>4.3099999999999996</v>
      </c>
      <c r="L202" s="54" t="str">
        <f>IFERROR(VLOOKUP(VLOOKUP(M202,M202,1,1),Categories!$K$3:$V$18,7+VLOOKUP(J202,J202,1,1)),"-")</f>
        <v>8 ATM</v>
      </c>
      <c r="M202" s="55" t="s">
        <v>228</v>
      </c>
      <c r="N202" s="195" t="s">
        <v>0</v>
      </c>
      <c r="O202" s="204" t="s">
        <v>0</v>
      </c>
      <c r="P202" s="187"/>
      <c r="Q202" s="188"/>
      <c r="R202" s="188"/>
      <c r="T202" s="189"/>
      <c r="U202" s="189"/>
      <c r="V202" s="190"/>
      <c r="W202" s="191"/>
      <c r="X202" s="191"/>
      <c r="Y202" s="191"/>
      <c r="Z202" s="191"/>
      <c r="AA202" s="191"/>
      <c r="AB202" s="191"/>
      <c r="AC202" s="191"/>
      <c r="AD202" s="191"/>
      <c r="AE202" s="190"/>
      <c r="AF202" s="192"/>
      <c r="AG202" s="143"/>
      <c r="AH202" s="56"/>
      <c r="AI202" s="56"/>
      <c r="AJ202" s="56"/>
    </row>
    <row r="203" spans="1:36" ht="31.95" customHeight="1" x14ac:dyDescent="0.3">
      <c r="A203" s="12"/>
      <c r="B203" s="122"/>
      <c r="C203" s="49"/>
      <c r="D203" s="49">
        <f>IF(G203=Categories!$E$4,VLOOKUP(F203,Categories!$A$4:$C$13,3,1),VLOOKUP(G203,Categories!$E$4:$G$24,3,1))</f>
        <v>120</v>
      </c>
      <c r="E203" s="44">
        <v>20</v>
      </c>
      <c r="F203" s="50" t="s">
        <v>45</v>
      </c>
      <c r="G203" s="45" t="s">
        <v>0</v>
      </c>
      <c r="H203" s="52"/>
      <c r="I203" s="131">
        <v>2800</v>
      </c>
      <c r="J203" s="53">
        <v>2</v>
      </c>
      <c r="K203" s="54">
        <f>IFERROR(VLOOKUP(VLOOKUP(M203,M203,1,1),Categories!$K$4:$V$18,2+VLOOKUP(J203,J203,1,1)),"-"  )</f>
        <v>4.3099999999999996</v>
      </c>
      <c r="L203" s="54" t="str">
        <f>IFERROR(VLOOKUP(VLOOKUP(M203,M203,1,1),Categories!$K$3:$V$18,7+VLOOKUP(J203,J203,1,1)),"-")</f>
        <v>8 ATM</v>
      </c>
      <c r="M203" s="55" t="s">
        <v>228</v>
      </c>
      <c r="N203" s="195" t="s">
        <v>0</v>
      </c>
      <c r="O203" s="204" t="s">
        <v>0</v>
      </c>
      <c r="P203" s="151"/>
      <c r="Q203" s="144"/>
      <c r="R203" s="144"/>
      <c r="T203" s="147"/>
      <c r="U203" s="147"/>
      <c r="V203" s="148"/>
      <c r="W203" s="149"/>
      <c r="X203" s="149"/>
      <c r="Y203" s="149"/>
      <c r="Z203" s="149"/>
      <c r="AA203" s="149"/>
      <c r="AB203" s="149"/>
      <c r="AC203" s="149"/>
      <c r="AD203" s="149"/>
      <c r="AE203" s="148"/>
      <c r="AF203" s="150"/>
      <c r="AG203" s="143" t="s">
        <v>278</v>
      </c>
      <c r="AH203" s="48"/>
      <c r="AI203" s="56"/>
      <c r="AJ203" s="56"/>
    </row>
    <row r="204" spans="1:36" ht="31.95" customHeight="1" x14ac:dyDescent="0.3">
      <c r="A204" s="12"/>
      <c r="B204" s="122"/>
      <c r="C204" s="49"/>
      <c r="D204" s="49">
        <f>IF(G204=Categories!$E$4,VLOOKUP(F204,Categories!$A$4:$C$13,3,1),VLOOKUP(G204,Categories!$E$4:$G$24,3,1))</f>
        <v>60</v>
      </c>
      <c r="E204" s="44">
        <v>20</v>
      </c>
      <c r="F204" s="50" t="s">
        <v>257</v>
      </c>
      <c r="G204" s="51" t="s">
        <v>263</v>
      </c>
      <c r="H204" s="52"/>
      <c r="I204" s="131">
        <v>2800</v>
      </c>
      <c r="J204" s="53">
        <v>3</v>
      </c>
      <c r="K204" s="54">
        <f>IFERROR(VLOOKUP(VLOOKUP(M204,M204,1,1),Categories!$K$4:$V$18,2+VLOOKUP(J204,J204,1,1)),"-"  )</f>
        <v>4.67</v>
      </c>
      <c r="L204" s="54" t="str">
        <f>IFERROR(VLOOKUP(VLOOKUP(M204,M204,1,1),Categories!$K$3:$V$18,7+VLOOKUP(J204,J204,1,1)),"-")</f>
        <v>18 ATM</v>
      </c>
      <c r="M204" s="55" t="s">
        <v>228</v>
      </c>
      <c r="N204" s="195" t="s">
        <v>0</v>
      </c>
      <c r="O204" s="204" t="s">
        <v>0</v>
      </c>
      <c r="P204" s="151"/>
      <c r="Q204" s="144"/>
      <c r="R204" s="144"/>
      <c r="T204" s="147"/>
      <c r="U204" s="147"/>
      <c r="V204" s="148"/>
      <c r="W204" s="149"/>
      <c r="X204" s="149"/>
      <c r="Y204" s="149"/>
      <c r="Z204" s="149"/>
      <c r="AA204" s="149"/>
      <c r="AB204" s="149"/>
      <c r="AC204" s="149"/>
      <c r="AD204" s="149"/>
      <c r="AE204" s="148"/>
      <c r="AF204" s="150"/>
      <c r="AG204" s="143"/>
      <c r="AH204" s="48"/>
      <c r="AI204" s="56"/>
      <c r="AJ204" s="56"/>
    </row>
    <row r="205" spans="1:36" ht="31.95" customHeight="1" x14ac:dyDescent="0.3">
      <c r="A205" s="12"/>
      <c r="B205" s="122"/>
      <c r="C205" s="49"/>
      <c r="D205" s="49">
        <f>IF(G205=Categories!$E$4,VLOOKUP(F205,Categories!$A$4:$C$13,3,1),VLOOKUP(G205,Categories!$E$4:$G$24,3,1))</f>
        <v>120</v>
      </c>
      <c r="E205" s="44">
        <v>20</v>
      </c>
      <c r="F205" s="50" t="s">
        <v>45</v>
      </c>
      <c r="G205" s="45" t="s">
        <v>0</v>
      </c>
      <c r="H205" s="52"/>
      <c r="I205" s="131">
        <v>2800</v>
      </c>
      <c r="J205" s="53">
        <v>3</v>
      </c>
      <c r="K205" s="54">
        <f>IFERROR(VLOOKUP(VLOOKUP(M205,M205,1,1),Categories!$K$4:$V$18,2+VLOOKUP(J205,J205,1,1)),"-"  )</f>
        <v>4.67</v>
      </c>
      <c r="L205" s="54" t="str">
        <f>IFERROR(VLOOKUP(VLOOKUP(M205,M205,1,1),Categories!$K$3:$V$18,7+VLOOKUP(J205,J205,1,1)),"-")</f>
        <v>18 ATM</v>
      </c>
      <c r="M205" s="55" t="s">
        <v>228</v>
      </c>
      <c r="N205" s="195" t="s">
        <v>0</v>
      </c>
      <c r="O205" s="204" t="s">
        <v>0</v>
      </c>
      <c r="P205" s="151"/>
      <c r="Q205" s="144"/>
      <c r="R205" s="144"/>
      <c r="T205" s="147"/>
      <c r="U205" s="147"/>
      <c r="V205" s="148"/>
      <c r="W205" s="149"/>
      <c r="X205" s="149"/>
      <c r="Y205" s="149"/>
      <c r="Z205" s="149"/>
      <c r="AA205" s="149"/>
      <c r="AB205" s="149"/>
      <c r="AC205" s="149"/>
      <c r="AD205" s="149"/>
      <c r="AE205" s="148"/>
      <c r="AF205" s="150"/>
      <c r="AG205" s="143" t="s">
        <v>278</v>
      </c>
      <c r="AH205" s="48"/>
      <c r="AI205" s="56"/>
      <c r="AJ205" s="56"/>
    </row>
    <row r="206" spans="1:36" ht="31.95" customHeight="1" x14ac:dyDescent="0.3">
      <c r="A206" s="12"/>
      <c r="B206" s="122"/>
      <c r="C206" s="49"/>
      <c r="D206" s="49">
        <f>IF(G206=Categories!$E$4,VLOOKUP(F206,Categories!$A$4:$C$13,3,1),VLOOKUP(G206,Categories!$E$4:$G$24,3,1))</f>
        <v>60</v>
      </c>
      <c r="E206" s="44">
        <v>20</v>
      </c>
      <c r="F206" s="50" t="s">
        <v>257</v>
      </c>
      <c r="G206" s="51" t="s">
        <v>264</v>
      </c>
      <c r="H206" s="52"/>
      <c r="I206" s="131">
        <v>2800</v>
      </c>
      <c r="J206" s="53">
        <v>1</v>
      </c>
      <c r="K206" s="54">
        <f>IFERROR(VLOOKUP(VLOOKUP(M206,M206,1,1),Categories!$K$4:$V$18,2+VLOOKUP(J206,J206,1,1)),"-"  )</f>
        <v>0.9</v>
      </c>
      <c r="L206" s="54" t="str">
        <f>IFERROR(VLOOKUP(VLOOKUP(M206,M206,1,1),Categories!$K$3:$V$18,7+VLOOKUP(J206,J206,1,1)),"-")</f>
        <v>0 ATM</v>
      </c>
      <c r="M206" s="55" t="s">
        <v>228</v>
      </c>
      <c r="N206" s="195" t="s">
        <v>0</v>
      </c>
      <c r="O206" s="204" t="s">
        <v>0</v>
      </c>
      <c r="P206" s="151"/>
      <c r="Q206" s="144"/>
      <c r="R206" s="144"/>
      <c r="T206" s="147"/>
      <c r="U206" s="147"/>
      <c r="V206" s="148"/>
      <c r="W206" s="149"/>
      <c r="X206" s="149"/>
      <c r="Y206" s="149"/>
      <c r="Z206" s="149"/>
      <c r="AA206" s="149"/>
      <c r="AB206" s="149"/>
      <c r="AC206" s="149"/>
      <c r="AD206" s="149"/>
      <c r="AE206" s="148"/>
      <c r="AF206" s="150"/>
      <c r="AG206" s="143"/>
      <c r="AH206" s="48"/>
      <c r="AI206" s="56"/>
      <c r="AJ206" s="56"/>
    </row>
    <row r="207" spans="1:36" ht="31.95" customHeight="1" x14ac:dyDescent="0.3">
      <c r="A207" s="12"/>
      <c r="B207" s="122"/>
      <c r="C207" s="49"/>
      <c r="D207" s="49">
        <f>IF(G207=Categories!$E$4,VLOOKUP(F207,Categories!$A$4:$C$13,3,1),VLOOKUP(G207,Categories!$E$4:$G$24,3,1))</f>
        <v>120</v>
      </c>
      <c r="E207" s="44">
        <v>20</v>
      </c>
      <c r="F207" s="50" t="s">
        <v>261</v>
      </c>
      <c r="G207" s="45" t="s">
        <v>0</v>
      </c>
      <c r="H207" s="52"/>
      <c r="I207" s="131">
        <v>2800</v>
      </c>
      <c r="J207" s="53">
        <v>1</v>
      </c>
      <c r="K207" s="54">
        <f>IFERROR(VLOOKUP(VLOOKUP(M207,M207,1,1),Categories!$K$4:$V$18,2+VLOOKUP(J207,J207,1,1)),"-"  )</f>
        <v>0.9</v>
      </c>
      <c r="L207" s="54" t="str">
        <f>IFERROR(VLOOKUP(VLOOKUP(M207,M207,1,1),Categories!$K$3:$V$18,7+VLOOKUP(J207,J207,1,1)),"-")</f>
        <v>0 ATM</v>
      </c>
      <c r="M207" s="55" t="s">
        <v>228</v>
      </c>
      <c r="N207" s="195" t="s">
        <v>0</v>
      </c>
      <c r="O207" s="204" t="s">
        <v>0</v>
      </c>
      <c r="P207" s="151"/>
      <c r="Q207" s="144"/>
      <c r="R207" s="144"/>
      <c r="T207" s="147"/>
      <c r="U207" s="147"/>
      <c r="V207" s="148"/>
      <c r="W207" s="149"/>
      <c r="X207" s="149"/>
      <c r="Y207" s="149"/>
      <c r="Z207" s="149"/>
      <c r="AA207" s="149"/>
      <c r="AB207" s="149"/>
      <c r="AC207" s="149"/>
      <c r="AD207" s="149"/>
      <c r="AE207" s="148"/>
      <c r="AF207" s="150"/>
      <c r="AG207" s="143"/>
      <c r="AH207" s="48"/>
      <c r="AI207" s="56"/>
      <c r="AJ207" s="56"/>
    </row>
    <row r="208" spans="1:36" ht="31.95" customHeight="1" x14ac:dyDescent="0.3">
      <c r="A208" s="12"/>
      <c r="B208" s="122"/>
      <c r="C208" s="49"/>
      <c r="D208" s="49">
        <f>IF(G208=Categories!$E$4,VLOOKUP(F208,Categories!$A$4:$C$13,3,1),VLOOKUP(G208,Categories!$E$4:$G$24,3,1))</f>
        <v>30</v>
      </c>
      <c r="E208" s="44" t="s">
        <v>0</v>
      </c>
      <c r="F208" s="50" t="s">
        <v>257</v>
      </c>
      <c r="G208" s="51" t="s">
        <v>2</v>
      </c>
      <c r="H208" s="52"/>
      <c r="I208" s="131">
        <v>3100</v>
      </c>
      <c r="J208" s="53">
        <v>1</v>
      </c>
      <c r="K208" s="54">
        <f>IFERROR(VLOOKUP(VLOOKUP(M208,M208,1,1),Categories!$K$4:$V$18,2+VLOOKUP(J208,J208,1,1)),"-"  )</f>
        <v>0.9</v>
      </c>
      <c r="L208" s="54" t="str">
        <f>IFERROR(VLOOKUP(VLOOKUP(M208,M208,1,1),Categories!$K$3:$V$18,7+VLOOKUP(J208,J208,1,1)),"-")</f>
        <v>0 ATM</v>
      </c>
      <c r="M208" s="55" t="s">
        <v>228</v>
      </c>
      <c r="N208" s="195" t="s">
        <v>0</v>
      </c>
      <c r="O208" s="204" t="s">
        <v>0</v>
      </c>
      <c r="P208" s="151"/>
      <c r="Q208" s="144"/>
      <c r="R208" s="144"/>
      <c r="T208" s="147"/>
      <c r="U208" s="147"/>
      <c r="V208" s="148"/>
      <c r="W208" s="149"/>
      <c r="X208" s="149"/>
      <c r="Y208" s="149"/>
      <c r="Z208" s="149"/>
      <c r="AA208" s="149"/>
      <c r="AB208" s="149"/>
      <c r="AC208" s="149"/>
      <c r="AD208" s="149"/>
      <c r="AE208" s="148"/>
      <c r="AF208" s="150"/>
      <c r="AG208" s="143"/>
      <c r="AH208" s="48"/>
      <c r="AI208" s="56"/>
      <c r="AJ208" s="56"/>
    </row>
    <row r="209" spans="1:36" ht="31.95" customHeight="1" x14ac:dyDescent="0.3">
      <c r="A209" s="185"/>
      <c r="B209" s="186"/>
      <c r="C209" s="49"/>
      <c r="D209" s="49">
        <f>IF(G209=Categories!$E$4,VLOOKUP(F209,Categories!$A$4:$C$13,3,1),VLOOKUP(G209,Categories!$E$4:$G$24,3,1))</f>
        <v>120</v>
      </c>
      <c r="E209" s="44">
        <v>21</v>
      </c>
      <c r="F209" s="50" t="s">
        <v>45</v>
      </c>
      <c r="G209" s="51" t="s">
        <v>0</v>
      </c>
      <c r="H209" s="52"/>
      <c r="I209" s="131">
        <v>3100</v>
      </c>
      <c r="J209" s="53">
        <v>1</v>
      </c>
      <c r="K209" s="54">
        <f>IFERROR(VLOOKUP(VLOOKUP(M209,M209,1,1),Categories!$K$4:$V$18,2+VLOOKUP(J209,J209,1,1)),"-"  )</f>
        <v>0.9</v>
      </c>
      <c r="L209" s="54" t="str">
        <f>IFERROR(VLOOKUP(VLOOKUP(M209,M209,1,1),Categories!$K$3:$V$18,7+VLOOKUP(J209,J209,1,1)),"-")</f>
        <v>0 ATM</v>
      </c>
      <c r="M209" s="55" t="s">
        <v>228</v>
      </c>
      <c r="N209" s="195" t="s">
        <v>0</v>
      </c>
      <c r="O209" s="204" t="s">
        <v>0</v>
      </c>
      <c r="P209" s="187"/>
      <c r="Q209" s="188"/>
      <c r="R209" s="188"/>
      <c r="T209" s="189"/>
      <c r="U209" s="189"/>
      <c r="V209" s="190"/>
      <c r="W209" s="191"/>
      <c r="X209" s="191"/>
      <c r="Y209" s="191"/>
      <c r="Z209" s="191"/>
      <c r="AA209" s="191"/>
      <c r="AB209" s="191"/>
      <c r="AC209" s="191"/>
      <c r="AD209" s="191"/>
      <c r="AE209" s="190"/>
      <c r="AF209" s="192"/>
      <c r="AG209" s="143"/>
      <c r="AH209" s="56"/>
      <c r="AI209" s="56"/>
      <c r="AJ209" s="56"/>
    </row>
    <row r="210" spans="1:36" ht="31.95" customHeight="1" x14ac:dyDescent="0.3">
      <c r="A210" s="185"/>
      <c r="B210" s="186"/>
      <c r="C210" s="49"/>
      <c r="D210" s="49">
        <f>IF(G210=Categories!$E$4,VLOOKUP(F210,Categories!$A$4:$C$13,3,1),VLOOKUP(G210,Categories!$E$4:$G$24,3,1))</f>
        <v>60</v>
      </c>
      <c r="E210" s="44">
        <v>21</v>
      </c>
      <c r="F210" s="50" t="s">
        <v>257</v>
      </c>
      <c r="G210" s="51" t="s">
        <v>263</v>
      </c>
      <c r="H210" s="52"/>
      <c r="I210" s="131">
        <v>3100</v>
      </c>
      <c r="J210" s="53">
        <v>2</v>
      </c>
      <c r="K210" s="54">
        <f>IFERROR(VLOOKUP(VLOOKUP(M210,M210,1,1),Categories!$K$4:$V$18,2+VLOOKUP(J210,J210,1,1)),"-"  )</f>
        <v>4.3099999999999996</v>
      </c>
      <c r="L210" s="54" t="str">
        <f>IFERROR(VLOOKUP(VLOOKUP(M210,M210,1,1),Categories!$K$3:$V$18,7+VLOOKUP(J210,J210,1,1)),"-")</f>
        <v>8 ATM</v>
      </c>
      <c r="M210" s="55" t="s">
        <v>228</v>
      </c>
      <c r="N210" s="195" t="s">
        <v>0</v>
      </c>
      <c r="O210" s="204" t="s">
        <v>0</v>
      </c>
      <c r="P210" s="187"/>
      <c r="Q210" s="188"/>
      <c r="R210" s="188"/>
      <c r="T210" s="189"/>
      <c r="U210" s="189"/>
      <c r="V210" s="190"/>
      <c r="W210" s="191"/>
      <c r="X210" s="191"/>
      <c r="Y210" s="191"/>
      <c r="Z210" s="191"/>
      <c r="AA210" s="191"/>
      <c r="AB210" s="191"/>
      <c r="AC210" s="191"/>
      <c r="AD210" s="191"/>
      <c r="AE210" s="190"/>
      <c r="AF210" s="192"/>
      <c r="AG210" s="143"/>
      <c r="AH210" s="56"/>
      <c r="AI210" s="56"/>
      <c r="AJ210" s="56"/>
    </row>
    <row r="211" spans="1:36" ht="31.95" customHeight="1" x14ac:dyDescent="0.3">
      <c r="A211" s="12"/>
      <c r="B211" s="122"/>
      <c r="C211" s="49"/>
      <c r="D211" s="49">
        <f>IF(G211=Categories!$E$4,VLOOKUP(F211,Categories!$A$4:$C$13,3,1),VLOOKUP(G211,Categories!$E$4:$G$24,3,1))</f>
        <v>120</v>
      </c>
      <c r="E211" s="44">
        <v>21</v>
      </c>
      <c r="F211" s="50" t="s">
        <v>45</v>
      </c>
      <c r="G211" s="45" t="s">
        <v>0</v>
      </c>
      <c r="H211" s="52"/>
      <c r="I211" s="131">
        <v>3100</v>
      </c>
      <c r="J211" s="53">
        <v>2</v>
      </c>
      <c r="K211" s="54">
        <f>IFERROR(VLOOKUP(VLOOKUP(M211,M211,1,1),Categories!$K$4:$V$18,2+VLOOKUP(J211,J211,1,1)),"-"  )</f>
        <v>4.3099999999999996</v>
      </c>
      <c r="L211" s="54" t="str">
        <f>IFERROR(VLOOKUP(VLOOKUP(M211,M211,1,1),Categories!$K$3:$V$18,7+VLOOKUP(J211,J211,1,1)),"-")</f>
        <v>8 ATM</v>
      </c>
      <c r="M211" s="55" t="s">
        <v>228</v>
      </c>
      <c r="N211" s="195" t="s">
        <v>0</v>
      </c>
      <c r="O211" s="204" t="s">
        <v>0</v>
      </c>
      <c r="P211" s="151"/>
      <c r="Q211" s="144"/>
      <c r="R211" s="144"/>
      <c r="T211" s="147"/>
      <c r="U211" s="147"/>
      <c r="V211" s="148"/>
      <c r="W211" s="149"/>
      <c r="X211" s="149"/>
      <c r="Y211" s="149"/>
      <c r="Z211" s="149"/>
      <c r="AA211" s="149"/>
      <c r="AB211" s="149"/>
      <c r="AC211" s="149"/>
      <c r="AD211" s="149"/>
      <c r="AE211" s="148"/>
      <c r="AF211" s="150"/>
      <c r="AG211" s="143"/>
      <c r="AH211" s="48"/>
      <c r="AI211" s="56"/>
      <c r="AJ211" s="56"/>
    </row>
    <row r="212" spans="1:36" ht="31.95" customHeight="1" x14ac:dyDescent="0.3">
      <c r="A212" s="12"/>
      <c r="B212" s="122"/>
      <c r="C212" s="49"/>
      <c r="D212" s="49">
        <f>IF(G212=Categories!$E$4,VLOOKUP(F212,Categories!$A$4:$C$13,3,1),VLOOKUP(G212,Categories!$E$4:$G$24,3,1))</f>
        <v>60</v>
      </c>
      <c r="E212" s="44">
        <v>21</v>
      </c>
      <c r="F212" s="50" t="s">
        <v>257</v>
      </c>
      <c r="G212" s="51" t="s">
        <v>263</v>
      </c>
      <c r="H212" s="52"/>
      <c r="I212" s="131">
        <v>3100</v>
      </c>
      <c r="J212" s="53">
        <v>3</v>
      </c>
      <c r="K212" s="54">
        <f>IFERROR(VLOOKUP(VLOOKUP(M212,M212,1,1),Categories!$K$4:$V$18,2+VLOOKUP(J212,J212,1,1)),"-"  )</f>
        <v>4.67</v>
      </c>
      <c r="L212" s="54" t="str">
        <f>IFERROR(VLOOKUP(VLOOKUP(M212,M212,1,1),Categories!$K$3:$V$18,7+VLOOKUP(J212,J212,1,1)),"-")</f>
        <v>18 ATM</v>
      </c>
      <c r="M212" s="55" t="s">
        <v>228</v>
      </c>
      <c r="N212" s="195" t="s">
        <v>0</v>
      </c>
      <c r="O212" s="204" t="s">
        <v>0</v>
      </c>
      <c r="P212" s="151"/>
      <c r="Q212" s="144"/>
      <c r="R212" s="144"/>
      <c r="T212" s="147"/>
      <c r="U212" s="147"/>
      <c r="V212" s="148"/>
      <c r="W212" s="149"/>
      <c r="X212" s="149"/>
      <c r="Y212" s="149"/>
      <c r="Z212" s="149"/>
      <c r="AA212" s="149"/>
      <c r="AB212" s="149"/>
      <c r="AC212" s="149"/>
      <c r="AD212" s="149"/>
      <c r="AE212" s="148"/>
      <c r="AF212" s="150"/>
      <c r="AG212" s="143"/>
      <c r="AH212" s="48"/>
      <c r="AI212" s="56"/>
      <c r="AJ212" s="56"/>
    </row>
    <row r="213" spans="1:36" ht="31.95" customHeight="1" x14ac:dyDescent="0.3">
      <c r="A213" s="12"/>
      <c r="B213" s="122"/>
      <c r="C213" s="49"/>
      <c r="D213" s="49">
        <f>IF(G213=Categories!$E$4,VLOOKUP(F213,Categories!$A$4:$C$13,3,1),VLOOKUP(G213,Categories!$E$4:$G$24,3,1))</f>
        <v>120</v>
      </c>
      <c r="E213" s="44">
        <v>21</v>
      </c>
      <c r="F213" s="50" t="s">
        <v>45</v>
      </c>
      <c r="G213" s="45" t="s">
        <v>0</v>
      </c>
      <c r="H213" s="52"/>
      <c r="I213" s="131">
        <v>3100</v>
      </c>
      <c r="J213" s="53">
        <v>3</v>
      </c>
      <c r="K213" s="54">
        <f>IFERROR(VLOOKUP(VLOOKUP(M213,M213,1,1),Categories!$K$4:$V$18,2+VLOOKUP(J213,J213,1,1)),"-"  )</f>
        <v>4.67</v>
      </c>
      <c r="L213" s="54" t="str">
        <f>IFERROR(VLOOKUP(VLOOKUP(M213,M213,1,1),Categories!$K$3:$V$18,7+VLOOKUP(J213,J213,1,1)),"-")</f>
        <v>18 ATM</v>
      </c>
      <c r="M213" s="55" t="s">
        <v>228</v>
      </c>
      <c r="N213" s="195" t="s">
        <v>0</v>
      </c>
      <c r="O213" s="204" t="s">
        <v>0</v>
      </c>
      <c r="P213" s="151"/>
      <c r="Q213" s="144"/>
      <c r="R213" s="144"/>
      <c r="T213" s="147"/>
      <c r="U213" s="147"/>
      <c r="V213" s="148"/>
      <c r="W213" s="149"/>
      <c r="X213" s="149"/>
      <c r="Y213" s="149"/>
      <c r="Z213" s="149"/>
      <c r="AA213" s="149"/>
      <c r="AB213" s="149"/>
      <c r="AC213" s="149"/>
      <c r="AD213" s="149"/>
      <c r="AE213" s="148"/>
      <c r="AF213" s="150"/>
      <c r="AG213" s="143"/>
      <c r="AH213" s="48"/>
      <c r="AI213" s="56"/>
      <c r="AJ213" s="56"/>
    </row>
    <row r="214" spans="1:36" ht="31.95" customHeight="1" x14ac:dyDescent="0.3">
      <c r="A214" s="12"/>
      <c r="B214" s="122"/>
      <c r="C214" s="49"/>
      <c r="D214" s="49">
        <f>IF(G214=Categories!$E$4,VLOOKUP(F214,Categories!$A$4:$C$13,3,1),VLOOKUP(G214,Categories!$E$4:$G$24,3,1))</f>
        <v>60</v>
      </c>
      <c r="E214" s="44">
        <v>21</v>
      </c>
      <c r="F214" s="50" t="s">
        <v>257</v>
      </c>
      <c r="G214" s="51" t="s">
        <v>264</v>
      </c>
      <c r="H214" s="52"/>
      <c r="I214" s="131">
        <v>3100</v>
      </c>
      <c r="J214" s="53">
        <v>1</v>
      </c>
      <c r="K214" s="54">
        <f>IFERROR(VLOOKUP(VLOOKUP(M214,M214,1,1),Categories!$K$4:$V$18,2+VLOOKUP(J214,J214,1,1)),"-"  )</f>
        <v>0.9</v>
      </c>
      <c r="L214" s="54" t="str">
        <f>IFERROR(VLOOKUP(VLOOKUP(M214,M214,1,1),Categories!$K$3:$V$18,7+VLOOKUP(J214,J214,1,1)),"-")</f>
        <v>0 ATM</v>
      </c>
      <c r="M214" s="55" t="s">
        <v>228</v>
      </c>
      <c r="N214" s="195" t="s">
        <v>0</v>
      </c>
      <c r="O214" s="204" t="s">
        <v>0</v>
      </c>
      <c r="P214" s="151"/>
      <c r="Q214" s="144"/>
      <c r="R214" s="144"/>
      <c r="T214" s="147"/>
      <c r="U214" s="147"/>
      <c r="V214" s="148"/>
      <c r="W214" s="149"/>
      <c r="X214" s="149"/>
      <c r="Y214" s="149"/>
      <c r="Z214" s="149"/>
      <c r="AA214" s="149"/>
      <c r="AB214" s="149"/>
      <c r="AC214" s="149"/>
      <c r="AD214" s="149"/>
      <c r="AE214" s="148"/>
      <c r="AF214" s="150"/>
      <c r="AG214" s="143"/>
      <c r="AH214" s="48"/>
      <c r="AI214" s="56"/>
      <c r="AJ214" s="56"/>
    </row>
    <row r="215" spans="1:36" ht="31.95" customHeight="1" x14ac:dyDescent="0.3">
      <c r="A215" s="12"/>
      <c r="B215" s="122"/>
      <c r="C215" s="49"/>
      <c r="D215" s="49">
        <f>IF(G215=Categories!$E$4,VLOOKUP(F215,Categories!$A$4:$C$13,3,1),VLOOKUP(G215,Categories!$E$4:$G$24,3,1))</f>
        <v>120</v>
      </c>
      <c r="E215" s="44">
        <v>21</v>
      </c>
      <c r="F215" s="50" t="s">
        <v>261</v>
      </c>
      <c r="G215" s="45" t="s">
        <v>0</v>
      </c>
      <c r="H215" s="52"/>
      <c r="I215" s="131">
        <v>3100</v>
      </c>
      <c r="J215" s="53">
        <v>1</v>
      </c>
      <c r="K215" s="54">
        <f>IFERROR(VLOOKUP(VLOOKUP(M215,M215,1,1),Categories!$K$4:$V$18,2+VLOOKUP(J215,J215,1,1)),"-"  )</f>
        <v>0.9</v>
      </c>
      <c r="L215" s="54" t="str">
        <f>IFERROR(VLOOKUP(VLOOKUP(M215,M215,1,1),Categories!$K$3:$V$18,7+VLOOKUP(J215,J215,1,1)),"-")</f>
        <v>0 ATM</v>
      </c>
      <c r="M215" s="55" t="s">
        <v>228</v>
      </c>
      <c r="N215" s="195" t="s">
        <v>0</v>
      </c>
      <c r="O215" s="204" t="s">
        <v>0</v>
      </c>
      <c r="P215" s="151"/>
      <c r="Q215" s="144"/>
      <c r="R215" s="144"/>
      <c r="T215" s="147"/>
      <c r="U215" s="147"/>
      <c r="V215" s="148"/>
      <c r="W215" s="149"/>
      <c r="X215" s="149"/>
      <c r="Y215" s="149"/>
      <c r="Z215" s="149"/>
      <c r="AA215" s="149"/>
      <c r="AB215" s="149"/>
      <c r="AC215" s="149"/>
      <c r="AD215" s="149"/>
      <c r="AE215" s="148"/>
      <c r="AF215" s="150"/>
      <c r="AG215" s="143"/>
      <c r="AH215" s="48"/>
      <c r="AI215" s="56"/>
      <c r="AJ215" s="56"/>
    </row>
    <row r="216" spans="1:36" ht="31.95" customHeight="1" x14ac:dyDescent="0.3">
      <c r="A216" s="12"/>
      <c r="B216" s="205"/>
      <c r="C216" s="49"/>
      <c r="D216" s="49">
        <f>IF(G216=Categories!$E$4,VLOOKUP(F216,Categories!$A$4:$C$13,3,1),VLOOKUP(G216,Categories!$E$4:$G$24,3,1))</f>
        <v>30</v>
      </c>
      <c r="E216" s="44" t="s">
        <v>0</v>
      </c>
      <c r="F216" s="50" t="s">
        <v>3</v>
      </c>
      <c r="G216" s="51" t="s">
        <v>2</v>
      </c>
      <c r="H216" s="52"/>
      <c r="I216" s="131">
        <v>2200</v>
      </c>
      <c r="J216" s="53">
        <v>1</v>
      </c>
      <c r="K216" s="54">
        <f>IFERROR(VLOOKUP(VLOOKUP(M216,M216,1,1),Categories!$K$4:$V$18,2+VLOOKUP(J216,J216,1,1)),"-"  )</f>
        <v>1.67</v>
      </c>
      <c r="L216" s="54" t="str">
        <f>IFERROR(VLOOKUP(VLOOKUP(M216,M216,1,1),Categories!$K$3:$V$18,7+VLOOKUP(J216,J216,1,1)),"-")</f>
        <v>0 ATM</v>
      </c>
      <c r="M216" s="55" t="s">
        <v>60</v>
      </c>
      <c r="N216" s="195" t="s">
        <v>0</v>
      </c>
      <c r="O216" s="204" t="s">
        <v>0</v>
      </c>
      <c r="P216" s="151"/>
      <c r="Q216" s="144"/>
      <c r="R216" s="144"/>
      <c r="T216" s="147"/>
      <c r="U216" s="147"/>
      <c r="V216" s="148"/>
      <c r="W216" s="149"/>
      <c r="X216" s="149"/>
      <c r="Y216" s="149"/>
      <c r="Z216" s="149"/>
      <c r="AA216" s="149"/>
      <c r="AB216" s="149"/>
      <c r="AC216" s="149"/>
      <c r="AD216" s="149"/>
      <c r="AE216" s="148"/>
      <c r="AF216" s="150"/>
      <c r="AG216" s="143"/>
      <c r="AH216" s="48"/>
      <c r="AI216" s="56"/>
      <c r="AJ216" s="56"/>
    </row>
    <row r="217" spans="1:36" ht="31.95" customHeight="1" x14ac:dyDescent="0.3">
      <c r="A217" s="185"/>
      <c r="B217" s="206"/>
      <c r="C217" s="49"/>
      <c r="D217" s="49" t="str">
        <f>IF(G217=Categories!$E$4,VLOOKUP(F217,Categories!$A$4:$C$13,3,1),VLOOKUP(G217,Categories!$E$4:$G$24,3,1))</f>
        <v>-</v>
      </c>
      <c r="E217" s="44" t="s">
        <v>0</v>
      </c>
      <c r="F217" s="50" t="s">
        <v>3</v>
      </c>
      <c r="G217" s="51" t="s">
        <v>63</v>
      </c>
      <c r="H217" s="52"/>
      <c r="I217" s="131">
        <v>2200</v>
      </c>
      <c r="J217" s="53" t="s">
        <v>0</v>
      </c>
      <c r="K217" s="54" t="str">
        <f>IFERROR(VLOOKUP(VLOOKUP(M217,M217,1,1),Categories!$K$4:$V$18,2+VLOOKUP(J217,J217,1,1)),"-"  )</f>
        <v>-</v>
      </c>
      <c r="L217" s="54" t="str">
        <f>IFERROR(VLOOKUP(VLOOKUP(M217,M217,1,1),Categories!$K$3:$V$18,7+VLOOKUP(J217,J217,1,1)),"-")</f>
        <v>-</v>
      </c>
      <c r="M217" s="55" t="s">
        <v>0</v>
      </c>
      <c r="N217" s="195" t="s">
        <v>0</v>
      </c>
      <c r="O217" s="204" t="s">
        <v>0</v>
      </c>
      <c r="P217" s="187"/>
      <c r="Q217" s="188"/>
      <c r="R217" s="188"/>
      <c r="T217" s="189"/>
      <c r="U217" s="189"/>
      <c r="V217" s="190"/>
      <c r="W217" s="191"/>
      <c r="X217" s="191"/>
      <c r="Y217" s="191"/>
      <c r="Z217" s="191"/>
      <c r="AA217" s="191"/>
      <c r="AB217" s="191"/>
      <c r="AC217" s="191"/>
      <c r="AD217" s="191"/>
      <c r="AE217" s="190"/>
      <c r="AF217" s="192"/>
      <c r="AG217" s="143" t="s">
        <v>267</v>
      </c>
      <c r="AH217" s="56" t="s">
        <v>268</v>
      </c>
      <c r="AI217" s="56"/>
      <c r="AJ217" s="56"/>
    </row>
    <row r="218" spans="1:36" ht="31.95" customHeight="1" x14ac:dyDescent="0.3">
      <c r="A218" s="185"/>
      <c r="B218" s="206"/>
      <c r="C218" s="49"/>
      <c r="D218" s="49" t="str">
        <f>IF(G218=Categories!$E$4,VLOOKUP(F218,Categories!$A$4:$C$13,3,1),VLOOKUP(G218,Categories!$E$4:$G$24,3,1))</f>
        <v>-</v>
      </c>
      <c r="E218" s="44" t="s">
        <v>0</v>
      </c>
      <c r="F218" s="50" t="s">
        <v>3</v>
      </c>
      <c r="G218" s="51" t="s">
        <v>64</v>
      </c>
      <c r="H218" s="52"/>
      <c r="I218" s="131">
        <v>2200</v>
      </c>
      <c r="J218" s="53">
        <v>1</v>
      </c>
      <c r="K218" s="54">
        <f>IFERROR(VLOOKUP(VLOOKUP(M218,M218,1,1),Categories!$K$4:$V$18,2+VLOOKUP(J218,J218,1,1)),"-"  )</f>
        <v>0.9</v>
      </c>
      <c r="L218" s="54" t="str">
        <f>IFERROR(VLOOKUP(VLOOKUP(M218,M218,1,1),Categories!$K$3:$V$18,7+VLOOKUP(J218,J218,1,1)),"-")</f>
        <v>0 ATM</v>
      </c>
      <c r="M218" s="55" t="s">
        <v>118</v>
      </c>
      <c r="N218" s="195" t="s">
        <v>0</v>
      </c>
      <c r="O218" s="204" t="s">
        <v>0</v>
      </c>
      <c r="P218" s="187"/>
      <c r="Q218" s="188"/>
      <c r="R218" s="188"/>
      <c r="T218" s="189"/>
      <c r="U218" s="189"/>
      <c r="V218" s="190"/>
      <c r="W218" s="191"/>
      <c r="X218" s="191"/>
      <c r="Y218" s="191"/>
      <c r="Z218" s="191"/>
      <c r="AA218" s="191"/>
      <c r="AB218" s="191"/>
      <c r="AC218" s="191"/>
      <c r="AD218" s="191"/>
      <c r="AE218" s="190"/>
      <c r="AF218" s="192"/>
      <c r="AG218" s="143"/>
      <c r="AH218" s="56"/>
      <c r="AI218" s="56"/>
      <c r="AJ218" s="56"/>
    </row>
    <row r="219" spans="1:36" ht="31.95" customHeight="1" x14ac:dyDescent="0.3">
      <c r="A219" s="185"/>
      <c r="B219" s="206"/>
      <c r="C219" s="49"/>
      <c r="D219" s="49">
        <f>IF(G219=Categories!$E$4,VLOOKUP(F219,Categories!$A$4:$C$13,3,1),VLOOKUP(G219,Categories!$E$4:$G$24,3,1))</f>
        <v>120</v>
      </c>
      <c r="E219" s="44">
        <v>18</v>
      </c>
      <c r="F219" s="50" t="s">
        <v>45</v>
      </c>
      <c r="G219" s="51" t="s">
        <v>0</v>
      </c>
      <c r="H219" s="52"/>
      <c r="I219" s="131">
        <v>2200</v>
      </c>
      <c r="J219" s="53">
        <v>1</v>
      </c>
      <c r="K219" s="54">
        <f>IFERROR(VLOOKUP(VLOOKUP(M219,M219,1,1),Categories!$K$4:$V$18,2+VLOOKUP(J219,J219,1,1)),"-"  )</f>
        <v>0.9</v>
      </c>
      <c r="L219" s="54" t="str">
        <f>IFERROR(VLOOKUP(VLOOKUP(M219,M219,1,1),Categories!$K$3:$V$18,7+VLOOKUP(J219,J219,1,1)),"-")</f>
        <v>0 ATM</v>
      </c>
      <c r="M219" s="55" t="s">
        <v>118</v>
      </c>
      <c r="N219" s="195" t="s">
        <v>0</v>
      </c>
      <c r="O219" s="204" t="s">
        <v>0</v>
      </c>
      <c r="P219" s="187"/>
      <c r="Q219" s="188"/>
      <c r="R219" s="188"/>
      <c r="T219" s="189"/>
      <c r="U219" s="189"/>
      <c r="V219" s="190"/>
      <c r="W219" s="191"/>
      <c r="X219" s="191"/>
      <c r="Y219" s="191"/>
      <c r="Z219" s="191"/>
      <c r="AA219" s="191"/>
      <c r="AB219" s="191"/>
      <c r="AC219" s="191"/>
      <c r="AD219" s="191"/>
      <c r="AE219" s="190"/>
      <c r="AF219" s="192"/>
      <c r="AG219" s="143"/>
      <c r="AH219" s="56"/>
      <c r="AI219" s="56"/>
      <c r="AJ219" s="56"/>
    </row>
    <row r="220" spans="1:36" ht="31.95" customHeight="1" x14ac:dyDescent="0.3">
      <c r="A220" s="185"/>
      <c r="B220" s="206"/>
      <c r="C220" s="49"/>
      <c r="D220" s="49">
        <f>IF(G220=Categories!$E$4,VLOOKUP(F220,Categories!$A$4:$C$13,3,1),VLOOKUP(G220,Categories!$E$4:$G$24,3,1))</f>
        <v>60</v>
      </c>
      <c r="E220" s="44">
        <v>18</v>
      </c>
      <c r="F220" s="50" t="s">
        <v>257</v>
      </c>
      <c r="G220" s="51" t="s">
        <v>263</v>
      </c>
      <c r="H220" s="52"/>
      <c r="I220" s="131">
        <v>2200</v>
      </c>
      <c r="J220" s="53">
        <v>2</v>
      </c>
      <c r="K220" s="54">
        <f>IFERROR(VLOOKUP(VLOOKUP(M220,M220,1,1),Categories!$K$4:$V$18,2+VLOOKUP(J220,J220,1,1)),"-"  )</f>
        <v>4.3099999999999996</v>
      </c>
      <c r="L220" s="54" t="str">
        <f>IFERROR(VLOOKUP(VLOOKUP(M220,M220,1,1),Categories!$K$3:$V$18,7+VLOOKUP(J220,J220,1,1)),"-")</f>
        <v>8 ATM</v>
      </c>
      <c r="M220" s="55" t="s">
        <v>118</v>
      </c>
      <c r="N220" s="195" t="s">
        <v>0</v>
      </c>
      <c r="O220" s="204" t="s">
        <v>0</v>
      </c>
      <c r="P220" s="187"/>
      <c r="Q220" s="188"/>
      <c r="R220" s="188"/>
      <c r="T220" s="189"/>
      <c r="U220" s="189"/>
      <c r="V220" s="190"/>
      <c r="W220" s="191"/>
      <c r="X220" s="191"/>
      <c r="Y220" s="191"/>
      <c r="Z220" s="191"/>
      <c r="AA220" s="191"/>
      <c r="AB220" s="191"/>
      <c r="AC220" s="191"/>
      <c r="AD220" s="191"/>
      <c r="AE220" s="190"/>
      <c r="AF220" s="192"/>
      <c r="AG220" s="143"/>
      <c r="AH220" s="56"/>
      <c r="AI220" s="56"/>
      <c r="AJ220" s="56"/>
    </row>
    <row r="221" spans="1:36" ht="31.95" customHeight="1" x14ac:dyDescent="0.3">
      <c r="A221" s="12"/>
      <c r="B221" s="205"/>
      <c r="C221" s="49"/>
      <c r="D221" s="49">
        <f>IF(G221=Categories!$E$4,VLOOKUP(F221,Categories!$A$4:$C$13,3,1),VLOOKUP(G221,Categories!$E$4:$G$24,3,1))</f>
        <v>120</v>
      </c>
      <c r="E221" s="44">
        <v>18</v>
      </c>
      <c r="F221" s="50" t="s">
        <v>45</v>
      </c>
      <c r="G221" s="45" t="s">
        <v>0</v>
      </c>
      <c r="H221" s="52"/>
      <c r="I221" s="131">
        <v>2200</v>
      </c>
      <c r="J221" s="53">
        <v>2</v>
      </c>
      <c r="K221" s="54">
        <f>IFERROR(VLOOKUP(VLOOKUP(M221,M221,1,1),Categories!$K$4:$V$18,2+VLOOKUP(J221,J221,1,1)),"-"  )</f>
        <v>4.3099999999999996</v>
      </c>
      <c r="L221" s="54" t="str">
        <f>IFERROR(VLOOKUP(VLOOKUP(M221,M221,1,1),Categories!$K$3:$V$18,7+VLOOKUP(J221,J221,1,1)),"-")</f>
        <v>8 ATM</v>
      </c>
      <c r="M221" s="55" t="s">
        <v>118</v>
      </c>
      <c r="N221" s="195" t="s">
        <v>0</v>
      </c>
      <c r="O221" s="204" t="s">
        <v>0</v>
      </c>
      <c r="P221" s="151"/>
      <c r="Q221" s="144"/>
      <c r="R221" s="144"/>
      <c r="T221" s="147"/>
      <c r="U221" s="147"/>
      <c r="V221" s="148"/>
      <c r="W221" s="149"/>
      <c r="X221" s="149"/>
      <c r="Y221" s="149"/>
      <c r="Z221" s="149"/>
      <c r="AA221" s="149"/>
      <c r="AB221" s="149"/>
      <c r="AC221" s="149"/>
      <c r="AD221" s="149"/>
      <c r="AE221" s="148"/>
      <c r="AF221" s="150"/>
      <c r="AG221" s="143"/>
      <c r="AH221" s="48"/>
      <c r="AI221" s="56"/>
      <c r="AJ221" s="56"/>
    </row>
    <row r="222" spans="1:36" ht="31.95" customHeight="1" x14ac:dyDescent="0.3">
      <c r="A222" s="12"/>
      <c r="B222" s="205"/>
      <c r="C222" s="49"/>
      <c r="D222" s="49">
        <f>IF(G222=Categories!$E$4,VLOOKUP(F222,Categories!$A$4:$C$13,3,1),VLOOKUP(G222,Categories!$E$4:$G$24,3,1))</f>
        <v>60</v>
      </c>
      <c r="E222" s="44">
        <v>18</v>
      </c>
      <c r="F222" s="50" t="s">
        <v>257</v>
      </c>
      <c r="G222" s="51" t="s">
        <v>263</v>
      </c>
      <c r="H222" s="52"/>
      <c r="I222" s="131">
        <v>2200</v>
      </c>
      <c r="J222" s="53">
        <v>3</v>
      </c>
      <c r="K222" s="54">
        <f>IFERROR(VLOOKUP(VLOOKUP(M222,M222,1,1),Categories!$K$4:$V$18,2+VLOOKUP(J222,J222,1,1)),"-"  )</f>
        <v>4.67</v>
      </c>
      <c r="L222" s="54" t="str">
        <f>IFERROR(VLOOKUP(VLOOKUP(M222,M222,1,1),Categories!$K$3:$V$18,7+VLOOKUP(J222,J222,1,1)),"-")</f>
        <v>18 ATM</v>
      </c>
      <c r="M222" s="55" t="s">
        <v>118</v>
      </c>
      <c r="N222" s="195" t="s">
        <v>0</v>
      </c>
      <c r="O222" s="204" t="s">
        <v>0</v>
      </c>
      <c r="P222" s="151"/>
      <c r="Q222" s="144"/>
      <c r="R222" s="144"/>
      <c r="T222" s="147"/>
      <c r="U222" s="147"/>
      <c r="V222" s="148"/>
      <c r="W222" s="149"/>
      <c r="X222" s="149"/>
      <c r="Y222" s="149"/>
      <c r="Z222" s="149"/>
      <c r="AA222" s="149"/>
      <c r="AB222" s="149"/>
      <c r="AC222" s="149"/>
      <c r="AD222" s="149"/>
      <c r="AE222" s="148"/>
      <c r="AF222" s="150"/>
      <c r="AG222" s="143"/>
      <c r="AH222" s="48"/>
      <c r="AI222" s="56"/>
      <c r="AJ222" s="56"/>
    </row>
    <row r="223" spans="1:36" ht="31.95" customHeight="1" x14ac:dyDescent="0.3">
      <c r="A223" s="12"/>
      <c r="B223" s="205"/>
      <c r="C223" s="49"/>
      <c r="D223" s="49">
        <f>IF(G223=Categories!$E$4,VLOOKUP(F223,Categories!$A$4:$C$13,3,1),VLOOKUP(G223,Categories!$E$4:$G$24,3,1))</f>
        <v>120</v>
      </c>
      <c r="E223" s="44">
        <v>18</v>
      </c>
      <c r="F223" s="50" t="s">
        <v>45</v>
      </c>
      <c r="G223" s="45" t="s">
        <v>0</v>
      </c>
      <c r="H223" s="52"/>
      <c r="I223" s="131">
        <v>2200</v>
      </c>
      <c r="J223" s="53">
        <v>3</v>
      </c>
      <c r="K223" s="54">
        <f>IFERROR(VLOOKUP(VLOOKUP(M223,M223,1,1),Categories!$K$4:$V$18,2+VLOOKUP(J223,J223,1,1)),"-"  )</f>
        <v>4.67</v>
      </c>
      <c r="L223" s="54" t="str">
        <f>IFERROR(VLOOKUP(VLOOKUP(M223,M223,1,1),Categories!$K$3:$V$18,7+VLOOKUP(J223,J223,1,1)),"-")</f>
        <v>18 ATM</v>
      </c>
      <c r="M223" s="55" t="s">
        <v>118</v>
      </c>
      <c r="N223" s="195" t="s">
        <v>0</v>
      </c>
      <c r="O223" s="204" t="s">
        <v>0</v>
      </c>
      <c r="P223" s="151"/>
      <c r="Q223" s="144"/>
      <c r="R223" s="144"/>
      <c r="T223" s="147"/>
      <c r="U223" s="147"/>
      <c r="V223" s="148"/>
      <c r="W223" s="149"/>
      <c r="X223" s="149"/>
      <c r="Y223" s="149"/>
      <c r="Z223" s="149"/>
      <c r="AA223" s="149"/>
      <c r="AB223" s="149"/>
      <c r="AC223" s="149"/>
      <c r="AD223" s="149"/>
      <c r="AE223" s="148"/>
      <c r="AF223" s="150"/>
      <c r="AG223" s="143"/>
      <c r="AH223" s="48"/>
      <c r="AI223" s="56"/>
      <c r="AJ223" s="56"/>
    </row>
    <row r="224" spans="1:36" ht="31.95" customHeight="1" x14ac:dyDescent="0.3">
      <c r="A224" s="12"/>
      <c r="B224" s="205"/>
      <c r="C224" s="49"/>
      <c r="D224" s="49">
        <f>IF(G224=Categories!$E$4,VLOOKUP(F224,Categories!$A$4:$C$13,3,1),VLOOKUP(G224,Categories!$E$4:$G$24,3,1))</f>
        <v>60</v>
      </c>
      <c r="E224" s="44">
        <v>18</v>
      </c>
      <c r="F224" s="50" t="s">
        <v>257</v>
      </c>
      <c r="G224" s="51" t="s">
        <v>264</v>
      </c>
      <c r="H224" s="52"/>
      <c r="I224" s="131">
        <v>2200</v>
      </c>
      <c r="J224" s="53">
        <v>1</v>
      </c>
      <c r="K224" s="54">
        <f>IFERROR(VLOOKUP(VLOOKUP(M224,M224,1,1),Categories!$K$4:$V$18,2+VLOOKUP(J224,J224,1,1)),"-"  )</f>
        <v>0.9</v>
      </c>
      <c r="L224" s="54" t="str">
        <f>IFERROR(VLOOKUP(VLOOKUP(M224,M224,1,1),Categories!$K$3:$V$18,7+VLOOKUP(J224,J224,1,1)),"-")</f>
        <v>0 ATM</v>
      </c>
      <c r="M224" s="55" t="s">
        <v>118</v>
      </c>
      <c r="N224" s="195" t="s">
        <v>0</v>
      </c>
      <c r="O224" s="204" t="s">
        <v>0</v>
      </c>
      <c r="P224" s="151"/>
      <c r="Q224" s="144"/>
      <c r="R224" s="144"/>
      <c r="T224" s="147"/>
      <c r="U224" s="147"/>
      <c r="V224" s="148"/>
      <c r="W224" s="149"/>
      <c r="X224" s="149"/>
      <c r="Y224" s="149"/>
      <c r="Z224" s="149"/>
      <c r="AA224" s="149"/>
      <c r="AB224" s="149"/>
      <c r="AC224" s="149"/>
      <c r="AD224" s="149"/>
      <c r="AE224" s="148"/>
      <c r="AF224" s="150"/>
      <c r="AG224" s="143"/>
      <c r="AH224" s="48"/>
      <c r="AI224" s="56"/>
      <c r="AJ224" s="56"/>
    </row>
    <row r="225" spans="1:36" ht="31.95" customHeight="1" x14ac:dyDescent="0.3">
      <c r="A225" s="12"/>
      <c r="B225" s="205"/>
      <c r="C225" s="49"/>
      <c r="D225" s="49">
        <f>IF(G225=Categories!$E$4,VLOOKUP(F225,Categories!$A$4:$C$13,3,1),VLOOKUP(G225,Categories!$E$4:$G$24,3,1))</f>
        <v>120</v>
      </c>
      <c r="E225" s="44">
        <v>18</v>
      </c>
      <c r="F225" s="50" t="s">
        <v>261</v>
      </c>
      <c r="G225" s="45" t="s">
        <v>0</v>
      </c>
      <c r="H225" s="52"/>
      <c r="I225" s="131">
        <v>2200</v>
      </c>
      <c r="J225" s="53">
        <v>1</v>
      </c>
      <c r="K225" s="54">
        <f>IFERROR(VLOOKUP(VLOOKUP(M225,M225,1,1),Categories!$K$4:$V$18,2+VLOOKUP(J225,J225,1,1)),"-"  )</f>
        <v>0.9</v>
      </c>
      <c r="L225" s="54" t="str">
        <f>IFERROR(VLOOKUP(VLOOKUP(M225,M225,1,1),Categories!$K$3:$V$18,7+VLOOKUP(J225,J225,1,1)),"-")</f>
        <v>0 ATM</v>
      </c>
      <c r="M225" s="55" t="s">
        <v>118</v>
      </c>
      <c r="N225" s="195" t="s">
        <v>0</v>
      </c>
      <c r="O225" s="204" t="s">
        <v>0</v>
      </c>
      <c r="P225" s="151"/>
      <c r="Q225" s="144"/>
      <c r="R225" s="144"/>
      <c r="T225" s="147"/>
      <c r="U225" s="147"/>
      <c r="V225" s="148"/>
      <c r="W225" s="149"/>
      <c r="X225" s="149"/>
      <c r="Y225" s="149"/>
      <c r="Z225" s="149"/>
      <c r="AA225" s="149"/>
      <c r="AB225" s="149"/>
      <c r="AC225" s="149"/>
      <c r="AD225" s="149"/>
      <c r="AE225" s="148"/>
      <c r="AF225" s="150"/>
      <c r="AG225" s="143"/>
      <c r="AH225" s="48"/>
      <c r="AI225" s="56"/>
      <c r="AJ225" s="56"/>
    </row>
    <row r="226" spans="1:36" ht="31.95" customHeight="1" x14ac:dyDescent="0.3">
      <c r="A226" s="12"/>
      <c r="B226" s="205"/>
      <c r="C226" s="49"/>
      <c r="D226" s="49">
        <f>IF(G226=Categories!$E$4,VLOOKUP(F226,Categories!$A$4:$C$13,3,1),VLOOKUP(G226,Categories!$E$4:$G$24,3,1))</f>
        <v>30</v>
      </c>
      <c r="E226" s="44" t="s">
        <v>0</v>
      </c>
      <c r="F226" s="50" t="s">
        <v>3</v>
      </c>
      <c r="G226" s="51" t="s">
        <v>2</v>
      </c>
      <c r="H226" s="52"/>
      <c r="I226" s="131">
        <v>2500</v>
      </c>
      <c r="J226" s="53">
        <v>1</v>
      </c>
      <c r="K226" s="54">
        <f>IFERROR(VLOOKUP(VLOOKUP(M226,M226,1,1),Categories!$K$4:$V$18,2+VLOOKUP(J226,J226,1,1)),"-"  )</f>
        <v>0.9</v>
      </c>
      <c r="L226" s="54" t="str">
        <f>IFERROR(VLOOKUP(VLOOKUP(M226,M226,1,1),Categories!$K$3:$V$18,7+VLOOKUP(J226,J226,1,1)),"-")</f>
        <v>0 ATM</v>
      </c>
      <c r="M226" s="55" t="s">
        <v>118</v>
      </c>
      <c r="N226" s="195" t="s">
        <v>0</v>
      </c>
      <c r="O226" s="204" t="s">
        <v>0</v>
      </c>
      <c r="P226" s="151"/>
      <c r="Q226" s="144"/>
      <c r="R226" s="144"/>
      <c r="T226" s="147"/>
      <c r="U226" s="147"/>
      <c r="V226" s="148"/>
      <c r="W226" s="149"/>
      <c r="X226" s="149"/>
      <c r="Y226" s="149"/>
      <c r="Z226" s="149"/>
      <c r="AA226" s="149"/>
      <c r="AB226" s="149"/>
      <c r="AC226" s="149"/>
      <c r="AD226" s="149"/>
      <c r="AE226" s="148"/>
      <c r="AF226" s="150"/>
      <c r="AG226" s="143"/>
      <c r="AH226" s="48"/>
      <c r="AI226" s="56"/>
      <c r="AJ226" s="56"/>
    </row>
    <row r="227" spans="1:36" ht="31.95" customHeight="1" x14ac:dyDescent="0.3">
      <c r="A227" s="185"/>
      <c r="B227" s="206"/>
      <c r="C227" s="49"/>
      <c r="D227" s="49">
        <f>IF(G227=Categories!$E$4,VLOOKUP(F227,Categories!$A$4:$C$13,3,1),VLOOKUP(G227,Categories!$E$4:$G$24,3,1))</f>
        <v>120</v>
      </c>
      <c r="E227" s="44">
        <v>19</v>
      </c>
      <c r="F227" s="50" t="s">
        <v>45</v>
      </c>
      <c r="G227" s="51" t="s">
        <v>0</v>
      </c>
      <c r="H227" s="52"/>
      <c r="I227" s="131">
        <v>2500</v>
      </c>
      <c r="J227" s="53">
        <v>1</v>
      </c>
      <c r="K227" s="54">
        <f>IFERROR(VLOOKUP(VLOOKUP(M227,M227,1,1),Categories!$K$4:$V$18,2+VLOOKUP(J227,J227,1,1)),"-"  )</f>
        <v>0.9</v>
      </c>
      <c r="L227" s="54" t="str">
        <f>IFERROR(VLOOKUP(VLOOKUP(M227,M227,1,1),Categories!$K$3:$V$18,7+VLOOKUP(J227,J227,1,1)),"-")</f>
        <v>0 ATM</v>
      </c>
      <c r="M227" s="55" t="s">
        <v>118</v>
      </c>
      <c r="N227" s="195" t="s">
        <v>0</v>
      </c>
      <c r="O227" s="204" t="s">
        <v>0</v>
      </c>
      <c r="P227" s="187"/>
      <c r="Q227" s="188"/>
      <c r="R227" s="188"/>
      <c r="T227" s="189"/>
      <c r="U227" s="189"/>
      <c r="V227" s="190"/>
      <c r="W227" s="191"/>
      <c r="X227" s="191"/>
      <c r="Y227" s="191"/>
      <c r="Z227" s="191"/>
      <c r="AA227" s="191"/>
      <c r="AB227" s="191"/>
      <c r="AC227" s="191"/>
      <c r="AD227" s="191"/>
      <c r="AE227" s="190"/>
      <c r="AF227" s="192"/>
      <c r="AG227" s="143"/>
      <c r="AH227" s="56"/>
      <c r="AI227" s="56"/>
      <c r="AJ227" s="56"/>
    </row>
    <row r="228" spans="1:36" ht="31.95" customHeight="1" x14ac:dyDescent="0.3">
      <c r="A228" s="185"/>
      <c r="B228" s="206"/>
      <c r="C228" s="49"/>
      <c r="D228" s="49">
        <f>IF(G228=Categories!$E$4,VLOOKUP(F228,Categories!$A$4:$C$13,3,1),VLOOKUP(G228,Categories!$E$4:$G$24,3,1))</f>
        <v>60</v>
      </c>
      <c r="E228" s="44">
        <v>19</v>
      </c>
      <c r="F228" s="50" t="s">
        <v>257</v>
      </c>
      <c r="G228" s="51" t="s">
        <v>263</v>
      </c>
      <c r="H228" s="52"/>
      <c r="I228" s="131">
        <v>2500</v>
      </c>
      <c r="J228" s="53">
        <v>2</v>
      </c>
      <c r="K228" s="54">
        <f>IFERROR(VLOOKUP(VLOOKUP(M228,M228,1,1),Categories!$K$4:$V$18,2+VLOOKUP(J228,J228,1,1)),"-"  )</f>
        <v>4.3099999999999996</v>
      </c>
      <c r="L228" s="54" t="str">
        <f>IFERROR(VLOOKUP(VLOOKUP(M228,M228,1,1),Categories!$K$3:$V$18,7+VLOOKUP(J228,J228,1,1)),"-")</f>
        <v>8 ATM</v>
      </c>
      <c r="M228" s="55" t="s">
        <v>118</v>
      </c>
      <c r="N228" s="195" t="s">
        <v>0</v>
      </c>
      <c r="O228" s="204" t="s">
        <v>0</v>
      </c>
      <c r="P228" s="187"/>
      <c r="Q228" s="188"/>
      <c r="R228" s="188"/>
      <c r="T228" s="189"/>
      <c r="U228" s="189"/>
      <c r="V228" s="190"/>
      <c r="W228" s="191"/>
      <c r="X228" s="191"/>
      <c r="Y228" s="191"/>
      <c r="Z228" s="191"/>
      <c r="AA228" s="191"/>
      <c r="AB228" s="191"/>
      <c r="AC228" s="191"/>
      <c r="AD228" s="191"/>
      <c r="AE228" s="190"/>
      <c r="AF228" s="192"/>
      <c r="AG228" s="143"/>
      <c r="AH228" s="56"/>
      <c r="AI228" s="56"/>
      <c r="AJ228" s="56"/>
    </row>
    <row r="229" spans="1:36" ht="31.95" customHeight="1" x14ac:dyDescent="0.3">
      <c r="A229" s="12"/>
      <c r="B229" s="205"/>
      <c r="C229" s="49"/>
      <c r="D229" s="49">
        <f>IF(G229=Categories!$E$4,VLOOKUP(F229,Categories!$A$4:$C$13,3,1),VLOOKUP(G229,Categories!$E$4:$G$24,3,1))</f>
        <v>120</v>
      </c>
      <c r="E229" s="44">
        <v>19</v>
      </c>
      <c r="F229" s="50" t="s">
        <v>45</v>
      </c>
      <c r="G229" s="45" t="s">
        <v>0</v>
      </c>
      <c r="H229" s="52"/>
      <c r="I229" s="131">
        <v>2500</v>
      </c>
      <c r="J229" s="53">
        <v>2</v>
      </c>
      <c r="K229" s="54">
        <f>IFERROR(VLOOKUP(VLOOKUP(M229,M229,1,1),Categories!$K$4:$V$18,2+VLOOKUP(J229,J229,1,1)),"-"  )</f>
        <v>4.3099999999999996</v>
      </c>
      <c r="L229" s="54" t="str">
        <f>IFERROR(VLOOKUP(VLOOKUP(M229,M229,1,1),Categories!$K$3:$V$18,7+VLOOKUP(J229,J229,1,1)),"-")</f>
        <v>8 ATM</v>
      </c>
      <c r="M229" s="55" t="s">
        <v>118</v>
      </c>
      <c r="N229" s="195" t="s">
        <v>0</v>
      </c>
      <c r="O229" s="204" t="s">
        <v>0</v>
      </c>
      <c r="P229" s="151"/>
      <c r="Q229" s="144"/>
      <c r="R229" s="144"/>
      <c r="T229" s="147"/>
      <c r="U229" s="147"/>
      <c r="V229" s="148"/>
      <c r="W229" s="149"/>
      <c r="X229" s="149"/>
      <c r="Y229" s="149"/>
      <c r="Z229" s="149"/>
      <c r="AA229" s="149"/>
      <c r="AB229" s="149"/>
      <c r="AC229" s="149"/>
      <c r="AD229" s="149"/>
      <c r="AE229" s="148"/>
      <c r="AF229" s="150"/>
      <c r="AG229" s="143"/>
      <c r="AH229" s="48"/>
      <c r="AI229" s="56"/>
      <c r="AJ229" s="56"/>
    </row>
    <row r="230" spans="1:36" ht="31.95" customHeight="1" x14ac:dyDescent="0.3">
      <c r="A230" s="12"/>
      <c r="B230" s="205"/>
      <c r="C230" s="49"/>
      <c r="D230" s="49">
        <f>IF(G230=Categories!$E$4,VLOOKUP(F230,Categories!$A$4:$C$13,3,1),VLOOKUP(G230,Categories!$E$4:$G$24,3,1))</f>
        <v>60</v>
      </c>
      <c r="E230" s="44">
        <v>19</v>
      </c>
      <c r="F230" s="50" t="s">
        <v>257</v>
      </c>
      <c r="G230" s="51" t="s">
        <v>263</v>
      </c>
      <c r="H230" s="52"/>
      <c r="I230" s="131">
        <v>2500</v>
      </c>
      <c r="J230" s="53">
        <v>3</v>
      </c>
      <c r="K230" s="54">
        <f>IFERROR(VLOOKUP(VLOOKUP(M230,M230,1,1),Categories!$K$4:$V$18,2+VLOOKUP(J230,J230,1,1)),"-"  )</f>
        <v>4.67</v>
      </c>
      <c r="L230" s="54" t="str">
        <f>IFERROR(VLOOKUP(VLOOKUP(M230,M230,1,1),Categories!$K$3:$V$18,7+VLOOKUP(J230,J230,1,1)),"-")</f>
        <v>18 ATM</v>
      </c>
      <c r="M230" s="55" t="s">
        <v>118</v>
      </c>
      <c r="N230" s="195" t="s">
        <v>0</v>
      </c>
      <c r="O230" s="204" t="s">
        <v>0</v>
      </c>
      <c r="P230" s="151"/>
      <c r="Q230" s="144"/>
      <c r="R230" s="144"/>
      <c r="T230" s="147"/>
      <c r="U230" s="147"/>
      <c r="V230" s="148"/>
      <c r="W230" s="149"/>
      <c r="X230" s="149"/>
      <c r="Y230" s="149"/>
      <c r="Z230" s="149"/>
      <c r="AA230" s="149"/>
      <c r="AB230" s="149"/>
      <c r="AC230" s="149"/>
      <c r="AD230" s="149"/>
      <c r="AE230" s="148"/>
      <c r="AF230" s="150"/>
      <c r="AG230" s="143"/>
      <c r="AH230" s="48"/>
      <c r="AI230" s="56"/>
      <c r="AJ230" s="56"/>
    </row>
    <row r="231" spans="1:36" ht="31.95" customHeight="1" x14ac:dyDescent="0.3">
      <c r="A231" s="12"/>
      <c r="B231" s="205"/>
      <c r="C231" s="49"/>
      <c r="D231" s="49">
        <f>IF(G231=Categories!$E$4,VLOOKUP(F231,Categories!$A$4:$C$13,3,1),VLOOKUP(G231,Categories!$E$4:$G$24,3,1))</f>
        <v>120</v>
      </c>
      <c r="E231" s="44">
        <v>19</v>
      </c>
      <c r="F231" s="50" t="s">
        <v>45</v>
      </c>
      <c r="G231" s="45" t="s">
        <v>0</v>
      </c>
      <c r="H231" s="52"/>
      <c r="I231" s="131">
        <v>2500</v>
      </c>
      <c r="J231" s="53">
        <v>3</v>
      </c>
      <c r="K231" s="54">
        <f>IFERROR(VLOOKUP(VLOOKUP(M231,M231,1,1),Categories!$K$4:$V$18,2+VLOOKUP(J231,J231,1,1)),"-"  )</f>
        <v>4.67</v>
      </c>
      <c r="L231" s="54" t="str">
        <f>IFERROR(VLOOKUP(VLOOKUP(M231,M231,1,1),Categories!$K$3:$V$18,7+VLOOKUP(J231,J231,1,1)),"-")</f>
        <v>18 ATM</v>
      </c>
      <c r="M231" s="55" t="s">
        <v>118</v>
      </c>
      <c r="N231" s="195" t="s">
        <v>0</v>
      </c>
      <c r="O231" s="204" t="s">
        <v>0</v>
      </c>
      <c r="P231" s="151"/>
      <c r="Q231" s="144"/>
      <c r="R231" s="144"/>
      <c r="T231" s="147"/>
      <c r="U231" s="147"/>
      <c r="V231" s="148"/>
      <c r="W231" s="149"/>
      <c r="X231" s="149"/>
      <c r="Y231" s="149"/>
      <c r="Z231" s="149"/>
      <c r="AA231" s="149"/>
      <c r="AB231" s="149"/>
      <c r="AC231" s="149"/>
      <c r="AD231" s="149"/>
      <c r="AE231" s="148"/>
      <c r="AF231" s="150"/>
      <c r="AG231" s="143"/>
      <c r="AH231" s="48"/>
      <c r="AI231" s="56"/>
      <c r="AJ231" s="56"/>
    </row>
    <row r="232" spans="1:36" ht="31.95" customHeight="1" x14ac:dyDescent="0.3">
      <c r="A232" s="12"/>
      <c r="B232" s="205"/>
      <c r="C232" s="49"/>
      <c r="D232" s="49">
        <f>IF(G232=Categories!$E$4,VLOOKUP(F232,Categories!$A$4:$C$13,3,1),VLOOKUP(G232,Categories!$E$4:$G$24,3,1))</f>
        <v>60</v>
      </c>
      <c r="E232" s="44">
        <v>19</v>
      </c>
      <c r="F232" s="50" t="s">
        <v>257</v>
      </c>
      <c r="G232" s="51" t="s">
        <v>264</v>
      </c>
      <c r="H232" s="52"/>
      <c r="I232" s="131">
        <v>2500</v>
      </c>
      <c r="J232" s="53">
        <v>1</v>
      </c>
      <c r="K232" s="54">
        <f>IFERROR(VLOOKUP(VLOOKUP(M232,M232,1,1),Categories!$K$4:$V$18,2+VLOOKUP(J232,J232,1,1)),"-"  )</f>
        <v>0.9</v>
      </c>
      <c r="L232" s="54" t="str">
        <f>IFERROR(VLOOKUP(VLOOKUP(M232,M232,1,1),Categories!$K$3:$V$18,7+VLOOKUP(J232,J232,1,1)),"-")</f>
        <v>0 ATM</v>
      </c>
      <c r="M232" s="55" t="s">
        <v>118</v>
      </c>
      <c r="N232" s="195" t="s">
        <v>0</v>
      </c>
      <c r="O232" s="204" t="s">
        <v>0</v>
      </c>
      <c r="P232" s="151"/>
      <c r="Q232" s="144"/>
      <c r="R232" s="144"/>
      <c r="T232" s="147"/>
      <c r="U232" s="147"/>
      <c r="V232" s="148"/>
      <c r="W232" s="149"/>
      <c r="X232" s="149"/>
      <c r="Y232" s="149"/>
      <c r="Z232" s="149"/>
      <c r="AA232" s="149"/>
      <c r="AB232" s="149"/>
      <c r="AC232" s="149"/>
      <c r="AD232" s="149"/>
      <c r="AE232" s="148"/>
      <c r="AF232" s="150"/>
      <c r="AG232" s="143"/>
      <c r="AH232" s="48"/>
      <c r="AI232" s="56"/>
      <c r="AJ232" s="56"/>
    </row>
    <row r="233" spans="1:36" ht="31.95" customHeight="1" x14ac:dyDescent="0.3">
      <c r="A233" s="12"/>
      <c r="B233" s="205"/>
      <c r="C233" s="49"/>
      <c r="D233" s="49">
        <f>IF(G233=Categories!$E$4,VLOOKUP(F233,Categories!$A$4:$C$13,3,1),VLOOKUP(G233,Categories!$E$4:$G$24,3,1))</f>
        <v>120</v>
      </c>
      <c r="E233" s="44">
        <v>19</v>
      </c>
      <c r="F233" s="50" t="s">
        <v>261</v>
      </c>
      <c r="G233" s="45" t="s">
        <v>0</v>
      </c>
      <c r="H233" s="52"/>
      <c r="I233" s="131">
        <v>2500</v>
      </c>
      <c r="J233" s="53">
        <v>1</v>
      </c>
      <c r="K233" s="54">
        <f>IFERROR(VLOOKUP(VLOOKUP(M233,M233,1,1),Categories!$K$4:$V$18,2+VLOOKUP(J233,J233,1,1)),"-"  )</f>
        <v>0.9</v>
      </c>
      <c r="L233" s="54" t="str">
        <f>IFERROR(VLOOKUP(VLOOKUP(M233,M233,1,1),Categories!$K$3:$V$18,7+VLOOKUP(J233,J233,1,1)),"-")</f>
        <v>0 ATM</v>
      </c>
      <c r="M233" s="55" t="s">
        <v>118</v>
      </c>
      <c r="N233" s="195" t="s">
        <v>0</v>
      </c>
      <c r="O233" s="204" t="s">
        <v>0</v>
      </c>
      <c r="P233" s="151"/>
      <c r="Q233" s="144"/>
      <c r="R233" s="144"/>
      <c r="T233" s="147"/>
      <c r="U233" s="147"/>
      <c r="V233" s="148"/>
      <c r="W233" s="149"/>
      <c r="X233" s="149"/>
      <c r="Y233" s="149"/>
      <c r="Z233" s="149"/>
      <c r="AA233" s="149"/>
      <c r="AB233" s="149"/>
      <c r="AC233" s="149"/>
      <c r="AD233" s="149"/>
      <c r="AE233" s="148"/>
      <c r="AF233" s="150"/>
      <c r="AG233" s="143"/>
      <c r="AH233" s="48"/>
      <c r="AI233" s="56"/>
      <c r="AJ233" s="56"/>
    </row>
    <row r="234" spans="1:36" ht="31.95" customHeight="1" x14ac:dyDescent="0.3">
      <c r="A234" s="12"/>
      <c r="B234" s="205"/>
      <c r="C234" s="49"/>
      <c r="D234" s="49">
        <f>IF(G234=Categories!$E$4,VLOOKUP(F234,Categories!$A$4:$C$13,3,1),VLOOKUP(G234,Categories!$E$4:$G$24,3,1))</f>
        <v>30</v>
      </c>
      <c r="E234" s="44" t="s">
        <v>0</v>
      </c>
      <c r="F234" s="50" t="s">
        <v>257</v>
      </c>
      <c r="G234" s="51" t="s">
        <v>2</v>
      </c>
      <c r="H234" s="52"/>
      <c r="I234" s="131">
        <v>2800</v>
      </c>
      <c r="J234" s="53">
        <v>1</v>
      </c>
      <c r="K234" s="54">
        <f>IFERROR(VLOOKUP(VLOOKUP(M234,M234,1,1),Categories!$K$4:$V$18,2+VLOOKUP(J234,J234,1,1)),"-"  )</f>
        <v>0.9</v>
      </c>
      <c r="L234" s="54" t="str">
        <f>IFERROR(VLOOKUP(VLOOKUP(M234,M234,1,1),Categories!$K$3:$V$18,7+VLOOKUP(J234,J234,1,1)),"-")</f>
        <v>0 ATM</v>
      </c>
      <c r="M234" s="55" t="s">
        <v>118</v>
      </c>
      <c r="N234" s="195" t="s">
        <v>0</v>
      </c>
      <c r="O234" s="204" t="s">
        <v>0</v>
      </c>
      <c r="P234" s="151"/>
      <c r="Q234" s="144"/>
      <c r="R234" s="144"/>
      <c r="T234" s="147"/>
      <c r="U234" s="147"/>
      <c r="V234" s="148"/>
      <c r="W234" s="149"/>
      <c r="X234" s="149"/>
      <c r="Y234" s="149"/>
      <c r="Z234" s="149"/>
      <c r="AA234" s="149"/>
      <c r="AB234" s="149"/>
      <c r="AC234" s="149"/>
      <c r="AD234" s="149"/>
      <c r="AE234" s="148"/>
      <c r="AF234" s="150"/>
      <c r="AG234" s="143"/>
      <c r="AH234" s="48"/>
      <c r="AI234" s="56"/>
      <c r="AJ234" s="56"/>
    </row>
    <row r="235" spans="1:36" ht="31.95" customHeight="1" x14ac:dyDescent="0.3">
      <c r="A235" s="185"/>
      <c r="B235" s="206"/>
      <c r="C235" s="49"/>
      <c r="D235" s="49">
        <f>IF(G235=Categories!$E$4,VLOOKUP(F235,Categories!$A$4:$C$13,3,1),VLOOKUP(G235,Categories!$E$4:$G$24,3,1))</f>
        <v>120</v>
      </c>
      <c r="E235" s="44">
        <v>20</v>
      </c>
      <c r="F235" s="50" t="s">
        <v>45</v>
      </c>
      <c r="G235" s="51" t="s">
        <v>0</v>
      </c>
      <c r="H235" s="52"/>
      <c r="I235" s="131">
        <v>2800</v>
      </c>
      <c r="J235" s="53">
        <v>1</v>
      </c>
      <c r="K235" s="54">
        <f>IFERROR(VLOOKUP(VLOOKUP(M235,M235,1,1),Categories!$K$4:$V$18,2+VLOOKUP(J235,J235,1,1)),"-"  )</f>
        <v>0.9</v>
      </c>
      <c r="L235" s="54" t="str">
        <f>IFERROR(VLOOKUP(VLOOKUP(M235,M235,1,1),Categories!$K$3:$V$18,7+VLOOKUP(J235,J235,1,1)),"-")</f>
        <v>0 ATM</v>
      </c>
      <c r="M235" s="55" t="s">
        <v>118</v>
      </c>
      <c r="N235" s="195" t="s">
        <v>0</v>
      </c>
      <c r="O235" s="204" t="s">
        <v>0</v>
      </c>
      <c r="P235" s="187"/>
      <c r="Q235" s="188"/>
      <c r="R235" s="188"/>
      <c r="T235" s="189"/>
      <c r="U235" s="189"/>
      <c r="V235" s="190"/>
      <c r="W235" s="191"/>
      <c r="X235" s="191"/>
      <c r="Y235" s="191"/>
      <c r="Z235" s="191"/>
      <c r="AA235" s="191"/>
      <c r="AB235" s="191"/>
      <c r="AC235" s="191"/>
      <c r="AD235" s="191"/>
      <c r="AE235" s="190"/>
      <c r="AF235" s="192"/>
      <c r="AG235" s="143" t="s">
        <v>278</v>
      </c>
      <c r="AH235" s="56"/>
      <c r="AI235" s="56"/>
      <c r="AJ235" s="56"/>
    </row>
    <row r="236" spans="1:36" ht="31.95" customHeight="1" x14ac:dyDescent="0.3">
      <c r="A236" s="185"/>
      <c r="B236" s="206"/>
      <c r="C236" s="49"/>
      <c r="D236" s="49">
        <f>IF(G236=Categories!$E$4,VLOOKUP(F236,Categories!$A$4:$C$13,3,1),VLOOKUP(G236,Categories!$E$4:$G$24,3,1))</f>
        <v>60</v>
      </c>
      <c r="E236" s="44">
        <v>20</v>
      </c>
      <c r="F236" s="50" t="s">
        <v>257</v>
      </c>
      <c r="G236" s="51" t="s">
        <v>263</v>
      </c>
      <c r="H236" s="52"/>
      <c r="I236" s="131">
        <v>2800</v>
      </c>
      <c r="J236" s="53">
        <v>2</v>
      </c>
      <c r="K236" s="54">
        <f>IFERROR(VLOOKUP(VLOOKUP(M236,M236,1,1),Categories!$K$4:$V$18,2+VLOOKUP(J236,J236,1,1)),"-"  )</f>
        <v>4.3099999999999996</v>
      </c>
      <c r="L236" s="54" t="str">
        <f>IFERROR(VLOOKUP(VLOOKUP(M236,M236,1,1),Categories!$K$3:$V$18,7+VLOOKUP(J236,J236,1,1)),"-")</f>
        <v>8 ATM</v>
      </c>
      <c r="M236" s="55" t="s">
        <v>118</v>
      </c>
      <c r="N236" s="195" t="s">
        <v>0</v>
      </c>
      <c r="O236" s="204" t="s">
        <v>0</v>
      </c>
      <c r="P236" s="187"/>
      <c r="Q236" s="188"/>
      <c r="R236" s="188"/>
      <c r="T236" s="189"/>
      <c r="U236" s="189"/>
      <c r="V236" s="190"/>
      <c r="W236" s="191"/>
      <c r="X236" s="191"/>
      <c r="Y236" s="191"/>
      <c r="Z236" s="191"/>
      <c r="AA236" s="191"/>
      <c r="AB236" s="191"/>
      <c r="AC236" s="191"/>
      <c r="AD236" s="191"/>
      <c r="AE236" s="190"/>
      <c r="AF236" s="192"/>
      <c r="AG236" s="143"/>
      <c r="AH236" s="56"/>
      <c r="AI236" s="56"/>
      <c r="AJ236" s="56"/>
    </row>
    <row r="237" spans="1:36" ht="31.95" customHeight="1" x14ac:dyDescent="0.3">
      <c r="A237" s="12"/>
      <c r="B237" s="205"/>
      <c r="C237" s="49"/>
      <c r="D237" s="49">
        <f>IF(G237=Categories!$E$4,VLOOKUP(F237,Categories!$A$4:$C$13,3,1),VLOOKUP(G237,Categories!$E$4:$G$24,3,1))</f>
        <v>120</v>
      </c>
      <c r="E237" s="44">
        <v>20</v>
      </c>
      <c r="F237" s="50" t="s">
        <v>45</v>
      </c>
      <c r="G237" s="45" t="s">
        <v>0</v>
      </c>
      <c r="H237" s="52"/>
      <c r="I237" s="131">
        <v>2800</v>
      </c>
      <c r="J237" s="53">
        <v>2</v>
      </c>
      <c r="K237" s="54">
        <f>IFERROR(VLOOKUP(VLOOKUP(M237,M237,1,1),Categories!$K$4:$V$18,2+VLOOKUP(J237,J237,1,1)),"-"  )</f>
        <v>4.3099999999999996</v>
      </c>
      <c r="L237" s="54" t="str">
        <f>IFERROR(VLOOKUP(VLOOKUP(M237,M237,1,1),Categories!$K$3:$V$18,7+VLOOKUP(J237,J237,1,1)),"-")</f>
        <v>8 ATM</v>
      </c>
      <c r="M237" s="55" t="s">
        <v>118</v>
      </c>
      <c r="N237" s="195" t="s">
        <v>0</v>
      </c>
      <c r="O237" s="204" t="s">
        <v>0</v>
      </c>
      <c r="P237" s="151"/>
      <c r="Q237" s="144"/>
      <c r="R237" s="144"/>
      <c r="T237" s="147"/>
      <c r="U237" s="147"/>
      <c r="V237" s="148"/>
      <c r="W237" s="149"/>
      <c r="X237" s="149"/>
      <c r="Y237" s="149"/>
      <c r="Z237" s="149"/>
      <c r="AA237" s="149"/>
      <c r="AB237" s="149"/>
      <c r="AC237" s="149"/>
      <c r="AD237" s="149"/>
      <c r="AE237" s="148"/>
      <c r="AF237" s="150"/>
      <c r="AG237" s="143" t="s">
        <v>278</v>
      </c>
      <c r="AH237" s="48"/>
      <c r="AI237" s="56"/>
      <c r="AJ237" s="56"/>
    </row>
    <row r="238" spans="1:36" ht="31.95" customHeight="1" x14ac:dyDescent="0.3">
      <c r="A238" s="12"/>
      <c r="B238" s="205"/>
      <c r="C238" s="49"/>
      <c r="D238" s="49">
        <f>IF(G238=Categories!$E$4,VLOOKUP(F238,Categories!$A$4:$C$13,3,1),VLOOKUP(G238,Categories!$E$4:$G$24,3,1))</f>
        <v>60</v>
      </c>
      <c r="E238" s="44">
        <v>20</v>
      </c>
      <c r="F238" s="50" t="s">
        <v>257</v>
      </c>
      <c r="G238" s="51" t="s">
        <v>263</v>
      </c>
      <c r="H238" s="52"/>
      <c r="I238" s="131">
        <v>2800</v>
      </c>
      <c r="J238" s="53">
        <v>3</v>
      </c>
      <c r="K238" s="54">
        <f>IFERROR(VLOOKUP(VLOOKUP(M238,M238,1,1),Categories!$K$4:$V$18,2+VLOOKUP(J238,J238,1,1)),"-"  )</f>
        <v>4.67</v>
      </c>
      <c r="L238" s="54" t="str">
        <f>IFERROR(VLOOKUP(VLOOKUP(M238,M238,1,1),Categories!$K$3:$V$18,7+VLOOKUP(J238,J238,1,1)),"-")</f>
        <v>18 ATM</v>
      </c>
      <c r="M238" s="55" t="s">
        <v>118</v>
      </c>
      <c r="N238" s="195" t="s">
        <v>0</v>
      </c>
      <c r="O238" s="204" t="s">
        <v>0</v>
      </c>
      <c r="P238" s="151"/>
      <c r="Q238" s="144"/>
      <c r="R238" s="144"/>
      <c r="T238" s="147"/>
      <c r="U238" s="147"/>
      <c r="V238" s="148"/>
      <c r="W238" s="149"/>
      <c r="X238" s="149"/>
      <c r="Y238" s="149"/>
      <c r="Z238" s="149"/>
      <c r="AA238" s="149"/>
      <c r="AB238" s="149"/>
      <c r="AC238" s="149"/>
      <c r="AD238" s="149"/>
      <c r="AE238" s="148"/>
      <c r="AF238" s="150"/>
      <c r="AG238" s="143"/>
      <c r="AH238" s="48"/>
      <c r="AI238" s="56"/>
      <c r="AJ238" s="56"/>
    </row>
    <row r="239" spans="1:36" ht="31.95" customHeight="1" x14ac:dyDescent="0.3">
      <c r="A239" s="12"/>
      <c r="B239" s="205"/>
      <c r="C239" s="49"/>
      <c r="D239" s="49">
        <f>IF(G239=Categories!$E$4,VLOOKUP(F239,Categories!$A$4:$C$13,3,1),VLOOKUP(G239,Categories!$E$4:$G$24,3,1))</f>
        <v>120</v>
      </c>
      <c r="E239" s="44">
        <v>20</v>
      </c>
      <c r="F239" s="50" t="s">
        <v>45</v>
      </c>
      <c r="G239" s="45" t="s">
        <v>0</v>
      </c>
      <c r="H239" s="52"/>
      <c r="I239" s="131">
        <v>2800</v>
      </c>
      <c r="J239" s="53">
        <v>3</v>
      </c>
      <c r="K239" s="54">
        <f>IFERROR(VLOOKUP(VLOOKUP(M239,M239,1,1),Categories!$K$4:$V$18,2+VLOOKUP(J239,J239,1,1)),"-"  )</f>
        <v>4.67</v>
      </c>
      <c r="L239" s="54" t="str">
        <f>IFERROR(VLOOKUP(VLOOKUP(M239,M239,1,1),Categories!$K$3:$V$18,7+VLOOKUP(J239,J239,1,1)),"-")</f>
        <v>18 ATM</v>
      </c>
      <c r="M239" s="55" t="s">
        <v>118</v>
      </c>
      <c r="N239" s="195" t="s">
        <v>0</v>
      </c>
      <c r="O239" s="204" t="s">
        <v>0</v>
      </c>
      <c r="P239" s="151"/>
      <c r="Q239" s="144"/>
      <c r="R239" s="144"/>
      <c r="T239" s="147"/>
      <c r="U239" s="147"/>
      <c r="V239" s="148"/>
      <c r="W239" s="149"/>
      <c r="X239" s="149"/>
      <c r="Y239" s="149"/>
      <c r="Z239" s="149"/>
      <c r="AA239" s="149"/>
      <c r="AB239" s="149"/>
      <c r="AC239" s="149"/>
      <c r="AD239" s="149"/>
      <c r="AE239" s="148"/>
      <c r="AF239" s="150"/>
      <c r="AG239" s="143" t="s">
        <v>278</v>
      </c>
      <c r="AH239" s="48"/>
      <c r="AI239" s="56"/>
      <c r="AJ239" s="56"/>
    </row>
    <row r="240" spans="1:36" ht="31.95" customHeight="1" x14ac:dyDescent="0.3">
      <c r="A240" s="12"/>
      <c r="B240" s="205"/>
      <c r="C240" s="49"/>
      <c r="D240" s="49">
        <f>IF(G240=Categories!$E$4,VLOOKUP(F240,Categories!$A$4:$C$13,3,1),VLOOKUP(G240,Categories!$E$4:$G$24,3,1))</f>
        <v>60</v>
      </c>
      <c r="E240" s="44">
        <v>20</v>
      </c>
      <c r="F240" s="50" t="s">
        <v>257</v>
      </c>
      <c r="G240" s="51" t="s">
        <v>264</v>
      </c>
      <c r="H240" s="52"/>
      <c r="I240" s="131">
        <v>2800</v>
      </c>
      <c r="J240" s="53">
        <v>1</v>
      </c>
      <c r="K240" s="54">
        <f>IFERROR(VLOOKUP(VLOOKUP(M240,M240,1,1),Categories!$K$4:$V$18,2+VLOOKUP(J240,J240,1,1)),"-"  )</f>
        <v>0.9</v>
      </c>
      <c r="L240" s="54" t="str">
        <f>IFERROR(VLOOKUP(VLOOKUP(M240,M240,1,1),Categories!$K$3:$V$18,7+VLOOKUP(J240,J240,1,1)),"-")</f>
        <v>0 ATM</v>
      </c>
      <c r="M240" s="55" t="s">
        <v>118</v>
      </c>
      <c r="N240" s="195" t="s">
        <v>0</v>
      </c>
      <c r="O240" s="204" t="s">
        <v>0</v>
      </c>
      <c r="P240" s="151"/>
      <c r="Q240" s="144"/>
      <c r="R240" s="144"/>
      <c r="T240" s="147"/>
      <c r="U240" s="147"/>
      <c r="V240" s="148"/>
      <c r="W240" s="149"/>
      <c r="X240" s="149"/>
      <c r="Y240" s="149"/>
      <c r="Z240" s="149"/>
      <c r="AA240" s="149"/>
      <c r="AB240" s="149"/>
      <c r="AC240" s="149"/>
      <c r="AD240" s="149"/>
      <c r="AE240" s="148"/>
      <c r="AF240" s="150"/>
      <c r="AG240" s="143"/>
      <c r="AH240" s="48"/>
      <c r="AI240" s="56"/>
      <c r="AJ240" s="56"/>
    </row>
    <row r="241" spans="1:36" ht="31.95" customHeight="1" x14ac:dyDescent="0.3">
      <c r="A241" s="12"/>
      <c r="B241" s="205"/>
      <c r="C241" s="49"/>
      <c r="D241" s="49">
        <f>IF(G241=Categories!$E$4,VLOOKUP(F241,Categories!$A$4:$C$13,3,1),VLOOKUP(G241,Categories!$E$4:$G$24,3,1))</f>
        <v>120</v>
      </c>
      <c r="E241" s="44">
        <v>20</v>
      </c>
      <c r="F241" s="50" t="s">
        <v>261</v>
      </c>
      <c r="G241" s="45" t="s">
        <v>0</v>
      </c>
      <c r="H241" s="52"/>
      <c r="I241" s="131">
        <v>2800</v>
      </c>
      <c r="J241" s="53">
        <v>1</v>
      </c>
      <c r="K241" s="54">
        <f>IFERROR(VLOOKUP(VLOOKUP(M241,M241,1,1),Categories!$K$4:$V$18,2+VLOOKUP(J241,J241,1,1)),"-"  )</f>
        <v>0.9</v>
      </c>
      <c r="L241" s="54" t="str">
        <f>IFERROR(VLOOKUP(VLOOKUP(M241,M241,1,1),Categories!$K$3:$V$18,7+VLOOKUP(J241,J241,1,1)),"-")</f>
        <v>0 ATM</v>
      </c>
      <c r="M241" s="55" t="s">
        <v>118</v>
      </c>
      <c r="N241" s="195" t="s">
        <v>0</v>
      </c>
      <c r="O241" s="204" t="s">
        <v>0</v>
      </c>
      <c r="P241" s="151"/>
      <c r="Q241" s="144"/>
      <c r="R241" s="144"/>
      <c r="T241" s="147"/>
      <c r="U241" s="147"/>
      <c r="V241" s="148"/>
      <c r="W241" s="149"/>
      <c r="X241" s="149"/>
      <c r="Y241" s="149"/>
      <c r="Z241" s="149"/>
      <c r="AA241" s="149"/>
      <c r="AB241" s="149"/>
      <c r="AC241" s="149"/>
      <c r="AD241" s="149"/>
      <c r="AE241" s="148"/>
      <c r="AF241" s="150"/>
      <c r="AG241" s="143"/>
      <c r="AH241" s="48"/>
      <c r="AI241" s="56"/>
      <c r="AJ241" s="56"/>
    </row>
    <row r="242" spans="1:36" ht="31.95" customHeight="1" x14ac:dyDescent="0.3">
      <c r="A242" s="12"/>
      <c r="B242" s="205"/>
      <c r="C242" s="49"/>
      <c r="D242" s="49">
        <f>IF(G242=Categories!$E$4,VLOOKUP(F242,Categories!$A$4:$C$13,3,1),VLOOKUP(G242,Categories!$E$4:$G$24,3,1))</f>
        <v>30</v>
      </c>
      <c r="E242" s="44" t="s">
        <v>0</v>
      </c>
      <c r="F242" s="50" t="s">
        <v>257</v>
      </c>
      <c r="G242" s="51" t="s">
        <v>2</v>
      </c>
      <c r="H242" s="52"/>
      <c r="I242" s="131">
        <v>3100</v>
      </c>
      <c r="J242" s="53">
        <v>1</v>
      </c>
      <c r="K242" s="54">
        <f>IFERROR(VLOOKUP(VLOOKUP(M242,M242,1,1),Categories!$K$4:$V$18,2+VLOOKUP(J242,J242,1,1)),"-"  )</f>
        <v>0.9</v>
      </c>
      <c r="L242" s="54" t="str">
        <f>IFERROR(VLOOKUP(VLOOKUP(M242,M242,1,1),Categories!$K$3:$V$18,7+VLOOKUP(J242,J242,1,1)),"-")</f>
        <v>0 ATM</v>
      </c>
      <c r="M242" s="55" t="s">
        <v>118</v>
      </c>
      <c r="N242" s="195" t="s">
        <v>0</v>
      </c>
      <c r="O242" s="204" t="s">
        <v>0</v>
      </c>
      <c r="P242" s="151"/>
      <c r="Q242" s="144"/>
      <c r="R242" s="144"/>
      <c r="T242" s="147"/>
      <c r="U242" s="147"/>
      <c r="V242" s="148"/>
      <c r="W242" s="149"/>
      <c r="X242" s="149"/>
      <c r="Y242" s="149"/>
      <c r="Z242" s="149"/>
      <c r="AA242" s="149"/>
      <c r="AB242" s="149"/>
      <c r="AC242" s="149"/>
      <c r="AD242" s="149"/>
      <c r="AE242" s="148"/>
      <c r="AF242" s="150"/>
      <c r="AG242" s="143"/>
      <c r="AH242" s="48"/>
      <c r="AI242" s="56"/>
      <c r="AJ242" s="56"/>
    </row>
    <row r="243" spans="1:36" ht="31.95" customHeight="1" x14ac:dyDescent="0.3">
      <c r="A243" s="185"/>
      <c r="B243" s="206"/>
      <c r="C243" s="49"/>
      <c r="D243" s="49">
        <f>IF(G243=Categories!$E$4,VLOOKUP(F243,Categories!$A$4:$C$13,3,1),VLOOKUP(G243,Categories!$E$4:$G$24,3,1))</f>
        <v>120</v>
      </c>
      <c r="E243" s="44">
        <v>21</v>
      </c>
      <c r="F243" s="50" t="s">
        <v>45</v>
      </c>
      <c r="G243" s="51" t="s">
        <v>0</v>
      </c>
      <c r="H243" s="52"/>
      <c r="I243" s="131">
        <v>3100</v>
      </c>
      <c r="J243" s="53">
        <v>1</v>
      </c>
      <c r="K243" s="54">
        <f>IFERROR(VLOOKUP(VLOOKUP(M243,M243,1,1),Categories!$K$4:$V$18,2+VLOOKUP(J243,J243,1,1)),"-"  )</f>
        <v>0.9</v>
      </c>
      <c r="L243" s="54" t="str">
        <f>IFERROR(VLOOKUP(VLOOKUP(M243,M243,1,1),Categories!$K$3:$V$18,7+VLOOKUP(J243,J243,1,1)),"-")</f>
        <v>0 ATM</v>
      </c>
      <c r="M243" s="55" t="s">
        <v>118</v>
      </c>
      <c r="N243" s="195" t="s">
        <v>0</v>
      </c>
      <c r="O243" s="204" t="s">
        <v>0</v>
      </c>
      <c r="P243" s="187"/>
      <c r="Q243" s="188"/>
      <c r="R243" s="188"/>
      <c r="T243" s="189"/>
      <c r="U243" s="189"/>
      <c r="V243" s="190"/>
      <c r="W243" s="191"/>
      <c r="X243" s="191"/>
      <c r="Y243" s="191"/>
      <c r="Z243" s="191"/>
      <c r="AA243" s="191"/>
      <c r="AB243" s="191"/>
      <c r="AC243" s="191"/>
      <c r="AD243" s="191"/>
      <c r="AE243" s="190"/>
      <c r="AF243" s="192"/>
      <c r="AG243" s="143"/>
      <c r="AH243" s="56"/>
      <c r="AI243" s="56"/>
      <c r="AJ243" s="56"/>
    </row>
    <row r="244" spans="1:36" ht="31.95" customHeight="1" x14ac:dyDescent="0.3">
      <c r="A244" s="185"/>
      <c r="B244" s="206"/>
      <c r="C244" s="49"/>
      <c r="D244" s="49">
        <f>IF(G244=Categories!$E$4,VLOOKUP(F244,Categories!$A$4:$C$13,3,1),VLOOKUP(G244,Categories!$E$4:$G$24,3,1))</f>
        <v>60</v>
      </c>
      <c r="E244" s="44">
        <v>21</v>
      </c>
      <c r="F244" s="50" t="s">
        <v>257</v>
      </c>
      <c r="G244" s="51" t="s">
        <v>263</v>
      </c>
      <c r="H244" s="52"/>
      <c r="I244" s="131">
        <v>3100</v>
      </c>
      <c r="J244" s="53">
        <v>2</v>
      </c>
      <c r="K244" s="54">
        <f>IFERROR(VLOOKUP(VLOOKUP(M244,M244,1,1),Categories!$K$4:$V$18,2+VLOOKUP(J244,J244,1,1)),"-"  )</f>
        <v>4.3099999999999996</v>
      </c>
      <c r="L244" s="54" t="str">
        <f>IFERROR(VLOOKUP(VLOOKUP(M244,M244,1,1),Categories!$K$3:$V$18,7+VLOOKUP(J244,J244,1,1)),"-")</f>
        <v>8 ATM</v>
      </c>
      <c r="M244" s="55" t="s">
        <v>118</v>
      </c>
      <c r="N244" s="195" t="s">
        <v>0</v>
      </c>
      <c r="O244" s="204" t="s">
        <v>0</v>
      </c>
      <c r="P244" s="187"/>
      <c r="Q244" s="188"/>
      <c r="R244" s="188"/>
      <c r="T244" s="189"/>
      <c r="U244" s="189"/>
      <c r="V244" s="190"/>
      <c r="W244" s="191"/>
      <c r="X244" s="191"/>
      <c r="Y244" s="191"/>
      <c r="Z244" s="191"/>
      <c r="AA244" s="191"/>
      <c r="AB244" s="191"/>
      <c r="AC244" s="191"/>
      <c r="AD244" s="191"/>
      <c r="AE244" s="190"/>
      <c r="AF244" s="192"/>
      <c r="AG244" s="143"/>
      <c r="AH244" s="56"/>
      <c r="AI244" s="56"/>
      <c r="AJ244" s="56"/>
    </row>
    <row r="245" spans="1:36" ht="31.95" customHeight="1" x14ac:dyDescent="0.3">
      <c r="A245" s="12"/>
      <c r="B245" s="205"/>
      <c r="C245" s="49"/>
      <c r="D245" s="49">
        <f>IF(G245=Categories!$E$4,VLOOKUP(F245,Categories!$A$4:$C$13,3,1),VLOOKUP(G245,Categories!$E$4:$G$24,3,1))</f>
        <v>120</v>
      </c>
      <c r="E245" s="44">
        <v>21</v>
      </c>
      <c r="F245" s="50" t="s">
        <v>45</v>
      </c>
      <c r="G245" s="45" t="s">
        <v>0</v>
      </c>
      <c r="H245" s="52"/>
      <c r="I245" s="131">
        <v>3100</v>
      </c>
      <c r="J245" s="53">
        <v>2</v>
      </c>
      <c r="K245" s="54">
        <f>IFERROR(VLOOKUP(VLOOKUP(M245,M245,1,1),Categories!$K$4:$V$18,2+VLOOKUP(J245,J245,1,1)),"-"  )</f>
        <v>4.3099999999999996</v>
      </c>
      <c r="L245" s="54" t="str">
        <f>IFERROR(VLOOKUP(VLOOKUP(M245,M245,1,1),Categories!$K$3:$V$18,7+VLOOKUP(J245,J245,1,1)),"-")</f>
        <v>8 ATM</v>
      </c>
      <c r="M245" s="55" t="s">
        <v>118</v>
      </c>
      <c r="N245" s="195" t="s">
        <v>0</v>
      </c>
      <c r="O245" s="204" t="s">
        <v>0</v>
      </c>
      <c r="P245" s="151"/>
      <c r="Q245" s="144"/>
      <c r="R245" s="144"/>
      <c r="T245" s="147"/>
      <c r="U245" s="147"/>
      <c r="V245" s="148"/>
      <c r="W245" s="149"/>
      <c r="X245" s="149"/>
      <c r="Y245" s="149"/>
      <c r="Z245" s="149"/>
      <c r="AA245" s="149"/>
      <c r="AB245" s="149"/>
      <c r="AC245" s="149"/>
      <c r="AD245" s="149"/>
      <c r="AE245" s="148"/>
      <c r="AF245" s="150"/>
      <c r="AG245" s="143"/>
      <c r="AH245" s="48"/>
      <c r="AI245" s="56"/>
      <c r="AJ245" s="56"/>
    </row>
    <row r="246" spans="1:36" ht="31.95" customHeight="1" x14ac:dyDescent="0.3">
      <c r="A246" s="12"/>
      <c r="B246" s="205"/>
      <c r="C246" s="49"/>
      <c r="D246" s="49">
        <f>IF(G246=Categories!$E$4,VLOOKUP(F246,Categories!$A$4:$C$13,3,1),VLOOKUP(G246,Categories!$E$4:$G$24,3,1))</f>
        <v>60</v>
      </c>
      <c r="E246" s="44">
        <v>21</v>
      </c>
      <c r="F246" s="50" t="s">
        <v>257</v>
      </c>
      <c r="G246" s="51" t="s">
        <v>263</v>
      </c>
      <c r="H246" s="52"/>
      <c r="I246" s="131">
        <v>3100</v>
      </c>
      <c r="J246" s="53">
        <v>3</v>
      </c>
      <c r="K246" s="54">
        <f>IFERROR(VLOOKUP(VLOOKUP(M246,M246,1,1),Categories!$K$4:$V$18,2+VLOOKUP(J246,J246,1,1)),"-"  )</f>
        <v>4.67</v>
      </c>
      <c r="L246" s="54" t="str">
        <f>IFERROR(VLOOKUP(VLOOKUP(M246,M246,1,1),Categories!$K$3:$V$18,7+VLOOKUP(J246,J246,1,1)),"-")</f>
        <v>18 ATM</v>
      </c>
      <c r="M246" s="55" t="s">
        <v>118</v>
      </c>
      <c r="N246" s="195" t="s">
        <v>0</v>
      </c>
      <c r="O246" s="204" t="s">
        <v>0</v>
      </c>
      <c r="P246" s="151"/>
      <c r="Q246" s="144"/>
      <c r="R246" s="144"/>
      <c r="T246" s="147"/>
      <c r="U246" s="147"/>
      <c r="V246" s="148"/>
      <c r="W246" s="149"/>
      <c r="X246" s="149"/>
      <c r="Y246" s="149"/>
      <c r="Z246" s="149"/>
      <c r="AA246" s="149"/>
      <c r="AB246" s="149"/>
      <c r="AC246" s="149"/>
      <c r="AD246" s="149"/>
      <c r="AE246" s="148"/>
      <c r="AF246" s="150"/>
      <c r="AG246" s="143"/>
      <c r="AH246" s="48"/>
      <c r="AI246" s="56"/>
      <c r="AJ246" s="56"/>
    </row>
    <row r="247" spans="1:36" ht="31.95" customHeight="1" x14ac:dyDescent="0.3">
      <c r="A247" s="12"/>
      <c r="B247" s="205"/>
      <c r="C247" s="49"/>
      <c r="D247" s="49">
        <f>IF(G247=Categories!$E$4,VLOOKUP(F247,Categories!$A$4:$C$13,3,1),VLOOKUP(G247,Categories!$E$4:$G$24,3,1))</f>
        <v>120</v>
      </c>
      <c r="E247" s="44">
        <v>21</v>
      </c>
      <c r="F247" s="50" t="s">
        <v>45</v>
      </c>
      <c r="G247" s="45" t="s">
        <v>0</v>
      </c>
      <c r="H247" s="52"/>
      <c r="I247" s="131">
        <v>3100</v>
      </c>
      <c r="J247" s="53">
        <v>3</v>
      </c>
      <c r="K247" s="54">
        <f>IFERROR(VLOOKUP(VLOOKUP(M247,M247,1,1),Categories!$K$4:$V$18,2+VLOOKUP(J247,J247,1,1)),"-"  )</f>
        <v>4.67</v>
      </c>
      <c r="L247" s="54" t="str">
        <f>IFERROR(VLOOKUP(VLOOKUP(M247,M247,1,1),Categories!$K$3:$V$18,7+VLOOKUP(J247,J247,1,1)),"-")</f>
        <v>18 ATM</v>
      </c>
      <c r="M247" s="55" t="s">
        <v>118</v>
      </c>
      <c r="N247" s="195" t="s">
        <v>0</v>
      </c>
      <c r="O247" s="204" t="s">
        <v>0</v>
      </c>
      <c r="P247" s="151"/>
      <c r="Q247" s="144"/>
      <c r="R247" s="144"/>
      <c r="T247" s="147"/>
      <c r="U247" s="147"/>
      <c r="V247" s="148"/>
      <c r="W247" s="149"/>
      <c r="X247" s="149"/>
      <c r="Y247" s="149"/>
      <c r="Z247" s="149"/>
      <c r="AA247" s="149"/>
      <c r="AB247" s="149"/>
      <c r="AC247" s="149"/>
      <c r="AD247" s="149"/>
      <c r="AE247" s="148"/>
      <c r="AF247" s="150"/>
      <c r="AG247" s="143"/>
      <c r="AH247" s="48"/>
      <c r="AI247" s="56"/>
      <c r="AJ247" s="56"/>
    </row>
    <row r="248" spans="1:36" ht="31.95" customHeight="1" x14ac:dyDescent="0.3">
      <c r="A248" s="12"/>
      <c r="B248" s="205"/>
      <c r="C248" s="49"/>
      <c r="D248" s="49">
        <f>IF(G248=Categories!$E$4,VLOOKUP(F248,Categories!$A$4:$C$13,3,1),VLOOKUP(G248,Categories!$E$4:$G$24,3,1))</f>
        <v>60</v>
      </c>
      <c r="E248" s="44">
        <v>21</v>
      </c>
      <c r="F248" s="50" t="s">
        <v>257</v>
      </c>
      <c r="G248" s="51" t="s">
        <v>264</v>
      </c>
      <c r="H248" s="52"/>
      <c r="I248" s="131">
        <v>3100</v>
      </c>
      <c r="J248" s="53">
        <v>1</v>
      </c>
      <c r="K248" s="54">
        <f>IFERROR(VLOOKUP(VLOOKUP(M248,M248,1,1),Categories!$K$4:$V$18,2+VLOOKUP(J248,J248,1,1)),"-"  )</f>
        <v>0.9</v>
      </c>
      <c r="L248" s="54" t="str">
        <f>IFERROR(VLOOKUP(VLOOKUP(M248,M248,1,1),Categories!$K$3:$V$18,7+VLOOKUP(J248,J248,1,1)),"-")</f>
        <v>0 ATM</v>
      </c>
      <c r="M248" s="55" t="s">
        <v>118</v>
      </c>
      <c r="N248" s="195" t="s">
        <v>0</v>
      </c>
      <c r="O248" s="204" t="s">
        <v>0</v>
      </c>
      <c r="P248" s="151"/>
      <c r="Q248" s="144"/>
      <c r="R248" s="144"/>
      <c r="T248" s="147"/>
      <c r="U248" s="147"/>
      <c r="V248" s="148"/>
      <c r="W248" s="149"/>
      <c r="X248" s="149"/>
      <c r="Y248" s="149"/>
      <c r="Z248" s="149"/>
      <c r="AA248" s="149"/>
      <c r="AB248" s="149"/>
      <c r="AC248" s="149"/>
      <c r="AD248" s="149"/>
      <c r="AE248" s="148"/>
      <c r="AF248" s="150"/>
      <c r="AG248" s="143"/>
      <c r="AH248" s="48"/>
      <c r="AI248" s="56"/>
      <c r="AJ248" s="56"/>
    </row>
    <row r="249" spans="1:36" ht="31.95" customHeight="1" x14ac:dyDescent="0.3">
      <c r="A249" s="12"/>
      <c r="B249" s="205"/>
      <c r="C249" s="49"/>
      <c r="D249" s="49">
        <f>IF(G249=Categories!$E$4,VLOOKUP(F249,Categories!$A$4:$C$13,3,1),VLOOKUP(G249,Categories!$E$4:$G$24,3,1))</f>
        <v>120</v>
      </c>
      <c r="E249" s="44">
        <v>21</v>
      </c>
      <c r="F249" s="50" t="s">
        <v>261</v>
      </c>
      <c r="G249" s="45" t="s">
        <v>0</v>
      </c>
      <c r="H249" s="52"/>
      <c r="I249" s="131">
        <v>3100</v>
      </c>
      <c r="J249" s="53">
        <v>1</v>
      </c>
      <c r="K249" s="54">
        <f>IFERROR(VLOOKUP(VLOOKUP(M249,M249,1,1),Categories!$K$4:$V$18,2+VLOOKUP(J249,J249,1,1)),"-"  )</f>
        <v>0.9</v>
      </c>
      <c r="L249" s="54" t="str">
        <f>IFERROR(VLOOKUP(VLOOKUP(M249,M249,1,1),Categories!$K$3:$V$18,7+VLOOKUP(J249,J249,1,1)),"-")</f>
        <v>0 ATM</v>
      </c>
      <c r="M249" s="55" t="s">
        <v>118</v>
      </c>
      <c r="N249" s="195" t="s">
        <v>0</v>
      </c>
      <c r="O249" s="204" t="s">
        <v>0</v>
      </c>
      <c r="P249" s="151"/>
      <c r="Q249" s="144"/>
      <c r="R249" s="144"/>
      <c r="T249" s="147"/>
      <c r="U249" s="147"/>
      <c r="V249" s="148"/>
      <c r="W249" s="149"/>
      <c r="X249" s="149"/>
      <c r="Y249" s="149"/>
      <c r="Z249" s="149"/>
      <c r="AA249" s="149"/>
      <c r="AB249" s="149"/>
      <c r="AC249" s="149"/>
      <c r="AD249" s="149"/>
      <c r="AE249" s="148"/>
      <c r="AF249" s="150"/>
      <c r="AG249" s="143"/>
      <c r="AH249" s="48"/>
      <c r="AI249" s="56"/>
      <c r="AJ249" s="56"/>
    </row>
    <row r="250" spans="1:36" ht="31.95" customHeight="1" x14ac:dyDescent="0.3">
      <c r="A250" s="185"/>
      <c r="B250" s="206"/>
      <c r="C250" s="49"/>
      <c r="D250" s="49" t="str">
        <f>IF(G250=Categories!$E$4,VLOOKUP(F250,Categories!$A$4:$C$13,3,1),VLOOKUP(G250,Categories!$E$4:$G$24,3,1))</f>
        <v>-</v>
      </c>
      <c r="E250" s="44" t="s">
        <v>0</v>
      </c>
      <c r="F250" s="50" t="s">
        <v>3</v>
      </c>
      <c r="G250" s="51" t="s">
        <v>63</v>
      </c>
      <c r="H250" s="52"/>
      <c r="I250" s="131">
        <v>3100</v>
      </c>
      <c r="J250" s="53" t="s">
        <v>0</v>
      </c>
      <c r="K250" s="54" t="str">
        <f>IFERROR(VLOOKUP(VLOOKUP(M250,M250,1,1),Categories!$K$4:$V$18,2+VLOOKUP(J250,J250,1,1)),"-"  )</f>
        <v>-</v>
      </c>
      <c r="L250" s="54" t="str">
        <f>IFERROR(VLOOKUP(VLOOKUP(M250,M250,1,1),Categories!$K$3:$V$18,7+VLOOKUP(J250,J250,1,1)),"-")</f>
        <v>-</v>
      </c>
      <c r="M250" s="55" t="s">
        <v>0</v>
      </c>
      <c r="N250" s="195" t="s">
        <v>0</v>
      </c>
      <c r="O250" s="204" t="s">
        <v>0</v>
      </c>
      <c r="P250" s="187"/>
      <c r="Q250" s="188"/>
      <c r="R250" s="188"/>
      <c r="T250" s="189"/>
      <c r="U250" s="189"/>
      <c r="V250" s="190"/>
      <c r="W250" s="191"/>
      <c r="X250" s="191"/>
      <c r="Y250" s="191"/>
      <c r="Z250" s="191"/>
      <c r="AA250" s="191"/>
      <c r="AB250" s="191"/>
      <c r="AC250" s="191"/>
      <c r="AD250" s="191"/>
      <c r="AE250" s="190"/>
      <c r="AF250" s="192"/>
      <c r="AG250" s="143" t="s">
        <v>267</v>
      </c>
      <c r="AH250" s="56" t="s">
        <v>268</v>
      </c>
      <c r="AI250" s="56"/>
      <c r="AJ250" s="56"/>
    </row>
    <row r="251" spans="1:36" ht="31.95" customHeight="1" x14ac:dyDescent="0.3">
      <c r="A251" s="185"/>
      <c r="B251" s="186"/>
      <c r="C251" s="49"/>
      <c r="D251" s="49">
        <f>IF(G251=Categories!$E$4,VLOOKUP(F251,Categories!$A$4:$C$13,3,1),VLOOKUP(G251,Categories!$E$4:$G$24,3,1))</f>
        <v>120</v>
      </c>
      <c r="E251" s="44">
        <v>22</v>
      </c>
      <c r="F251" s="50" t="s">
        <v>259</v>
      </c>
      <c r="G251" s="51" t="s">
        <v>0</v>
      </c>
      <c r="H251" s="52"/>
      <c r="I251" s="131">
        <v>3100</v>
      </c>
      <c r="J251" s="53" t="s">
        <v>0</v>
      </c>
      <c r="K251" s="54" t="str">
        <f>IFERROR(VLOOKUP(VLOOKUP(M251,M251,1,1),Categories!$K$4:$V$18,2+VLOOKUP(J251,J251,1,1)),"-"  )</f>
        <v>-</v>
      </c>
      <c r="L251" s="54" t="str">
        <f>IFERROR(VLOOKUP(VLOOKUP(M251,M251,1,1),Categories!$K$3:$V$18,7+VLOOKUP(J251,J251,1,1)),"-")</f>
        <v>-</v>
      </c>
      <c r="M251" s="55" t="s">
        <v>0</v>
      </c>
      <c r="N251" s="195" t="s">
        <v>0</v>
      </c>
      <c r="O251" s="204" t="s">
        <v>0</v>
      </c>
      <c r="P251" s="187"/>
      <c r="Q251" s="188"/>
      <c r="R251" s="188"/>
      <c r="T251" s="189"/>
      <c r="U251" s="189"/>
      <c r="V251" s="190"/>
      <c r="W251" s="191"/>
      <c r="X251" s="191"/>
      <c r="Y251" s="191"/>
      <c r="Z251" s="191"/>
      <c r="AA251" s="191"/>
      <c r="AB251" s="191"/>
      <c r="AC251" s="191"/>
      <c r="AD251" s="191"/>
      <c r="AE251" s="190"/>
      <c r="AF251" s="192"/>
      <c r="AG251" s="143"/>
      <c r="AH251" s="56"/>
      <c r="AI251" s="56"/>
      <c r="AJ251" s="56" t="s">
        <v>265</v>
      </c>
    </row>
    <row r="252" spans="1:36" ht="31.95" customHeight="1" x14ac:dyDescent="0.3">
      <c r="A252" s="185"/>
      <c r="B252" s="186"/>
      <c r="C252" s="49"/>
      <c r="D252" s="49">
        <f>IF(G252=Categories!$E$4,VLOOKUP(F252,Categories!$A$4:$C$13,3,1),VLOOKUP(G252,Categories!$E$4:$G$24,3,1))</f>
        <v>30</v>
      </c>
      <c r="E252" s="44">
        <v>22</v>
      </c>
      <c r="F252" s="50" t="s">
        <v>257</v>
      </c>
      <c r="G252" s="51" t="s">
        <v>2</v>
      </c>
      <c r="H252" s="52"/>
      <c r="I252" s="131">
        <v>2800</v>
      </c>
      <c r="J252" s="53" t="s">
        <v>0</v>
      </c>
      <c r="K252" s="54" t="str">
        <f>IFERROR(VLOOKUP(VLOOKUP(M252,M252,1,1),Categories!$K$4:$V$18,2+VLOOKUP(J252,J252,1,1)),"-"  )</f>
        <v>-</v>
      </c>
      <c r="L252" s="54" t="str">
        <f>IFERROR(VLOOKUP(VLOOKUP(M252,M252,1,1),Categories!$K$3:$V$18,7+VLOOKUP(J252,J252,1,1)),"-")</f>
        <v>-</v>
      </c>
      <c r="M252" s="55" t="s">
        <v>0</v>
      </c>
      <c r="N252" s="195" t="s">
        <v>0</v>
      </c>
      <c r="O252" s="204" t="s">
        <v>0</v>
      </c>
      <c r="P252" s="187"/>
      <c r="Q252" s="188"/>
      <c r="R252" s="188"/>
      <c r="T252" s="189"/>
      <c r="U252" s="189"/>
      <c r="V252" s="190"/>
      <c r="W252" s="191"/>
      <c r="X252" s="191"/>
      <c r="Y252" s="191"/>
      <c r="Z252" s="191"/>
      <c r="AA252" s="191"/>
      <c r="AB252" s="191"/>
      <c r="AC252" s="191"/>
      <c r="AD252" s="191"/>
      <c r="AE252" s="190"/>
      <c r="AF252" s="192"/>
      <c r="AG252" s="143"/>
      <c r="AH252" s="56"/>
      <c r="AI252" s="56"/>
      <c r="AJ252" s="56" t="s">
        <v>265</v>
      </c>
    </row>
    <row r="253" spans="1:36" ht="31.95" customHeight="1" x14ac:dyDescent="0.3">
      <c r="A253" s="185"/>
      <c r="B253" s="186"/>
      <c r="C253" s="49"/>
      <c r="D253" s="49">
        <f>IF(G253=Categories!$E$4,VLOOKUP(F253,Categories!$A$4:$C$13,3,1),VLOOKUP(G253,Categories!$E$4:$G$24,3,1))</f>
        <v>120</v>
      </c>
      <c r="E253" s="44">
        <v>22</v>
      </c>
      <c r="F253" s="50" t="s">
        <v>259</v>
      </c>
      <c r="G253" s="51" t="s">
        <v>0</v>
      </c>
      <c r="H253" s="52"/>
      <c r="I253" s="131">
        <v>2800</v>
      </c>
      <c r="J253" s="53" t="s">
        <v>0</v>
      </c>
      <c r="K253" s="54" t="str">
        <f>IFERROR(VLOOKUP(VLOOKUP(M253,M253,1,1),Categories!$K$4:$V$18,2+VLOOKUP(J253,J253,1,1)),"-"  )</f>
        <v>-</v>
      </c>
      <c r="L253" s="54" t="str">
        <f>IFERROR(VLOOKUP(VLOOKUP(M253,M253,1,1),Categories!$K$3:$V$18,7+VLOOKUP(J253,J253,1,1)),"-")</f>
        <v>-</v>
      </c>
      <c r="M253" s="55" t="s">
        <v>0</v>
      </c>
      <c r="N253" s="195" t="s">
        <v>0</v>
      </c>
      <c r="O253" s="204" t="s">
        <v>0</v>
      </c>
      <c r="P253" s="187"/>
      <c r="Q253" s="188"/>
      <c r="R253" s="188"/>
      <c r="T253" s="189"/>
      <c r="U253" s="189"/>
      <c r="V253" s="190"/>
      <c r="W253" s="191"/>
      <c r="X253" s="191"/>
      <c r="Y253" s="191"/>
      <c r="Z253" s="191"/>
      <c r="AA253" s="191"/>
      <c r="AB253" s="191"/>
      <c r="AC253" s="191"/>
      <c r="AD253" s="191"/>
      <c r="AE253" s="190"/>
      <c r="AF253" s="192"/>
      <c r="AG253" s="143"/>
      <c r="AH253" s="56"/>
      <c r="AI253" s="56"/>
      <c r="AJ253" s="56" t="s">
        <v>265</v>
      </c>
    </row>
    <row r="254" spans="1:36" ht="31.95" customHeight="1" x14ac:dyDescent="0.3">
      <c r="A254" s="185"/>
      <c r="B254" s="186"/>
      <c r="C254" s="49"/>
      <c r="D254" s="49">
        <f>IF(G254=Categories!$E$4,VLOOKUP(F254,Categories!$A$4:$C$13,3,1),VLOOKUP(G254,Categories!$E$4:$G$24,3,1))</f>
        <v>30</v>
      </c>
      <c r="E254" s="44">
        <v>22</v>
      </c>
      <c r="F254" s="50" t="s">
        <v>257</v>
      </c>
      <c r="G254" s="51" t="s">
        <v>2</v>
      </c>
      <c r="H254" s="52"/>
      <c r="I254" s="131">
        <v>2500</v>
      </c>
      <c r="J254" s="53" t="s">
        <v>0</v>
      </c>
      <c r="K254" s="54" t="str">
        <f>IFERROR(VLOOKUP(VLOOKUP(M254,M254,1,1),Categories!$K$4:$V$18,2+VLOOKUP(J254,J254,1,1)),"-"  )</f>
        <v>-</v>
      </c>
      <c r="L254" s="54" t="str">
        <f>IFERROR(VLOOKUP(VLOOKUP(M254,M254,1,1),Categories!$K$3:$V$18,7+VLOOKUP(J254,J254,1,1)),"-")</f>
        <v>-</v>
      </c>
      <c r="M254" s="55" t="s">
        <v>0</v>
      </c>
      <c r="N254" s="195" t="s">
        <v>0</v>
      </c>
      <c r="O254" s="204" t="s">
        <v>0</v>
      </c>
      <c r="P254" s="187"/>
      <c r="Q254" s="188"/>
      <c r="R254" s="188"/>
      <c r="T254" s="189"/>
      <c r="U254" s="189"/>
      <c r="V254" s="190"/>
      <c r="W254" s="191"/>
      <c r="X254" s="191"/>
      <c r="Y254" s="191"/>
      <c r="Z254" s="191"/>
      <c r="AA254" s="191"/>
      <c r="AB254" s="191"/>
      <c r="AC254" s="191"/>
      <c r="AD254" s="191"/>
      <c r="AE254" s="190"/>
      <c r="AF254" s="192"/>
      <c r="AG254" s="143"/>
      <c r="AH254" s="56"/>
      <c r="AI254" s="56"/>
      <c r="AJ254" s="56" t="s">
        <v>265</v>
      </c>
    </row>
    <row r="255" spans="1:36" ht="31.95" customHeight="1" x14ac:dyDescent="0.3">
      <c r="A255" s="185"/>
      <c r="B255" s="186"/>
      <c r="C255" s="49"/>
      <c r="D255" s="49">
        <f>IF(G255=Categories!$E$4,VLOOKUP(F255,Categories!$A$4:$C$13,3,1),VLOOKUP(G255,Categories!$E$4:$G$24,3,1))</f>
        <v>120</v>
      </c>
      <c r="E255" s="44">
        <v>22</v>
      </c>
      <c r="F255" s="50" t="s">
        <v>259</v>
      </c>
      <c r="G255" s="51" t="s">
        <v>0</v>
      </c>
      <c r="H255" s="52"/>
      <c r="I255" s="131">
        <v>2500</v>
      </c>
      <c r="J255" s="53" t="s">
        <v>0</v>
      </c>
      <c r="K255" s="54" t="str">
        <f>IFERROR(VLOOKUP(VLOOKUP(M255,M255,1,1),Categories!$K$4:$V$18,2+VLOOKUP(J255,J255,1,1)),"-"  )</f>
        <v>-</v>
      </c>
      <c r="L255" s="54" t="str">
        <f>IFERROR(VLOOKUP(VLOOKUP(M255,M255,1,1),Categories!$K$3:$V$18,7+VLOOKUP(J255,J255,1,1)),"-")</f>
        <v>-</v>
      </c>
      <c r="M255" s="55" t="s">
        <v>0</v>
      </c>
      <c r="N255" s="195" t="s">
        <v>0</v>
      </c>
      <c r="O255" s="204" t="s">
        <v>0</v>
      </c>
      <c r="P255" s="187"/>
      <c r="Q255" s="188"/>
      <c r="R255" s="188"/>
      <c r="T255" s="189"/>
      <c r="U255" s="189"/>
      <c r="V255" s="190"/>
      <c r="W255" s="191"/>
      <c r="X255" s="191"/>
      <c r="Y255" s="191"/>
      <c r="Z255" s="191"/>
      <c r="AA255" s="191"/>
      <c r="AB255" s="191"/>
      <c r="AC255" s="191"/>
      <c r="AD255" s="191"/>
      <c r="AE255" s="190"/>
      <c r="AF255" s="192"/>
      <c r="AG255" s="143"/>
      <c r="AH255" s="56"/>
      <c r="AI255" s="56"/>
      <c r="AJ255" s="56" t="s">
        <v>265</v>
      </c>
    </row>
    <row r="256" spans="1:36" ht="31.95" customHeight="1" x14ac:dyDescent="0.3">
      <c r="A256" s="185"/>
      <c r="B256" s="186"/>
      <c r="C256" s="49"/>
      <c r="D256" s="49">
        <f>IF(G256=Categories!$E$4,VLOOKUP(F256,Categories!$A$4:$C$13,3,1),VLOOKUP(G256,Categories!$E$4:$G$24,3,1))</f>
        <v>30</v>
      </c>
      <c r="E256" s="44">
        <v>22</v>
      </c>
      <c r="F256" s="50" t="s">
        <v>257</v>
      </c>
      <c r="G256" s="51" t="s">
        <v>2</v>
      </c>
      <c r="H256" s="52"/>
      <c r="I256" s="131">
        <v>2200</v>
      </c>
      <c r="J256" s="53" t="s">
        <v>0</v>
      </c>
      <c r="K256" s="54" t="str">
        <f>IFERROR(VLOOKUP(VLOOKUP(M256,M256,1,1),Categories!$K$4:$V$18,2+VLOOKUP(J256,J256,1,1)),"-"  )</f>
        <v>-</v>
      </c>
      <c r="L256" s="54" t="str">
        <f>IFERROR(VLOOKUP(VLOOKUP(M256,M256,1,1),Categories!$K$3:$V$18,7+VLOOKUP(J256,J256,1,1)),"-")</f>
        <v>-</v>
      </c>
      <c r="M256" s="55" t="s">
        <v>0</v>
      </c>
      <c r="N256" s="195" t="s">
        <v>0</v>
      </c>
      <c r="O256" s="204" t="s">
        <v>0</v>
      </c>
      <c r="P256" s="187"/>
      <c r="Q256" s="188"/>
      <c r="R256" s="188"/>
      <c r="T256" s="189"/>
      <c r="U256" s="189"/>
      <c r="V256" s="190"/>
      <c r="W256" s="191"/>
      <c r="X256" s="191"/>
      <c r="Y256" s="191"/>
      <c r="Z256" s="191"/>
      <c r="AA256" s="191"/>
      <c r="AB256" s="191"/>
      <c r="AC256" s="191"/>
      <c r="AD256" s="191"/>
      <c r="AE256" s="190"/>
      <c r="AF256" s="192"/>
      <c r="AG256" s="143"/>
      <c r="AH256" s="56"/>
      <c r="AI256" s="56"/>
      <c r="AJ256" s="56" t="s">
        <v>265</v>
      </c>
    </row>
    <row r="257" spans="1:36" ht="31.95" customHeight="1" x14ac:dyDescent="0.3">
      <c r="A257" s="185"/>
      <c r="B257" s="186"/>
      <c r="C257" s="49"/>
      <c r="D257" s="49">
        <f>IF(G257=Categories!$E$4,VLOOKUP(F257,Categories!$A$4:$C$13,3,1),VLOOKUP(G257,Categories!$E$4:$G$24,3,1))</f>
        <v>120</v>
      </c>
      <c r="E257" s="44">
        <v>22</v>
      </c>
      <c r="F257" s="50" t="s">
        <v>259</v>
      </c>
      <c r="G257" s="51" t="s">
        <v>0</v>
      </c>
      <c r="H257" s="52"/>
      <c r="I257" s="131">
        <v>2200</v>
      </c>
      <c r="J257" s="53" t="s">
        <v>0</v>
      </c>
      <c r="K257" s="54" t="str">
        <f>IFERROR(VLOOKUP(VLOOKUP(M257,M257,1,1),Categories!$K$4:$V$18,2+VLOOKUP(J257,J257,1,1)),"-"  )</f>
        <v>-</v>
      </c>
      <c r="L257" s="54" t="str">
        <f>IFERROR(VLOOKUP(VLOOKUP(M257,M257,1,1),Categories!$K$3:$V$18,7+VLOOKUP(J257,J257,1,1)),"-")</f>
        <v>-</v>
      </c>
      <c r="M257" s="55" t="s">
        <v>0</v>
      </c>
      <c r="N257" s="195" t="s">
        <v>0</v>
      </c>
      <c r="O257" s="204" t="s">
        <v>0</v>
      </c>
      <c r="P257" s="187"/>
      <c r="Q257" s="188"/>
      <c r="R257" s="188"/>
      <c r="T257" s="189"/>
      <c r="U257" s="189"/>
      <c r="V257" s="190"/>
      <c r="W257" s="191"/>
      <c r="X257" s="191"/>
      <c r="Y257" s="191"/>
      <c r="Z257" s="191"/>
      <c r="AA257" s="191"/>
      <c r="AB257" s="191"/>
      <c r="AC257" s="191"/>
      <c r="AD257" s="191"/>
      <c r="AE257" s="190"/>
      <c r="AF257" s="192"/>
      <c r="AG257" s="143"/>
      <c r="AH257" s="56"/>
      <c r="AI257" s="56"/>
      <c r="AJ257" s="56" t="s">
        <v>265</v>
      </c>
    </row>
    <row r="258" spans="1:36" ht="31.95" customHeight="1" x14ac:dyDescent="0.3">
      <c r="A258" s="185"/>
      <c r="B258" s="186"/>
      <c r="C258" s="49"/>
      <c r="D258" s="49">
        <f>IF(G258=Categories!$E$4,VLOOKUP(F258,Categories!$A$4:$C$13,3,1),VLOOKUP(G258,Categories!$E$4:$G$24,3,1))</f>
        <v>30</v>
      </c>
      <c r="E258" s="44">
        <v>22</v>
      </c>
      <c r="F258" s="50" t="s">
        <v>257</v>
      </c>
      <c r="G258" s="51" t="s">
        <v>2</v>
      </c>
      <c r="H258" s="52"/>
      <c r="I258" s="131">
        <v>2100</v>
      </c>
      <c r="J258" s="53" t="s">
        <v>0</v>
      </c>
      <c r="K258" s="54" t="str">
        <f>IFERROR(VLOOKUP(VLOOKUP(M258,M258,1,1),Categories!$K$4:$V$18,2+VLOOKUP(J258,J258,1,1)),"-"  )</f>
        <v>-</v>
      </c>
      <c r="L258" s="54" t="str">
        <f>IFERROR(VLOOKUP(VLOOKUP(M258,M258,1,1),Categories!$K$3:$V$18,7+VLOOKUP(J258,J258,1,1)),"-")</f>
        <v>-</v>
      </c>
      <c r="M258" s="55" t="s">
        <v>0</v>
      </c>
      <c r="N258" s="195" t="s">
        <v>0</v>
      </c>
      <c r="O258" s="204" t="s">
        <v>0</v>
      </c>
      <c r="P258" s="187"/>
      <c r="Q258" s="188"/>
      <c r="R258" s="188"/>
      <c r="T258" s="189"/>
      <c r="U258" s="189"/>
      <c r="V258" s="190"/>
      <c r="W258" s="191"/>
      <c r="X258" s="191"/>
      <c r="Y258" s="191"/>
      <c r="Z258" s="191"/>
      <c r="AA258" s="191"/>
      <c r="AB258" s="191"/>
      <c r="AC258" s="191"/>
      <c r="AD258" s="191"/>
      <c r="AE258" s="190"/>
      <c r="AF258" s="192"/>
      <c r="AG258" s="143"/>
      <c r="AH258" s="56"/>
      <c r="AI258" s="56"/>
      <c r="AJ258" s="56" t="s">
        <v>265</v>
      </c>
    </row>
    <row r="259" spans="1:36" ht="31.95" customHeight="1" x14ac:dyDescent="0.3">
      <c r="A259" s="185"/>
      <c r="B259" s="186"/>
      <c r="C259" s="49"/>
      <c r="D259" s="49">
        <f>IF(G259=Categories!$E$4,VLOOKUP(F259,Categories!$A$4:$C$13,3,1),VLOOKUP(G259,Categories!$E$4:$G$24,3,1))</f>
        <v>120</v>
      </c>
      <c r="E259" s="44">
        <v>22</v>
      </c>
      <c r="F259" s="50" t="s">
        <v>1</v>
      </c>
      <c r="G259" s="51" t="s">
        <v>0</v>
      </c>
      <c r="H259" s="52"/>
      <c r="I259" s="131">
        <v>2100</v>
      </c>
      <c r="J259" s="53" t="s">
        <v>0</v>
      </c>
      <c r="K259" s="54" t="str">
        <f>IFERROR(VLOOKUP(VLOOKUP(M259,M259,1,1),Categories!$K$4:$V$18,2+VLOOKUP(J259,J259,1,1)),"-"  )</f>
        <v>-</v>
      </c>
      <c r="L259" s="54" t="str">
        <f>IFERROR(VLOOKUP(VLOOKUP(M259,M259,1,1),Categories!$K$3:$V$18,7+VLOOKUP(J259,J259,1,1)),"-")</f>
        <v>-</v>
      </c>
      <c r="M259" s="55" t="s">
        <v>0</v>
      </c>
      <c r="N259" s="195" t="s">
        <v>0</v>
      </c>
      <c r="O259" s="204" t="s">
        <v>0</v>
      </c>
      <c r="P259" s="187"/>
      <c r="Q259" s="188"/>
      <c r="R259" s="188"/>
      <c r="T259" s="189"/>
      <c r="U259" s="189"/>
      <c r="V259" s="190"/>
      <c r="W259" s="191"/>
      <c r="X259" s="191"/>
      <c r="Y259" s="191"/>
      <c r="Z259" s="191"/>
      <c r="AA259" s="191"/>
      <c r="AB259" s="191"/>
      <c r="AC259" s="191"/>
      <c r="AD259" s="191"/>
      <c r="AE259" s="190"/>
      <c r="AF259" s="192"/>
      <c r="AG259" s="143"/>
      <c r="AH259" s="56"/>
      <c r="AI259" s="56"/>
      <c r="AJ259" s="56" t="s">
        <v>266</v>
      </c>
    </row>
    <row r="260" spans="1:36" ht="31.95" customHeight="1" x14ac:dyDescent="0.3">
      <c r="A260" s="185"/>
      <c r="B260" s="186"/>
      <c r="C260" s="49"/>
      <c r="D260" s="49">
        <f>IF(G260=Categories!$E$4,VLOOKUP(F260,Categories!$A$4:$C$13,3,1),VLOOKUP(G260,Categories!$E$4:$G$24,3,1))</f>
        <v>30</v>
      </c>
      <c r="E260" s="44">
        <v>23</v>
      </c>
      <c r="F260" s="50" t="s">
        <v>257</v>
      </c>
      <c r="G260" s="51" t="s">
        <v>2</v>
      </c>
      <c r="H260" s="52"/>
      <c r="I260" s="131">
        <v>2300</v>
      </c>
      <c r="J260" s="53" t="s">
        <v>0</v>
      </c>
      <c r="K260" s="54" t="str">
        <f>IFERROR(VLOOKUP(VLOOKUP(M260,M260,1,1),Categories!$K$4:$V$18,2+VLOOKUP(J260,J260,1,1)),"-"  )</f>
        <v>-</v>
      </c>
      <c r="L260" s="54" t="str">
        <f>IFERROR(VLOOKUP(VLOOKUP(M260,M260,1,1),Categories!$K$3:$V$18,7+VLOOKUP(J260,J260,1,1)),"-")</f>
        <v>-</v>
      </c>
      <c r="M260" s="55" t="s">
        <v>0</v>
      </c>
      <c r="N260" s="195" t="s">
        <v>0</v>
      </c>
      <c r="O260" s="204" t="s">
        <v>0</v>
      </c>
      <c r="P260" s="187"/>
      <c r="Q260" s="188"/>
      <c r="R260" s="188"/>
      <c r="T260" s="189"/>
      <c r="U260" s="189"/>
      <c r="V260" s="190"/>
      <c r="W260" s="191"/>
      <c r="X260" s="191"/>
      <c r="Y260" s="191"/>
      <c r="Z260" s="191"/>
      <c r="AA260" s="191"/>
      <c r="AB260" s="191"/>
      <c r="AC260" s="191"/>
      <c r="AD260" s="191"/>
      <c r="AE260" s="190"/>
      <c r="AF260" s="192"/>
      <c r="AG260" s="143"/>
      <c r="AH260" s="56"/>
      <c r="AI260" s="56"/>
      <c r="AJ260" s="56" t="s">
        <v>266</v>
      </c>
    </row>
    <row r="261" spans="1:36" ht="31.95" customHeight="1" x14ac:dyDescent="0.3">
      <c r="A261" s="185"/>
      <c r="B261" s="186"/>
      <c r="C261" s="49"/>
      <c r="D261" s="49">
        <f>IF(G261=Categories!$E$4,VLOOKUP(F261,Categories!$A$4:$C$13,3,1),VLOOKUP(G261,Categories!$E$4:$G$24,3,1))</f>
        <v>120</v>
      </c>
      <c r="E261" s="44">
        <v>23</v>
      </c>
      <c r="F261" s="50" t="s">
        <v>259</v>
      </c>
      <c r="G261" s="51" t="s">
        <v>0</v>
      </c>
      <c r="H261" s="52"/>
      <c r="I261" s="131">
        <v>2300</v>
      </c>
      <c r="J261" s="53" t="s">
        <v>0</v>
      </c>
      <c r="K261" s="54" t="str">
        <f>IFERROR(VLOOKUP(VLOOKUP(M261,M261,1,1),Categories!$K$4:$V$18,2+VLOOKUP(J261,J261,1,1)),"-"  )</f>
        <v>-</v>
      </c>
      <c r="L261" s="54" t="str">
        <f>IFERROR(VLOOKUP(VLOOKUP(M261,M261,1,1),Categories!$K$3:$V$18,7+VLOOKUP(J261,J261,1,1)),"-")</f>
        <v>-</v>
      </c>
      <c r="M261" s="55" t="s">
        <v>0</v>
      </c>
      <c r="N261" s="195" t="s">
        <v>0</v>
      </c>
      <c r="O261" s="204" t="s">
        <v>0</v>
      </c>
      <c r="P261" s="187"/>
      <c r="Q261" s="188"/>
      <c r="R261" s="188"/>
      <c r="T261" s="189"/>
      <c r="U261" s="189"/>
      <c r="V261" s="190"/>
      <c r="W261" s="191"/>
      <c r="X261" s="191"/>
      <c r="Y261" s="191"/>
      <c r="Z261" s="191"/>
      <c r="AA261" s="191"/>
      <c r="AB261" s="191"/>
      <c r="AC261" s="191"/>
      <c r="AD261" s="191"/>
      <c r="AE261" s="190"/>
      <c r="AF261" s="192"/>
      <c r="AG261" s="143"/>
      <c r="AH261" s="56"/>
      <c r="AI261" s="56"/>
      <c r="AJ261" s="56" t="s">
        <v>266</v>
      </c>
    </row>
    <row r="262" spans="1:36" ht="31.95" customHeight="1" x14ac:dyDescent="0.3">
      <c r="A262" s="185"/>
      <c r="B262" s="186"/>
      <c r="C262" s="49"/>
      <c r="D262" s="49">
        <f>IF(G262=Categories!$E$4,VLOOKUP(F262,Categories!$A$4:$C$13,3,1),VLOOKUP(G262,Categories!$E$4:$G$24,3,1))</f>
        <v>30</v>
      </c>
      <c r="E262" s="44">
        <v>23</v>
      </c>
      <c r="F262" s="50" t="s">
        <v>257</v>
      </c>
      <c r="G262" s="51" t="s">
        <v>2</v>
      </c>
      <c r="H262" s="52"/>
      <c r="I262" s="131">
        <v>2400</v>
      </c>
      <c r="J262" s="53" t="s">
        <v>0</v>
      </c>
      <c r="K262" s="54" t="str">
        <f>IFERROR(VLOOKUP(VLOOKUP(M262,M262,1,1),Categories!$K$4:$V$18,2+VLOOKUP(J262,J262,1,1)),"-"  )</f>
        <v>-</v>
      </c>
      <c r="L262" s="54" t="str">
        <f>IFERROR(VLOOKUP(VLOOKUP(M262,M262,1,1),Categories!$K$3:$V$18,7+VLOOKUP(J262,J262,1,1)),"-")</f>
        <v>-</v>
      </c>
      <c r="M262" s="55" t="s">
        <v>0</v>
      </c>
      <c r="N262" s="195" t="s">
        <v>0</v>
      </c>
      <c r="O262" s="204" t="s">
        <v>0</v>
      </c>
      <c r="P262" s="187"/>
      <c r="Q262" s="188"/>
      <c r="R262" s="188"/>
      <c r="T262" s="189"/>
      <c r="U262" s="189"/>
      <c r="V262" s="190"/>
      <c r="W262" s="191"/>
      <c r="X262" s="191"/>
      <c r="Y262" s="191"/>
      <c r="Z262" s="191"/>
      <c r="AA262" s="191"/>
      <c r="AB262" s="191"/>
      <c r="AC262" s="191"/>
      <c r="AD262" s="191"/>
      <c r="AE262" s="190"/>
      <c r="AF262" s="192"/>
      <c r="AG262" s="143"/>
      <c r="AH262" s="56"/>
      <c r="AI262" s="56"/>
      <c r="AJ262" s="56" t="s">
        <v>266</v>
      </c>
    </row>
    <row r="263" spans="1:36" ht="31.95" customHeight="1" x14ac:dyDescent="0.3">
      <c r="A263" s="185"/>
      <c r="B263" s="186"/>
      <c r="C263" s="49"/>
      <c r="D263" s="49">
        <f>IF(G263=Categories!$E$4,VLOOKUP(F263,Categories!$A$4:$C$13,3,1),VLOOKUP(G263,Categories!$E$4:$G$24,3,1))</f>
        <v>120</v>
      </c>
      <c r="E263" s="44">
        <v>23</v>
      </c>
      <c r="F263" s="50" t="s">
        <v>259</v>
      </c>
      <c r="G263" s="51" t="s">
        <v>0</v>
      </c>
      <c r="H263" s="52"/>
      <c r="I263" s="131">
        <v>2400</v>
      </c>
      <c r="J263" s="53" t="s">
        <v>0</v>
      </c>
      <c r="K263" s="54" t="str">
        <f>IFERROR(VLOOKUP(VLOOKUP(M263,M263,1,1),Categories!$K$4:$V$18,2+VLOOKUP(J263,J263,1,1)),"-"  )</f>
        <v>-</v>
      </c>
      <c r="L263" s="54" t="str">
        <f>IFERROR(VLOOKUP(VLOOKUP(M263,M263,1,1),Categories!$K$3:$V$18,7+VLOOKUP(J263,J263,1,1)),"-")</f>
        <v>-</v>
      </c>
      <c r="M263" s="55" t="s">
        <v>0</v>
      </c>
      <c r="N263" s="195" t="s">
        <v>0</v>
      </c>
      <c r="O263" s="204" t="s">
        <v>0</v>
      </c>
      <c r="P263" s="187"/>
      <c r="Q263" s="188"/>
      <c r="R263" s="188"/>
      <c r="T263" s="189"/>
      <c r="U263" s="189"/>
      <c r="V263" s="190"/>
      <c r="W263" s="191"/>
      <c r="X263" s="191"/>
      <c r="Y263" s="191"/>
      <c r="Z263" s="191"/>
      <c r="AA263" s="191"/>
      <c r="AB263" s="191"/>
      <c r="AC263" s="191"/>
      <c r="AD263" s="191"/>
      <c r="AE263" s="190"/>
      <c r="AF263" s="192"/>
      <c r="AG263" s="143"/>
      <c r="AH263" s="56"/>
      <c r="AI263" s="56"/>
      <c r="AJ263" s="56" t="s">
        <v>266</v>
      </c>
    </row>
    <row r="264" spans="1:36" ht="31.95" customHeight="1" x14ac:dyDescent="0.3">
      <c r="A264" s="185"/>
      <c r="B264" s="186"/>
      <c r="C264" s="49"/>
      <c r="D264" s="49">
        <f>IF(G264=Categories!$E$4,VLOOKUP(F264,Categories!$A$4:$C$13,3,1),VLOOKUP(G264,Categories!$E$4:$G$24,3,1))</f>
        <v>30</v>
      </c>
      <c r="E264" s="44">
        <v>23</v>
      </c>
      <c r="F264" s="50" t="s">
        <v>257</v>
      </c>
      <c r="G264" s="51" t="s">
        <v>2</v>
      </c>
      <c r="H264" s="52"/>
      <c r="I264" s="131">
        <v>2600</v>
      </c>
      <c r="J264" s="53" t="s">
        <v>0</v>
      </c>
      <c r="K264" s="54" t="str">
        <f>IFERROR(VLOOKUP(VLOOKUP(M264,M264,1,1),Categories!$K$4:$V$18,2+VLOOKUP(J264,J264,1,1)),"-"  )</f>
        <v>-</v>
      </c>
      <c r="L264" s="54" t="str">
        <f>IFERROR(VLOOKUP(VLOOKUP(M264,M264,1,1),Categories!$K$3:$V$18,7+VLOOKUP(J264,J264,1,1)),"-")</f>
        <v>-</v>
      </c>
      <c r="M264" s="55" t="s">
        <v>0</v>
      </c>
      <c r="N264" s="195" t="s">
        <v>0</v>
      </c>
      <c r="O264" s="204" t="s">
        <v>0</v>
      </c>
      <c r="P264" s="187"/>
      <c r="Q264" s="188"/>
      <c r="R264" s="188"/>
      <c r="T264" s="189"/>
      <c r="U264" s="189"/>
      <c r="V264" s="190"/>
      <c r="W264" s="191"/>
      <c r="X264" s="191"/>
      <c r="Y264" s="191"/>
      <c r="Z264" s="191"/>
      <c r="AA264" s="191"/>
      <c r="AB264" s="191"/>
      <c r="AC264" s="191"/>
      <c r="AD264" s="191"/>
      <c r="AE264" s="190"/>
      <c r="AF264" s="192"/>
      <c r="AG264" s="143"/>
      <c r="AH264" s="56"/>
      <c r="AI264" s="56"/>
      <c r="AJ264" s="56" t="s">
        <v>266</v>
      </c>
    </row>
    <row r="265" spans="1:36" ht="31.95" customHeight="1" x14ac:dyDescent="0.3">
      <c r="A265" s="185"/>
      <c r="B265" s="186"/>
      <c r="C265" s="49"/>
      <c r="D265" s="49">
        <f>IF(G265=Categories!$E$4,VLOOKUP(F265,Categories!$A$4:$C$13,3,1),VLOOKUP(G265,Categories!$E$4:$G$24,3,1))</f>
        <v>120</v>
      </c>
      <c r="E265" s="44">
        <v>23</v>
      </c>
      <c r="F265" s="50" t="s">
        <v>259</v>
      </c>
      <c r="G265" s="51" t="s">
        <v>0</v>
      </c>
      <c r="H265" s="52"/>
      <c r="I265" s="131">
        <v>2600</v>
      </c>
      <c r="J265" s="53" t="s">
        <v>0</v>
      </c>
      <c r="K265" s="54" t="str">
        <f>IFERROR(VLOOKUP(VLOOKUP(M265,M265,1,1),Categories!$K$4:$V$18,2+VLOOKUP(J265,J265,1,1)),"-"  )</f>
        <v>-</v>
      </c>
      <c r="L265" s="54" t="str">
        <f>IFERROR(VLOOKUP(VLOOKUP(M265,M265,1,1),Categories!$K$3:$V$18,7+VLOOKUP(J265,J265,1,1)),"-")</f>
        <v>-</v>
      </c>
      <c r="M265" s="55" t="s">
        <v>0</v>
      </c>
      <c r="N265" s="195" t="s">
        <v>0</v>
      </c>
      <c r="O265" s="204" t="s">
        <v>0</v>
      </c>
      <c r="P265" s="187"/>
      <c r="Q265" s="188"/>
      <c r="R265" s="188"/>
      <c r="T265" s="189"/>
      <c r="U265" s="189"/>
      <c r="V265" s="190"/>
      <c r="W265" s="191"/>
      <c r="X265" s="191"/>
      <c r="Y265" s="191"/>
      <c r="Z265" s="191"/>
      <c r="AA265" s="191"/>
      <c r="AB265" s="191"/>
      <c r="AC265" s="191"/>
      <c r="AD265" s="191"/>
      <c r="AE265" s="190"/>
      <c r="AF265" s="192"/>
      <c r="AG265" s="143"/>
      <c r="AH265" s="56"/>
      <c r="AI265" s="56"/>
      <c r="AJ265" s="56" t="s">
        <v>266</v>
      </c>
    </row>
    <row r="266" spans="1:36" ht="31.95" customHeight="1" x14ac:dyDescent="0.3">
      <c r="A266" s="185"/>
      <c r="B266" s="186"/>
      <c r="C266" s="49"/>
      <c r="D266" s="49">
        <f>IF(G266=Categories!$E$4,VLOOKUP(F266,Categories!$A$4:$C$13,3,1),VLOOKUP(G266,Categories!$E$4:$G$24,3,1))</f>
        <v>30</v>
      </c>
      <c r="E266" s="44">
        <v>23</v>
      </c>
      <c r="F266" s="50" t="s">
        <v>257</v>
      </c>
      <c r="G266" s="51" t="s">
        <v>2</v>
      </c>
      <c r="H266" s="52"/>
      <c r="I266" s="131">
        <v>2700</v>
      </c>
      <c r="J266" s="53" t="s">
        <v>0</v>
      </c>
      <c r="K266" s="54" t="str">
        <f>IFERROR(VLOOKUP(VLOOKUP(M266,M266,1,1),Categories!$K$4:$V$18,2+VLOOKUP(J266,J266,1,1)),"-"  )</f>
        <v>-</v>
      </c>
      <c r="L266" s="54" t="str">
        <f>IFERROR(VLOOKUP(VLOOKUP(M266,M266,1,1),Categories!$K$3:$V$18,7+VLOOKUP(J266,J266,1,1)),"-")</f>
        <v>-</v>
      </c>
      <c r="M266" s="55" t="s">
        <v>0</v>
      </c>
      <c r="N266" s="195" t="s">
        <v>0</v>
      </c>
      <c r="O266" s="204" t="s">
        <v>0</v>
      </c>
      <c r="P266" s="187"/>
      <c r="Q266" s="188"/>
      <c r="R266" s="188"/>
      <c r="T266" s="189"/>
      <c r="U266" s="189"/>
      <c r="V266" s="190"/>
      <c r="W266" s="191"/>
      <c r="X266" s="191"/>
      <c r="Y266" s="191"/>
      <c r="Z266" s="191"/>
      <c r="AA266" s="191"/>
      <c r="AB266" s="191"/>
      <c r="AC266" s="191"/>
      <c r="AD266" s="191"/>
      <c r="AE266" s="190"/>
      <c r="AF266" s="192"/>
      <c r="AG266" s="143"/>
      <c r="AH266" s="56"/>
      <c r="AI266" s="56"/>
      <c r="AJ266" s="56" t="s">
        <v>266</v>
      </c>
    </row>
    <row r="267" spans="1:36" ht="31.95" customHeight="1" x14ac:dyDescent="0.3">
      <c r="A267" s="185"/>
      <c r="B267" s="186"/>
      <c r="C267" s="49"/>
      <c r="D267" s="49">
        <f>IF(G267=Categories!$E$4,VLOOKUP(F267,Categories!$A$4:$C$13,3,1),VLOOKUP(G267,Categories!$E$4:$G$24,3,1))</f>
        <v>120</v>
      </c>
      <c r="E267" s="44">
        <v>23</v>
      </c>
      <c r="F267" s="50" t="s">
        <v>259</v>
      </c>
      <c r="G267" s="51" t="s">
        <v>0</v>
      </c>
      <c r="H267" s="52"/>
      <c r="I267" s="131">
        <v>2700</v>
      </c>
      <c r="J267" s="53" t="s">
        <v>0</v>
      </c>
      <c r="K267" s="54" t="str">
        <f>IFERROR(VLOOKUP(VLOOKUP(M267,M267,1,1),Categories!$K$4:$V$18,2+VLOOKUP(J267,J267,1,1)),"-"  )</f>
        <v>-</v>
      </c>
      <c r="L267" s="54" t="str">
        <f>IFERROR(VLOOKUP(VLOOKUP(M267,M267,1,1),Categories!$K$3:$V$18,7+VLOOKUP(J267,J267,1,1)),"-")</f>
        <v>-</v>
      </c>
      <c r="M267" s="55" t="s">
        <v>0</v>
      </c>
      <c r="N267" s="195" t="s">
        <v>0</v>
      </c>
      <c r="O267" s="204" t="s">
        <v>0</v>
      </c>
      <c r="P267" s="187"/>
      <c r="Q267" s="188"/>
      <c r="R267" s="188"/>
      <c r="T267" s="189"/>
      <c r="U267" s="189"/>
      <c r="V267" s="190"/>
      <c r="W267" s="191"/>
      <c r="X267" s="191"/>
      <c r="Y267" s="191"/>
      <c r="Z267" s="191"/>
      <c r="AA267" s="191"/>
      <c r="AB267" s="191"/>
      <c r="AC267" s="191"/>
      <c r="AD267" s="191"/>
      <c r="AE267" s="190"/>
      <c r="AF267" s="192"/>
      <c r="AG267" s="143"/>
      <c r="AH267" s="56"/>
      <c r="AI267" s="56"/>
      <c r="AJ267" s="56" t="s">
        <v>266</v>
      </c>
    </row>
    <row r="268" spans="1:36" ht="31.95" customHeight="1" x14ac:dyDescent="0.3">
      <c r="A268" s="185"/>
      <c r="B268" s="186"/>
      <c r="C268" s="49"/>
      <c r="D268" s="49">
        <f>IF(G268=Categories!$E$4,VLOOKUP(F268,Categories!$A$4:$C$13,3,1),VLOOKUP(G268,Categories!$E$4:$G$24,3,1))</f>
        <v>30</v>
      </c>
      <c r="E268" s="44">
        <v>23</v>
      </c>
      <c r="F268" s="50" t="s">
        <v>257</v>
      </c>
      <c r="G268" s="51" t="s">
        <v>2</v>
      </c>
      <c r="H268" s="52"/>
      <c r="I268" s="131">
        <v>2900</v>
      </c>
      <c r="J268" s="53" t="s">
        <v>0</v>
      </c>
      <c r="K268" s="54" t="str">
        <f>IFERROR(VLOOKUP(VLOOKUP(M268,M268,1,1),Categories!$K$4:$V$18,2+VLOOKUP(J268,J268,1,1)),"-"  )</f>
        <v>-</v>
      </c>
      <c r="L268" s="54" t="str">
        <f>IFERROR(VLOOKUP(VLOOKUP(M268,M268,1,1),Categories!$K$3:$V$18,7+VLOOKUP(J268,J268,1,1)),"-")</f>
        <v>-</v>
      </c>
      <c r="M268" s="55" t="s">
        <v>0</v>
      </c>
      <c r="N268" s="195" t="s">
        <v>0</v>
      </c>
      <c r="O268" s="204" t="s">
        <v>0</v>
      </c>
      <c r="P268" s="187"/>
      <c r="Q268" s="188"/>
      <c r="R268" s="188"/>
      <c r="T268" s="189"/>
      <c r="U268" s="189"/>
      <c r="V268" s="190"/>
      <c r="W268" s="191"/>
      <c r="X268" s="191"/>
      <c r="Y268" s="191"/>
      <c r="Z268" s="191"/>
      <c r="AA268" s="191"/>
      <c r="AB268" s="191"/>
      <c r="AC268" s="191"/>
      <c r="AD268" s="191"/>
      <c r="AE268" s="190"/>
      <c r="AF268" s="192"/>
      <c r="AG268" s="143"/>
      <c r="AH268" s="56"/>
      <c r="AI268" s="56"/>
      <c r="AJ268" s="56" t="s">
        <v>266</v>
      </c>
    </row>
    <row r="269" spans="1:36" ht="31.95" customHeight="1" x14ac:dyDescent="0.3">
      <c r="A269" s="185"/>
      <c r="B269" s="186"/>
      <c r="C269" s="49"/>
      <c r="D269" s="49">
        <f>IF(G269=Categories!$E$4,VLOOKUP(F269,Categories!$A$4:$C$13,3,1),VLOOKUP(G269,Categories!$E$4:$G$24,3,1))</f>
        <v>120</v>
      </c>
      <c r="E269" s="44">
        <v>23</v>
      </c>
      <c r="F269" s="50" t="s">
        <v>259</v>
      </c>
      <c r="G269" s="51" t="s">
        <v>0</v>
      </c>
      <c r="H269" s="52"/>
      <c r="I269" s="131">
        <v>2900</v>
      </c>
      <c r="J269" s="53" t="s">
        <v>0</v>
      </c>
      <c r="K269" s="54" t="str">
        <f>IFERROR(VLOOKUP(VLOOKUP(M269,M269,1,1),Categories!$K$4:$V$18,2+VLOOKUP(J269,J269,1,1)),"-"  )</f>
        <v>-</v>
      </c>
      <c r="L269" s="54" t="str">
        <f>IFERROR(VLOOKUP(VLOOKUP(M269,M269,1,1),Categories!$K$3:$V$18,7+VLOOKUP(J269,J269,1,1)),"-")</f>
        <v>-</v>
      </c>
      <c r="M269" s="55" t="s">
        <v>0</v>
      </c>
      <c r="N269" s="195" t="s">
        <v>0</v>
      </c>
      <c r="O269" s="204" t="s">
        <v>0</v>
      </c>
      <c r="P269" s="187"/>
      <c r="Q269" s="188"/>
      <c r="R269" s="188"/>
      <c r="T269" s="189"/>
      <c r="U269" s="189"/>
      <c r="V269" s="190"/>
      <c r="W269" s="191"/>
      <c r="X269" s="191"/>
      <c r="Y269" s="191"/>
      <c r="Z269" s="191"/>
      <c r="AA269" s="191"/>
      <c r="AB269" s="191"/>
      <c r="AC269" s="191"/>
      <c r="AD269" s="191"/>
      <c r="AE269" s="190"/>
      <c r="AF269" s="192"/>
      <c r="AG269" s="143"/>
      <c r="AH269" s="56"/>
      <c r="AI269" s="56"/>
      <c r="AJ269" s="56" t="s">
        <v>266</v>
      </c>
    </row>
    <row r="270" spans="1:36" ht="31.95" customHeight="1" x14ac:dyDescent="0.3">
      <c r="A270" s="12"/>
      <c r="B270" s="27"/>
      <c r="C270" s="43"/>
      <c r="D270" s="49" t="str">
        <f>IF(G270=Categories!$E$4,VLOOKUP(F270,Categories!$A$4:$C$13,3,1),VLOOKUP(G270,Categories!$E$4:$G$24,3,1))</f>
        <v>-</v>
      </c>
      <c r="E270" s="44" t="s">
        <v>0</v>
      </c>
      <c r="F270" s="21" t="s">
        <v>46</v>
      </c>
      <c r="G270" s="45" t="s">
        <v>0</v>
      </c>
      <c r="H270" s="46"/>
      <c r="I270" s="131" t="s">
        <v>0</v>
      </c>
      <c r="J270" s="53" t="s">
        <v>0</v>
      </c>
      <c r="K270" s="54" t="str">
        <f>IFERROR(VLOOKUP(VLOOKUP(M270,M270,1,1),Categories!$K$4:$V$18,2+VLOOKUP(J270,J270,1,1)),"-"  )</f>
        <v>-</v>
      </c>
      <c r="L270" s="54" t="str">
        <f>IFERROR(VLOOKUP(VLOOKUP(M270,M270,1,1),Categories!$K$3:$V$18,7+VLOOKUP(J270,J270,1,1)),"-")</f>
        <v>-</v>
      </c>
      <c r="M270" s="55" t="s">
        <v>0</v>
      </c>
      <c r="N270" s="196" t="s">
        <v>0</v>
      </c>
      <c r="O270" s="204" t="s">
        <v>0</v>
      </c>
      <c r="P270" s="151"/>
      <c r="Q270" s="144"/>
      <c r="R270" s="144"/>
      <c r="T270" s="47"/>
      <c r="U270" s="47"/>
      <c r="V270" s="145"/>
      <c r="W270" s="146"/>
      <c r="X270" s="146"/>
      <c r="Y270" s="146"/>
      <c r="Z270" s="146"/>
      <c r="AA270" s="146"/>
      <c r="AB270" s="146"/>
      <c r="AC270" s="146"/>
      <c r="AD270" s="146"/>
      <c r="AE270" s="145"/>
      <c r="AF270" s="139"/>
      <c r="AG270" s="142" t="s">
        <v>279</v>
      </c>
      <c r="AH270" s="48" t="s">
        <v>280</v>
      </c>
      <c r="AI270" s="48"/>
      <c r="AJ270" s="48"/>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G3" name="Range1_1"/>
  </protectedRanges>
  <mergeCells count="6">
    <mergeCell ref="H1:O1"/>
    <mergeCell ref="Q1:R1"/>
    <mergeCell ref="AE1:AF1"/>
    <mergeCell ref="AG1:AJ1"/>
    <mergeCell ref="T1:U1"/>
    <mergeCell ref="W1:AD1"/>
  </mergeCells>
  <conditionalFormatting sqref="E4">
    <cfRule type="expression" dxfId="429" priority="904">
      <formula>MOD(E4,2)=0</formula>
    </cfRule>
    <cfRule type="expression" dxfId="428" priority="907">
      <formula>MOD(E4,2)=1</formula>
    </cfRule>
    <cfRule type="containsBlanks" dxfId="427" priority="909">
      <formula>LEN(TRIM(E4))=0</formula>
    </cfRule>
  </conditionalFormatting>
  <conditionalFormatting sqref="E5:E91 E270">
    <cfRule type="containsBlanks" dxfId="426" priority="883">
      <formula>LEN(TRIM(E5))=0</formula>
    </cfRule>
    <cfRule type="expression" dxfId="425" priority="885">
      <formula>MOD(E5,2)=0</formula>
    </cfRule>
    <cfRule type="expression" dxfId="424" priority="886">
      <formula>MOD(E5,2)=1</formula>
    </cfRule>
  </conditionalFormatting>
  <conditionalFormatting sqref="E92">
    <cfRule type="containsBlanks" dxfId="423" priority="863">
      <formula>LEN(TRIM(E92))=0</formula>
    </cfRule>
    <cfRule type="expression" dxfId="422" priority="865">
      <formula>MOD(E92,2)=0</formula>
    </cfRule>
    <cfRule type="expression" dxfId="421" priority="866">
      <formula>MOD(E92,2)=1</formula>
    </cfRule>
  </conditionalFormatting>
  <conditionalFormatting sqref="E151">
    <cfRule type="containsBlanks" dxfId="420" priority="853">
      <formula>LEN(TRIM(E151))=0</formula>
    </cfRule>
    <cfRule type="expression" dxfId="419" priority="855">
      <formula>MOD(E151,2)=0</formula>
    </cfRule>
    <cfRule type="expression" dxfId="418" priority="856">
      <formula>MOD(E151,2)=1</formula>
    </cfRule>
  </conditionalFormatting>
  <conditionalFormatting sqref="E158">
    <cfRule type="containsBlanks" dxfId="417" priority="843">
      <formula>LEN(TRIM(E158))=0</formula>
    </cfRule>
    <cfRule type="expression" dxfId="416" priority="845">
      <formula>MOD(E158,2)=0</formula>
    </cfRule>
    <cfRule type="expression" dxfId="415" priority="846">
      <formula>MOD(E158,2)=1</formula>
    </cfRule>
  </conditionalFormatting>
  <conditionalFormatting sqref="E159">
    <cfRule type="containsBlanks" dxfId="414" priority="834">
      <formula>LEN(TRIM(E159))=0</formula>
    </cfRule>
    <cfRule type="expression" dxfId="413" priority="836">
      <formula>MOD(E159,2)=0</formula>
    </cfRule>
    <cfRule type="expression" dxfId="412" priority="837">
      <formula>MOD(E159,2)=1</formula>
    </cfRule>
  </conditionalFormatting>
  <conditionalFormatting sqref="E182:E183">
    <cfRule type="containsBlanks" dxfId="411" priority="824">
      <formula>LEN(TRIM(E182))=0</formula>
    </cfRule>
    <cfRule type="expression" dxfId="410" priority="826">
      <formula>MOD(E182,2)=0</formula>
    </cfRule>
    <cfRule type="expression" dxfId="409" priority="827">
      <formula>MOD(E182,2)=1</formula>
    </cfRule>
  </conditionalFormatting>
  <conditionalFormatting sqref="E99">
    <cfRule type="containsBlanks" dxfId="408" priority="792">
      <formula>LEN(TRIM(E99))=0</formula>
    </cfRule>
    <cfRule type="expression" dxfId="407" priority="794">
      <formula>MOD(E99,2)=0</formula>
    </cfRule>
    <cfRule type="expression" dxfId="406" priority="795">
      <formula>MOD(E99,2)=1</formula>
    </cfRule>
  </conditionalFormatting>
  <conditionalFormatting sqref="E166">
    <cfRule type="containsBlanks" dxfId="405" priority="814">
      <formula>LEN(TRIM(E166))=0</formula>
    </cfRule>
    <cfRule type="expression" dxfId="404" priority="816">
      <formula>MOD(E166,2)=0</formula>
    </cfRule>
    <cfRule type="expression" dxfId="403" priority="817">
      <formula>MOD(E166,2)=1</formula>
    </cfRule>
  </conditionalFormatting>
  <conditionalFormatting sqref="E167">
    <cfRule type="containsBlanks" dxfId="402" priority="809">
      <formula>LEN(TRIM(E167))=0</formula>
    </cfRule>
    <cfRule type="expression" dxfId="401" priority="811">
      <formula>MOD(E167,2)=0</formula>
    </cfRule>
    <cfRule type="expression" dxfId="400" priority="812">
      <formula>MOD(E167,2)=1</formula>
    </cfRule>
  </conditionalFormatting>
  <conditionalFormatting sqref="E97">
    <cfRule type="containsBlanks" dxfId="399" priority="786">
      <formula>LEN(TRIM(E97))=0</formula>
    </cfRule>
    <cfRule type="expression" dxfId="398" priority="788">
      <formula>MOD(E97,2)=0</formula>
    </cfRule>
    <cfRule type="expression" dxfId="397" priority="789">
      <formula>MOD(E97,2)=1</formula>
    </cfRule>
  </conditionalFormatting>
  <conditionalFormatting sqref="E95">
    <cfRule type="containsBlanks" dxfId="396" priority="780">
      <formula>LEN(TRIM(E95))=0</formula>
    </cfRule>
    <cfRule type="expression" dxfId="395" priority="782">
      <formula>MOD(E95,2)=0</formula>
    </cfRule>
    <cfRule type="expression" dxfId="394" priority="783">
      <formula>MOD(E95,2)=1</formula>
    </cfRule>
  </conditionalFormatting>
  <conditionalFormatting sqref="E93">
    <cfRule type="containsBlanks" dxfId="393" priority="774">
      <formula>LEN(TRIM(E93))=0</formula>
    </cfRule>
    <cfRule type="expression" dxfId="392" priority="776">
      <formula>MOD(E93,2)=0</formula>
    </cfRule>
    <cfRule type="expression" dxfId="391" priority="777">
      <formula>MOD(E93,2)=1</formula>
    </cfRule>
  </conditionalFormatting>
  <conditionalFormatting sqref="E94">
    <cfRule type="containsBlanks" dxfId="390" priority="768">
      <formula>LEN(TRIM(E94))=0</formula>
    </cfRule>
    <cfRule type="expression" dxfId="389" priority="770">
      <formula>MOD(E94,2)=0</formula>
    </cfRule>
    <cfRule type="expression" dxfId="388" priority="771">
      <formula>MOD(E94,2)=1</formula>
    </cfRule>
  </conditionalFormatting>
  <conditionalFormatting sqref="E96">
    <cfRule type="containsBlanks" dxfId="387" priority="762">
      <formula>LEN(TRIM(E96))=0</formula>
    </cfRule>
    <cfRule type="expression" dxfId="386" priority="764">
      <formula>MOD(E96,2)=0</formula>
    </cfRule>
    <cfRule type="expression" dxfId="385" priority="765">
      <formula>MOD(E96,2)=1</formula>
    </cfRule>
  </conditionalFormatting>
  <conditionalFormatting sqref="E98">
    <cfRule type="containsBlanks" dxfId="384" priority="756">
      <formula>LEN(TRIM(E98))=0</formula>
    </cfRule>
    <cfRule type="expression" dxfId="383" priority="758">
      <formula>MOD(E98,2)=0</formula>
    </cfRule>
    <cfRule type="expression" dxfId="382" priority="759">
      <formula>MOD(E98,2)=1</formula>
    </cfRule>
  </conditionalFormatting>
  <conditionalFormatting sqref="E174">
    <cfRule type="containsBlanks" dxfId="381" priority="749">
      <formula>LEN(TRIM(E174))=0</formula>
    </cfRule>
    <cfRule type="expression" dxfId="380" priority="751">
      <formula>MOD(E174,2)=0</formula>
    </cfRule>
    <cfRule type="expression" dxfId="379" priority="752">
      <formula>MOD(E174,2)=1</formula>
    </cfRule>
  </conditionalFormatting>
  <conditionalFormatting sqref="E175">
    <cfRule type="containsBlanks" dxfId="378" priority="744">
      <formula>LEN(TRIM(E175))=0</formula>
    </cfRule>
    <cfRule type="expression" dxfId="377" priority="746">
      <formula>MOD(E175,2)=0</formula>
    </cfRule>
    <cfRule type="expression" dxfId="376" priority="747">
      <formula>MOD(E175,2)=1</formula>
    </cfRule>
  </conditionalFormatting>
  <conditionalFormatting sqref="E184">
    <cfRule type="containsBlanks" dxfId="375" priority="731">
      <formula>LEN(TRIM(E184))=0</formula>
    </cfRule>
    <cfRule type="expression" dxfId="374" priority="733">
      <formula>MOD(E184,2)=0</formula>
    </cfRule>
    <cfRule type="expression" dxfId="373" priority="734">
      <formula>MOD(E184,2)=1</formula>
    </cfRule>
  </conditionalFormatting>
  <conditionalFormatting sqref="E185">
    <cfRule type="containsBlanks" dxfId="372" priority="722">
      <formula>LEN(TRIM(E185))=0</formula>
    </cfRule>
    <cfRule type="expression" dxfId="371" priority="724">
      <formula>MOD(E185,2)=0</formula>
    </cfRule>
    <cfRule type="expression" dxfId="370" priority="725">
      <formula>MOD(E185,2)=1</formula>
    </cfRule>
  </conditionalFormatting>
  <conditionalFormatting sqref="E192">
    <cfRule type="containsBlanks" dxfId="369" priority="715">
      <formula>LEN(TRIM(E192))=0</formula>
    </cfRule>
    <cfRule type="expression" dxfId="368" priority="717">
      <formula>MOD(E192,2)=0</formula>
    </cfRule>
    <cfRule type="expression" dxfId="367" priority="718">
      <formula>MOD(E192,2)=1</formula>
    </cfRule>
  </conditionalFormatting>
  <conditionalFormatting sqref="E193">
    <cfRule type="containsBlanks" dxfId="366" priority="710">
      <formula>LEN(TRIM(E193))=0</formula>
    </cfRule>
    <cfRule type="expression" dxfId="365" priority="712">
      <formula>MOD(E193,2)=0</formula>
    </cfRule>
    <cfRule type="expression" dxfId="364" priority="713">
      <formula>MOD(E193,2)=1</formula>
    </cfRule>
  </conditionalFormatting>
  <conditionalFormatting sqref="E200">
    <cfRule type="containsBlanks" dxfId="363" priority="690">
      <formula>LEN(TRIM(E200))=0</formula>
    </cfRule>
    <cfRule type="expression" dxfId="362" priority="692">
      <formula>MOD(E200,2)=0</formula>
    </cfRule>
    <cfRule type="expression" dxfId="361" priority="693">
      <formula>MOD(E200,2)=1</formula>
    </cfRule>
  </conditionalFormatting>
  <conditionalFormatting sqref="E201">
    <cfRule type="containsBlanks" dxfId="360" priority="685">
      <formula>LEN(TRIM(E201))=0</formula>
    </cfRule>
    <cfRule type="expression" dxfId="359" priority="687">
      <formula>MOD(E201,2)=0</formula>
    </cfRule>
    <cfRule type="expression" dxfId="358" priority="688">
      <formula>MOD(E201,2)=1</formula>
    </cfRule>
  </conditionalFormatting>
  <conditionalFormatting sqref="E208">
    <cfRule type="containsBlanks" dxfId="357" priority="671">
      <formula>LEN(TRIM(E208))=0</formula>
    </cfRule>
    <cfRule type="expression" dxfId="356" priority="673">
      <formula>MOD(E208,2)=0</formula>
    </cfRule>
    <cfRule type="expression" dxfId="355" priority="674">
      <formula>MOD(E208,2)=1</formula>
    </cfRule>
  </conditionalFormatting>
  <conditionalFormatting sqref="E209">
    <cfRule type="containsBlanks" dxfId="354" priority="666">
      <formula>LEN(TRIM(E209))=0</formula>
    </cfRule>
    <cfRule type="expression" dxfId="353" priority="668">
      <formula>MOD(E209,2)=0</formula>
    </cfRule>
    <cfRule type="expression" dxfId="352" priority="669">
      <formula>MOD(E209,2)=1</formula>
    </cfRule>
  </conditionalFormatting>
  <conditionalFormatting sqref="E183">
    <cfRule type="containsBlanks" dxfId="351" priority="653">
      <formula>LEN(TRIM(E183))=0</formula>
    </cfRule>
    <cfRule type="expression" dxfId="350" priority="655">
      <formula>MOD(E183,2)=0</formula>
    </cfRule>
    <cfRule type="expression" dxfId="349" priority="656">
      <formula>MOD(E183,2)=1</formula>
    </cfRule>
  </conditionalFormatting>
  <conditionalFormatting sqref="E251">
    <cfRule type="containsBlanks" dxfId="348" priority="614">
      <formula>LEN(TRIM(E251))=0</formula>
    </cfRule>
    <cfRule type="expression" dxfId="347" priority="616">
      <formula>MOD(E251,2)=0</formula>
    </cfRule>
    <cfRule type="expression" dxfId="346" priority="617">
      <formula>MOD(E251,2)=1</formula>
    </cfRule>
  </conditionalFormatting>
  <conditionalFormatting sqref="E260">
    <cfRule type="containsBlanks" dxfId="345" priority="564">
      <formula>LEN(TRIM(E260))=0</formula>
    </cfRule>
    <cfRule type="expression" dxfId="344" priority="566">
      <formula>MOD(E260,2)=0</formula>
    </cfRule>
    <cfRule type="expression" dxfId="343" priority="567">
      <formula>MOD(E260,2)=1</formula>
    </cfRule>
  </conditionalFormatting>
  <conditionalFormatting sqref="E102:E111">
    <cfRule type="containsBlanks" dxfId="342" priority="169">
      <formula>LEN(TRIM(E102))=0</formula>
    </cfRule>
    <cfRule type="expression" dxfId="341" priority="171">
      <formula>MOD(E102,2)=0</formula>
    </cfRule>
    <cfRule type="expression" dxfId="340" priority="172">
      <formula>MOD(E102,2)=1</formula>
    </cfRule>
  </conditionalFormatting>
  <conditionalFormatting sqref="E101">
    <cfRule type="containsBlanks" dxfId="339" priority="327">
      <formula>LEN(TRIM(E101))=0</formula>
    </cfRule>
    <cfRule type="expression" dxfId="338" priority="329">
      <formula>MOD(E101,2)=0</formula>
    </cfRule>
    <cfRule type="expression" dxfId="337" priority="330">
      <formula>MOD(E101,2)=1</formula>
    </cfRule>
  </conditionalFormatting>
  <conditionalFormatting sqref="E113">
    <cfRule type="containsBlanks" dxfId="336" priority="315">
      <formula>LEN(TRIM(E113))=0</formula>
    </cfRule>
    <cfRule type="expression" dxfId="335" priority="317">
      <formula>MOD(E113,2)=0</formula>
    </cfRule>
    <cfRule type="expression" dxfId="334" priority="318">
      <formula>MOD(E113,2)=1</formula>
    </cfRule>
  </conditionalFormatting>
  <conditionalFormatting sqref="E100">
    <cfRule type="containsBlanks" dxfId="333" priority="336">
      <formula>LEN(TRIM(E100))=0</formula>
    </cfRule>
    <cfRule type="expression" dxfId="332" priority="338">
      <formula>MOD(E100,2)=0</formula>
    </cfRule>
    <cfRule type="expression" dxfId="331" priority="339">
      <formula>MOD(E100,2)=1</formula>
    </cfRule>
  </conditionalFormatting>
  <conditionalFormatting sqref="E112">
    <cfRule type="containsBlanks" dxfId="330" priority="320">
      <formula>LEN(TRIM(E112))=0</formula>
    </cfRule>
    <cfRule type="expression" dxfId="329" priority="322">
      <formula>MOD(E112,2)=0</formula>
    </cfRule>
    <cfRule type="expression" dxfId="328" priority="323">
      <formula>MOD(E112,2)=1</formula>
    </cfRule>
  </conditionalFormatting>
  <conditionalFormatting sqref="E124">
    <cfRule type="containsBlanks" dxfId="327" priority="301">
      <formula>LEN(TRIM(E124))=0</formula>
    </cfRule>
    <cfRule type="expression" dxfId="326" priority="303">
      <formula>MOD(E124,2)=0</formula>
    </cfRule>
    <cfRule type="expression" dxfId="325" priority="304">
      <formula>MOD(E124,2)=1</formula>
    </cfRule>
  </conditionalFormatting>
  <conditionalFormatting sqref="E125">
    <cfRule type="containsBlanks" dxfId="324" priority="296">
      <formula>LEN(TRIM(E125))=0</formula>
    </cfRule>
    <cfRule type="expression" dxfId="323" priority="298">
      <formula>MOD(E125,2)=0</formula>
    </cfRule>
    <cfRule type="expression" dxfId="322" priority="299">
      <formula>MOD(E125,2)=1</formula>
    </cfRule>
  </conditionalFormatting>
  <conditionalFormatting sqref="E136">
    <cfRule type="containsBlanks" dxfId="321" priority="282">
      <formula>LEN(TRIM(E136))=0</formula>
    </cfRule>
    <cfRule type="expression" dxfId="320" priority="284">
      <formula>MOD(E136,2)=0</formula>
    </cfRule>
    <cfRule type="expression" dxfId="319" priority="285">
      <formula>MOD(E136,2)=1</formula>
    </cfRule>
  </conditionalFormatting>
  <conditionalFormatting sqref="E137">
    <cfRule type="containsBlanks" dxfId="318" priority="277">
      <formula>LEN(TRIM(E137))=0</formula>
    </cfRule>
    <cfRule type="expression" dxfId="317" priority="279">
      <formula>MOD(E137,2)=0</formula>
    </cfRule>
    <cfRule type="expression" dxfId="316" priority="280">
      <formula>MOD(E137,2)=1</formula>
    </cfRule>
  </conditionalFormatting>
  <conditionalFormatting sqref="E126:E135">
    <cfRule type="containsBlanks" dxfId="315" priority="161">
      <formula>LEN(TRIM(E126))=0</formula>
    </cfRule>
    <cfRule type="expression" dxfId="314" priority="163">
      <formula>MOD(E126,2)=0</formula>
    </cfRule>
    <cfRule type="expression" dxfId="313" priority="164">
      <formula>MOD(E126,2)=1</formula>
    </cfRule>
  </conditionalFormatting>
  <conditionalFormatting sqref="E148:E149">
    <cfRule type="containsBlanks" dxfId="312" priority="190">
      <formula>LEN(TRIM(E148))=0</formula>
    </cfRule>
    <cfRule type="expression" dxfId="311" priority="192">
      <formula>MOD(E148,2)=0</formula>
    </cfRule>
    <cfRule type="expression" dxfId="310" priority="193">
      <formula>MOD(E148,2)=1</formula>
    </cfRule>
  </conditionalFormatting>
  <conditionalFormatting sqref="E150">
    <cfRule type="containsBlanks" dxfId="309" priority="185">
      <formula>LEN(TRIM(E150))=0</formula>
    </cfRule>
    <cfRule type="expression" dxfId="308" priority="187">
      <formula>MOD(E150,2)=0</formula>
    </cfRule>
    <cfRule type="expression" dxfId="307" priority="188">
      <formula>MOD(E150,2)=1</formula>
    </cfRule>
  </conditionalFormatting>
  <conditionalFormatting sqref="E149">
    <cfRule type="containsBlanks" dxfId="306" priority="179">
      <formula>LEN(TRIM(E149))=0</formula>
    </cfRule>
    <cfRule type="expression" dxfId="305" priority="181">
      <formula>MOD(E149,2)=0</formula>
    </cfRule>
    <cfRule type="expression" dxfId="304" priority="182">
      <formula>MOD(E149,2)=1</formula>
    </cfRule>
  </conditionalFormatting>
  <conditionalFormatting sqref="E114:E123">
    <cfRule type="containsBlanks" dxfId="303" priority="165">
      <formula>LEN(TRIM(E114))=0</formula>
    </cfRule>
    <cfRule type="expression" dxfId="302" priority="167">
      <formula>MOD(E114,2)=0</formula>
    </cfRule>
    <cfRule type="expression" dxfId="301" priority="168">
      <formula>MOD(E114,2)=1</formula>
    </cfRule>
  </conditionalFormatting>
  <conditionalFormatting sqref="E138:E147">
    <cfRule type="containsBlanks" dxfId="300" priority="157">
      <formula>LEN(TRIM(E138))=0</formula>
    </cfRule>
    <cfRule type="expression" dxfId="299" priority="159">
      <formula>MOD(E138,2)=0</formula>
    </cfRule>
    <cfRule type="expression" dxfId="298" priority="160">
      <formula>MOD(E138,2)=1</formula>
    </cfRule>
  </conditionalFormatting>
  <conditionalFormatting sqref="E152:E157">
    <cfRule type="containsBlanks" dxfId="297" priority="153">
      <formula>LEN(TRIM(E152))=0</formula>
    </cfRule>
    <cfRule type="expression" dxfId="296" priority="155">
      <formula>MOD(E152,2)=0</formula>
    </cfRule>
    <cfRule type="expression" dxfId="295" priority="156">
      <formula>MOD(E152,2)=1</formula>
    </cfRule>
  </conditionalFormatting>
  <conditionalFormatting sqref="E160:E165">
    <cfRule type="containsBlanks" dxfId="294" priority="148">
      <formula>LEN(TRIM(E160))=0</formula>
    </cfRule>
    <cfRule type="expression" dxfId="293" priority="150">
      <formula>MOD(E160,2)=0</formula>
    </cfRule>
    <cfRule type="expression" dxfId="292" priority="151">
      <formula>MOD(E160,2)=1</formula>
    </cfRule>
  </conditionalFormatting>
  <conditionalFormatting sqref="E168:E173">
    <cfRule type="containsBlanks" dxfId="291" priority="144">
      <formula>LEN(TRIM(E168))=0</formula>
    </cfRule>
    <cfRule type="expression" dxfId="290" priority="146">
      <formula>MOD(E168,2)=0</formula>
    </cfRule>
    <cfRule type="expression" dxfId="289" priority="147">
      <formula>MOD(E168,2)=1</formula>
    </cfRule>
  </conditionalFormatting>
  <conditionalFormatting sqref="E176:E181">
    <cfRule type="containsBlanks" dxfId="288" priority="140">
      <formula>LEN(TRIM(E176))=0</formula>
    </cfRule>
    <cfRule type="expression" dxfId="287" priority="142">
      <formula>MOD(E176,2)=0</formula>
    </cfRule>
    <cfRule type="expression" dxfId="286" priority="143">
      <formula>MOD(E176,2)=1</formula>
    </cfRule>
  </conditionalFormatting>
  <conditionalFormatting sqref="E186:E191">
    <cfRule type="containsBlanks" dxfId="285" priority="136">
      <formula>LEN(TRIM(E186))=0</formula>
    </cfRule>
    <cfRule type="expression" dxfId="284" priority="138">
      <formula>MOD(E186,2)=0</formula>
    </cfRule>
    <cfRule type="expression" dxfId="283" priority="139">
      <formula>MOD(E186,2)=1</formula>
    </cfRule>
  </conditionalFormatting>
  <conditionalFormatting sqref="E194:E199">
    <cfRule type="containsBlanks" dxfId="282" priority="132">
      <formula>LEN(TRIM(E194))=0</formula>
    </cfRule>
    <cfRule type="expression" dxfId="281" priority="134">
      <formula>MOD(E194,2)=0</formula>
    </cfRule>
    <cfRule type="expression" dxfId="280" priority="135">
      <formula>MOD(E194,2)=1</formula>
    </cfRule>
  </conditionalFormatting>
  <conditionalFormatting sqref="E202:E207">
    <cfRule type="containsBlanks" dxfId="279" priority="128">
      <formula>LEN(TRIM(E202))=0</formula>
    </cfRule>
    <cfRule type="expression" dxfId="278" priority="130">
      <formula>MOD(E202,2)=0</formula>
    </cfRule>
    <cfRule type="expression" dxfId="277" priority="131">
      <formula>MOD(E202,2)=1</formula>
    </cfRule>
  </conditionalFormatting>
  <conditionalFormatting sqref="E210:E215">
    <cfRule type="containsBlanks" dxfId="276" priority="124">
      <formula>LEN(TRIM(E210))=0</formula>
    </cfRule>
    <cfRule type="expression" dxfId="275" priority="126">
      <formula>MOD(E210,2)=0</formula>
    </cfRule>
    <cfRule type="expression" dxfId="274" priority="127">
      <formula>MOD(E210,2)=1</formula>
    </cfRule>
  </conditionalFormatting>
  <conditionalFormatting sqref="E252:E259">
    <cfRule type="containsBlanks" dxfId="273" priority="120">
      <formula>LEN(TRIM(E252))=0</formula>
    </cfRule>
    <cfRule type="expression" dxfId="272" priority="122">
      <formula>MOD(E252,2)=0</formula>
    </cfRule>
    <cfRule type="expression" dxfId="271" priority="123">
      <formula>MOD(E252,2)=1</formula>
    </cfRule>
  </conditionalFormatting>
  <conditionalFormatting sqref="E261:E269">
    <cfRule type="containsBlanks" dxfId="270" priority="116">
      <formula>LEN(TRIM(E261))=0</formula>
    </cfRule>
    <cfRule type="expression" dxfId="269" priority="118">
      <formula>MOD(E261,2)=0</formula>
    </cfRule>
    <cfRule type="expression" dxfId="268" priority="119">
      <formula>MOD(E261,2)=1</formula>
    </cfRule>
  </conditionalFormatting>
  <conditionalFormatting sqref="E216:E217">
    <cfRule type="containsBlanks" dxfId="267" priority="107">
      <formula>LEN(TRIM(E216))=0</formula>
    </cfRule>
    <cfRule type="expression" dxfId="266" priority="109">
      <formula>MOD(E216,2)=0</formula>
    </cfRule>
    <cfRule type="expression" dxfId="265" priority="110">
      <formula>MOD(E216,2)=1</formula>
    </cfRule>
  </conditionalFormatting>
  <conditionalFormatting sqref="E218">
    <cfRule type="containsBlanks" dxfId="264" priority="102">
      <formula>LEN(TRIM(E218))=0</formula>
    </cfRule>
    <cfRule type="expression" dxfId="263" priority="104">
      <formula>MOD(E218,2)=0</formula>
    </cfRule>
    <cfRule type="expression" dxfId="262" priority="105">
      <formula>MOD(E218,2)=1</formula>
    </cfRule>
  </conditionalFormatting>
  <conditionalFormatting sqref="E219">
    <cfRule type="containsBlanks" dxfId="261" priority="97">
      <formula>LEN(TRIM(E219))=0</formula>
    </cfRule>
    <cfRule type="expression" dxfId="260" priority="99">
      <formula>MOD(E219,2)=0</formula>
    </cfRule>
    <cfRule type="expression" dxfId="259" priority="100">
      <formula>MOD(E219,2)=1</formula>
    </cfRule>
  </conditionalFormatting>
  <conditionalFormatting sqref="E226">
    <cfRule type="containsBlanks" dxfId="258" priority="90">
      <formula>LEN(TRIM(E226))=0</formula>
    </cfRule>
    <cfRule type="expression" dxfId="257" priority="92">
      <formula>MOD(E226,2)=0</formula>
    </cfRule>
    <cfRule type="expression" dxfId="256" priority="93">
      <formula>MOD(E226,2)=1</formula>
    </cfRule>
  </conditionalFormatting>
  <conditionalFormatting sqref="E227">
    <cfRule type="containsBlanks" dxfId="255" priority="85">
      <formula>LEN(TRIM(E227))=0</formula>
    </cfRule>
    <cfRule type="expression" dxfId="254" priority="87">
      <formula>MOD(E227,2)=0</formula>
    </cfRule>
    <cfRule type="expression" dxfId="253" priority="88">
      <formula>MOD(E227,2)=1</formula>
    </cfRule>
  </conditionalFormatting>
  <conditionalFormatting sqref="E234">
    <cfRule type="containsBlanks" dxfId="252" priority="75">
      <formula>LEN(TRIM(E234))=0</formula>
    </cfRule>
    <cfRule type="expression" dxfId="251" priority="77">
      <formula>MOD(E234,2)=0</formula>
    </cfRule>
    <cfRule type="expression" dxfId="250" priority="78">
      <formula>MOD(E234,2)=1</formula>
    </cfRule>
  </conditionalFormatting>
  <conditionalFormatting sqref="E235">
    <cfRule type="containsBlanks" dxfId="249" priority="70">
      <formula>LEN(TRIM(E235))=0</formula>
    </cfRule>
    <cfRule type="expression" dxfId="248" priority="72">
      <formula>MOD(E235,2)=0</formula>
    </cfRule>
    <cfRule type="expression" dxfId="247" priority="73">
      <formula>MOD(E235,2)=1</formula>
    </cfRule>
  </conditionalFormatting>
  <conditionalFormatting sqref="E242">
    <cfRule type="containsBlanks" dxfId="246" priority="60">
      <formula>LEN(TRIM(E242))=0</formula>
    </cfRule>
    <cfRule type="expression" dxfId="245" priority="62">
      <formula>MOD(E242,2)=0</formula>
    </cfRule>
    <cfRule type="expression" dxfId="244" priority="63">
      <formula>MOD(E242,2)=1</formula>
    </cfRule>
  </conditionalFormatting>
  <conditionalFormatting sqref="E243">
    <cfRule type="containsBlanks" dxfId="243" priority="55">
      <formula>LEN(TRIM(E243))=0</formula>
    </cfRule>
    <cfRule type="expression" dxfId="242" priority="57">
      <formula>MOD(E243,2)=0</formula>
    </cfRule>
    <cfRule type="expression" dxfId="241" priority="58">
      <formula>MOD(E243,2)=1</formula>
    </cfRule>
  </conditionalFormatting>
  <conditionalFormatting sqref="E217">
    <cfRule type="containsBlanks" dxfId="240" priority="46">
      <formula>LEN(TRIM(E217))=0</formula>
    </cfRule>
    <cfRule type="expression" dxfId="239" priority="48">
      <formula>MOD(E217,2)=0</formula>
    </cfRule>
    <cfRule type="expression" dxfId="238" priority="49">
      <formula>MOD(E217,2)=1</formula>
    </cfRule>
  </conditionalFormatting>
  <conditionalFormatting sqref="E220:E225">
    <cfRule type="containsBlanks" dxfId="237" priority="33">
      <formula>LEN(TRIM(E220))=0</formula>
    </cfRule>
    <cfRule type="expression" dxfId="236" priority="35">
      <formula>MOD(E220,2)=0</formula>
    </cfRule>
    <cfRule type="expression" dxfId="235" priority="36">
      <formula>MOD(E220,2)=1</formula>
    </cfRule>
  </conditionalFormatting>
  <conditionalFormatting sqref="E228:E233">
    <cfRule type="containsBlanks" dxfId="234" priority="29">
      <formula>LEN(TRIM(E228))=0</formula>
    </cfRule>
    <cfRule type="expression" dxfId="233" priority="31">
      <formula>MOD(E228,2)=0</formula>
    </cfRule>
    <cfRule type="expression" dxfId="232" priority="32">
      <formula>MOD(E228,2)=1</formula>
    </cfRule>
  </conditionalFormatting>
  <conditionalFormatting sqref="E236:E241">
    <cfRule type="containsBlanks" dxfId="231" priority="25">
      <formula>LEN(TRIM(E236))=0</formula>
    </cfRule>
    <cfRule type="expression" dxfId="230" priority="27">
      <formula>MOD(E236,2)=0</formula>
    </cfRule>
    <cfRule type="expression" dxfId="229" priority="28">
      <formula>MOD(E236,2)=1</formula>
    </cfRule>
  </conditionalFormatting>
  <conditionalFormatting sqref="E244:E249">
    <cfRule type="containsBlanks" dxfId="228" priority="21">
      <formula>LEN(TRIM(E244))=0</formula>
    </cfRule>
    <cfRule type="expression" dxfId="227" priority="23">
      <formula>MOD(E244,2)=0</formula>
    </cfRule>
    <cfRule type="expression" dxfId="226" priority="24">
      <formula>MOD(E244,2)=1</formula>
    </cfRule>
  </conditionalFormatting>
  <conditionalFormatting sqref="E250">
    <cfRule type="containsBlanks" dxfId="225" priority="15">
      <formula>LEN(TRIM(E250))=0</formula>
    </cfRule>
    <cfRule type="expression" dxfId="224" priority="17">
      <formula>MOD(E250,2)=0</formula>
    </cfRule>
    <cfRule type="expression" dxfId="223" priority="18">
      <formula>MOD(E250,2)=1</formula>
    </cfRule>
  </conditionalFormatting>
  <conditionalFormatting sqref="E250">
    <cfRule type="containsBlanks" dxfId="222" priority="10">
      <formula>LEN(TRIM(E250))=0</formula>
    </cfRule>
    <cfRule type="expression" dxfId="221" priority="12">
      <formula>MOD(E250,2)=0</formula>
    </cfRule>
    <cfRule type="expression" dxfId="220" priority="13">
      <formula>MOD(E250,2)=1</formula>
    </cfRule>
  </conditionalFormatting>
  <dataValidations count="1">
    <dataValidation showInputMessage="1" showErrorMessage="1" sqref="A4:A270"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887" operator="containsText" id="{CAB4DD24-5E18-4C25-976E-F1B42BE95576}">
            <xm:f>NOT(ISERROR(SEARCH("-",E4)))</xm:f>
            <xm:f>"-"</xm:f>
            <x14:dxf>
              <fill>
                <patternFill>
                  <bgColor theme="0" tint="-4.9989318521683403E-2"/>
                </patternFill>
              </fill>
            </x14:dxf>
          </x14:cfRule>
          <xm:sqref>E4</xm:sqref>
        </x14:conditionalFormatting>
        <x14:conditionalFormatting xmlns:xm="http://schemas.microsoft.com/office/excel/2006/main">
          <x14:cfRule type="containsText" priority="884" operator="containsText" id="{5EFD3F10-06DD-4C45-AFA0-1EBA1F1AB1DA}">
            <xm:f>NOT(ISERROR(SEARCH("-",E5)))</xm:f>
            <xm:f>"-"</xm:f>
            <x14:dxf>
              <fill>
                <patternFill>
                  <bgColor theme="0" tint="-4.9989318521683403E-2"/>
                </patternFill>
              </fill>
            </x14:dxf>
          </x14:cfRule>
          <xm:sqref>E5:E91 E270</xm:sqref>
        </x14:conditionalFormatting>
        <x14:conditionalFormatting xmlns:xm="http://schemas.microsoft.com/office/excel/2006/main">
          <x14:cfRule type="containsText" priority="864" operator="containsText" id="{69037452-86F1-4274-A0B1-7255FAABE460}">
            <xm:f>NOT(ISERROR(SEARCH("-",E92)))</xm:f>
            <xm:f>"-"</xm:f>
            <x14:dxf>
              <fill>
                <patternFill>
                  <bgColor theme="0" tint="-4.9989318521683403E-2"/>
                </patternFill>
              </fill>
            </x14:dxf>
          </x14:cfRule>
          <xm:sqref>E92</xm:sqref>
        </x14:conditionalFormatting>
        <x14:conditionalFormatting xmlns:xm="http://schemas.microsoft.com/office/excel/2006/main">
          <x14:cfRule type="containsText" priority="854" operator="containsText" id="{D30BB66E-0353-40AA-BA3A-04C6AFDB6828}">
            <xm:f>NOT(ISERROR(SEARCH("-",E151)))</xm:f>
            <xm:f>"-"</xm:f>
            <x14:dxf>
              <fill>
                <patternFill>
                  <bgColor theme="0" tint="-4.9989318521683403E-2"/>
                </patternFill>
              </fill>
            </x14:dxf>
          </x14:cfRule>
          <xm:sqref>E151</xm:sqref>
        </x14:conditionalFormatting>
        <x14:conditionalFormatting xmlns:xm="http://schemas.microsoft.com/office/excel/2006/main">
          <x14:cfRule type="expression" priority="849" id="{D4C5C327-9AAC-4D8D-8591-0D0468C0C4CE}">
            <xm:f>G151=Categories!$E$7</xm:f>
            <x14:dxf>
              <font>
                <b/>
                <i val="0"/>
              </font>
            </x14:dxf>
          </x14:cfRule>
          <xm:sqref>J270 J182 J151:J152</xm:sqref>
        </x14:conditionalFormatting>
        <x14:conditionalFormatting xmlns:xm="http://schemas.microsoft.com/office/excel/2006/main">
          <x14:cfRule type="expression" priority="848" id="{276EB86A-49D3-43B2-8BAE-5608FAEE26FD}">
            <xm:f>G4=Categories!$E$7</xm:f>
            <x14:dxf>
              <font>
                <b/>
                <i val="0"/>
              </font>
            </x14:dxf>
          </x14:cfRule>
          <xm:sqref>J4:J92</xm:sqref>
        </x14:conditionalFormatting>
        <x14:conditionalFormatting xmlns:xm="http://schemas.microsoft.com/office/excel/2006/main">
          <x14:cfRule type="expression" priority="847" id="{E176C055-4F32-4661-A4EF-F66CEE0A0964}">
            <xm:f>G153=Categories!$E$7</xm:f>
            <x14:dxf>
              <font>
                <b/>
                <i val="0"/>
              </font>
            </x14:dxf>
          </x14:cfRule>
          <xm:sqref>J153:J158</xm:sqref>
        </x14:conditionalFormatting>
        <x14:conditionalFormatting xmlns:xm="http://schemas.microsoft.com/office/excel/2006/main">
          <x14:cfRule type="containsText" priority="844" operator="containsText" id="{D02A06B7-DB2A-441A-B030-470D58CB9C95}">
            <xm:f>NOT(ISERROR(SEARCH("-",E158)))</xm:f>
            <xm:f>"-"</xm:f>
            <x14:dxf>
              <fill>
                <patternFill>
                  <bgColor theme="0" tint="-4.9989318521683403E-2"/>
                </patternFill>
              </fill>
            </x14:dxf>
          </x14:cfRule>
          <xm:sqref>E158</xm:sqref>
        </x14:conditionalFormatting>
        <x14:conditionalFormatting xmlns:xm="http://schemas.microsoft.com/office/excel/2006/main">
          <x14:cfRule type="containsText" priority="835" operator="containsText" id="{6681EA3C-ABFF-4E2C-8E14-DD8564A3FC39}">
            <xm:f>NOT(ISERROR(SEARCH("-",E159)))</xm:f>
            <xm:f>"-"</xm:f>
            <x14:dxf>
              <fill>
                <patternFill>
                  <bgColor theme="0" tint="-4.9989318521683403E-2"/>
                </patternFill>
              </fill>
            </x14:dxf>
          </x14:cfRule>
          <xm:sqref>E159</xm:sqref>
        </x14:conditionalFormatting>
        <x14:conditionalFormatting xmlns:xm="http://schemas.microsoft.com/office/excel/2006/main">
          <x14:cfRule type="expression" priority="832" id="{CDCE1F52-38D3-498E-9334-8EACB987C8D4}">
            <xm:f>G160=Categories!$E$7</xm:f>
            <x14:dxf>
              <font>
                <b/>
                <i val="0"/>
              </font>
            </x14:dxf>
          </x14:cfRule>
          <xm:sqref>J160</xm:sqref>
        </x14:conditionalFormatting>
        <x14:conditionalFormatting xmlns:xm="http://schemas.microsoft.com/office/excel/2006/main">
          <x14:cfRule type="expression" priority="831" id="{A9DE52F6-7C7B-41D1-B405-87A85E4FE152}">
            <xm:f>G159=Categories!$E$7</xm:f>
            <x14:dxf>
              <font>
                <b/>
                <i val="0"/>
              </font>
            </x14:dxf>
          </x14:cfRule>
          <xm:sqref>J159</xm:sqref>
        </x14:conditionalFormatting>
        <x14:conditionalFormatting xmlns:xm="http://schemas.microsoft.com/office/excel/2006/main">
          <x14:cfRule type="expression" priority="830" id="{2C775027-A839-49B0-B71F-1AD013D175B9}">
            <xm:f>G161=Categories!$E$7</xm:f>
            <x14:dxf>
              <font>
                <b/>
                <i val="0"/>
              </font>
            </x14:dxf>
          </x14:cfRule>
          <xm:sqref>J161:J165</xm:sqref>
        </x14:conditionalFormatting>
        <x14:conditionalFormatting xmlns:xm="http://schemas.microsoft.com/office/excel/2006/main">
          <x14:cfRule type="containsText" priority="825" operator="containsText" id="{567F9EC1-752B-41C9-82CF-027878493D2E}">
            <xm:f>NOT(ISERROR(SEARCH("-",E182)))</xm:f>
            <xm:f>"-"</xm:f>
            <x14:dxf>
              <fill>
                <patternFill>
                  <bgColor theme="0" tint="-4.9989318521683403E-2"/>
                </patternFill>
              </fill>
            </x14:dxf>
          </x14:cfRule>
          <xm:sqref>E182:E183</xm:sqref>
        </x14:conditionalFormatting>
        <x14:conditionalFormatting xmlns:xm="http://schemas.microsoft.com/office/excel/2006/main">
          <x14:cfRule type="containsText" priority="793" operator="containsText" id="{7691CEA1-3E02-4EF7-BE14-160C583727F8}">
            <xm:f>NOT(ISERROR(SEARCH("-",E99)))</xm:f>
            <xm:f>"-"</xm:f>
            <x14:dxf>
              <fill>
                <patternFill>
                  <bgColor theme="0" tint="-4.9989318521683403E-2"/>
                </patternFill>
              </fill>
            </x14:dxf>
          </x14:cfRule>
          <xm:sqref>E99</xm:sqref>
        </x14:conditionalFormatting>
        <x14:conditionalFormatting xmlns:xm="http://schemas.microsoft.com/office/excel/2006/main">
          <x14:cfRule type="expression" priority="818" id="{B37B2E97-6B7E-4F9C-8A52-E70316A50631}">
            <xm:f>G166=Categories!$E$7</xm:f>
            <x14:dxf>
              <font>
                <b/>
                <i val="0"/>
              </font>
            </x14:dxf>
          </x14:cfRule>
          <xm:sqref>J166</xm:sqref>
        </x14:conditionalFormatting>
        <x14:conditionalFormatting xmlns:xm="http://schemas.microsoft.com/office/excel/2006/main">
          <x14:cfRule type="containsText" priority="815" operator="containsText" id="{3B539539-397B-48A8-9E71-734BB0220D41}">
            <xm:f>NOT(ISERROR(SEARCH("-",E166)))</xm:f>
            <xm:f>"-"</xm:f>
            <x14:dxf>
              <fill>
                <patternFill>
                  <bgColor theme="0" tint="-4.9989318521683403E-2"/>
                </patternFill>
              </fill>
            </x14:dxf>
          </x14:cfRule>
          <xm:sqref>E166</xm:sqref>
        </x14:conditionalFormatting>
        <x14:conditionalFormatting xmlns:xm="http://schemas.microsoft.com/office/excel/2006/main">
          <x14:cfRule type="containsText" priority="810" operator="containsText" id="{D959859E-7789-4663-9915-17DDEF7D6A62}">
            <xm:f>NOT(ISERROR(SEARCH("-",E167)))</xm:f>
            <xm:f>"-"</xm:f>
            <x14:dxf>
              <fill>
                <patternFill>
                  <bgColor theme="0" tint="-4.9989318521683403E-2"/>
                </patternFill>
              </fill>
            </x14:dxf>
          </x14:cfRule>
          <xm:sqref>E167</xm:sqref>
        </x14:conditionalFormatting>
        <x14:conditionalFormatting xmlns:xm="http://schemas.microsoft.com/office/excel/2006/main">
          <x14:cfRule type="expression" priority="807" id="{C115C6A3-3615-4FF5-A92A-BBC1D65E4E97}">
            <xm:f>G168=Categories!$E$7</xm:f>
            <x14:dxf>
              <font>
                <b/>
                <i val="0"/>
              </font>
            </x14:dxf>
          </x14:cfRule>
          <xm:sqref>J168</xm:sqref>
        </x14:conditionalFormatting>
        <x14:conditionalFormatting xmlns:xm="http://schemas.microsoft.com/office/excel/2006/main">
          <x14:cfRule type="expression" priority="806" id="{65720FBD-9F56-46F3-AB90-C779052A0001}">
            <xm:f>G167=Categories!$E$7</xm:f>
            <x14:dxf>
              <font>
                <b/>
                <i val="0"/>
              </font>
            </x14:dxf>
          </x14:cfRule>
          <xm:sqref>J167</xm:sqref>
        </x14:conditionalFormatting>
        <x14:conditionalFormatting xmlns:xm="http://schemas.microsoft.com/office/excel/2006/main">
          <x14:cfRule type="expression" priority="805" id="{51306C2D-505A-46AD-BFC2-7E692756B84B}">
            <xm:f>G169=Categories!$E$7</xm:f>
            <x14:dxf>
              <font>
                <b/>
                <i val="0"/>
              </font>
            </x14:dxf>
          </x14:cfRule>
          <xm:sqref>J169:J173</xm:sqref>
        </x14:conditionalFormatting>
        <x14:conditionalFormatting xmlns:xm="http://schemas.microsoft.com/office/excel/2006/main">
          <x14:cfRule type="expression" priority="791" id="{F5752E6A-E3F6-4AC5-8020-0345988D8B44}">
            <xm:f>G99=Categories!$E$7</xm:f>
            <x14:dxf>
              <font>
                <b/>
                <i val="0"/>
              </font>
            </x14:dxf>
          </x14:cfRule>
          <xm:sqref>J99</xm:sqref>
        </x14:conditionalFormatting>
        <x14:conditionalFormatting xmlns:xm="http://schemas.microsoft.com/office/excel/2006/main">
          <x14:cfRule type="containsText" priority="787" operator="containsText" id="{C27D0B93-7E4A-409F-B639-8F779BC8E132}">
            <xm:f>NOT(ISERROR(SEARCH("-",E97)))</xm:f>
            <xm:f>"-"</xm:f>
            <x14:dxf>
              <fill>
                <patternFill>
                  <bgColor theme="0" tint="-4.9989318521683403E-2"/>
                </patternFill>
              </fill>
            </x14:dxf>
          </x14:cfRule>
          <xm:sqref>E97</xm:sqref>
        </x14:conditionalFormatting>
        <x14:conditionalFormatting xmlns:xm="http://schemas.microsoft.com/office/excel/2006/main">
          <x14:cfRule type="expression" priority="785" id="{B690748B-0D91-40AD-B1EA-EF9FA1C801CA}">
            <xm:f>G97=Categories!$E$7</xm:f>
            <x14:dxf>
              <font>
                <b/>
                <i val="0"/>
              </font>
            </x14:dxf>
          </x14:cfRule>
          <xm:sqref>J97</xm:sqref>
        </x14:conditionalFormatting>
        <x14:conditionalFormatting xmlns:xm="http://schemas.microsoft.com/office/excel/2006/main">
          <x14:cfRule type="containsText" priority="781" operator="containsText" id="{6665B523-4842-413C-959B-A0A5574B0DC0}">
            <xm:f>NOT(ISERROR(SEARCH("-",E95)))</xm:f>
            <xm:f>"-"</xm:f>
            <x14:dxf>
              <fill>
                <patternFill>
                  <bgColor theme="0" tint="-4.9989318521683403E-2"/>
                </patternFill>
              </fill>
            </x14:dxf>
          </x14:cfRule>
          <xm:sqref>E95</xm:sqref>
        </x14:conditionalFormatting>
        <x14:conditionalFormatting xmlns:xm="http://schemas.microsoft.com/office/excel/2006/main">
          <x14:cfRule type="expression" priority="779" id="{AEF939AE-6C84-4C1C-8676-A68415BBD2E6}">
            <xm:f>G95=Categories!$E$7</xm:f>
            <x14:dxf>
              <font>
                <b/>
                <i val="0"/>
              </font>
            </x14:dxf>
          </x14:cfRule>
          <xm:sqref>J95</xm:sqref>
        </x14:conditionalFormatting>
        <x14:conditionalFormatting xmlns:xm="http://schemas.microsoft.com/office/excel/2006/main">
          <x14:cfRule type="containsText" priority="775" operator="containsText" id="{1625350E-CD59-4E82-BAF1-486B769BDDC3}">
            <xm:f>NOT(ISERROR(SEARCH("-",E93)))</xm:f>
            <xm:f>"-"</xm:f>
            <x14:dxf>
              <fill>
                <patternFill>
                  <bgColor theme="0" tint="-4.9989318521683403E-2"/>
                </patternFill>
              </fill>
            </x14:dxf>
          </x14:cfRule>
          <xm:sqref>E93</xm:sqref>
        </x14:conditionalFormatting>
        <x14:conditionalFormatting xmlns:xm="http://schemas.microsoft.com/office/excel/2006/main">
          <x14:cfRule type="expression" priority="773" id="{30BF7911-0DCC-4D59-8B5B-0551C4B70BB2}">
            <xm:f>G93=Categories!$E$7</xm:f>
            <x14:dxf>
              <font>
                <b/>
                <i val="0"/>
              </font>
            </x14:dxf>
          </x14:cfRule>
          <xm:sqref>J93</xm:sqref>
        </x14:conditionalFormatting>
        <x14:conditionalFormatting xmlns:xm="http://schemas.microsoft.com/office/excel/2006/main">
          <x14:cfRule type="containsText" priority="769" operator="containsText" id="{327D03BE-6A85-40C1-8ADB-01C4C7F1CBEF}">
            <xm:f>NOT(ISERROR(SEARCH("-",E94)))</xm:f>
            <xm:f>"-"</xm:f>
            <x14:dxf>
              <fill>
                <patternFill>
                  <bgColor theme="0" tint="-4.9989318521683403E-2"/>
                </patternFill>
              </fill>
            </x14:dxf>
          </x14:cfRule>
          <xm:sqref>E94</xm:sqref>
        </x14:conditionalFormatting>
        <x14:conditionalFormatting xmlns:xm="http://schemas.microsoft.com/office/excel/2006/main">
          <x14:cfRule type="expression" priority="767" id="{9711090F-FE45-4F2B-BA70-493F283F7FD3}">
            <xm:f>G94=Categories!$E$7</xm:f>
            <x14:dxf>
              <font>
                <b/>
                <i val="0"/>
              </font>
            </x14:dxf>
          </x14:cfRule>
          <xm:sqref>J94</xm:sqref>
        </x14:conditionalFormatting>
        <x14:conditionalFormatting xmlns:xm="http://schemas.microsoft.com/office/excel/2006/main">
          <x14:cfRule type="containsText" priority="763" operator="containsText" id="{886F01C6-AFD5-4A3C-8ED3-472EA80418B6}">
            <xm:f>NOT(ISERROR(SEARCH("-",E96)))</xm:f>
            <xm:f>"-"</xm:f>
            <x14:dxf>
              <fill>
                <patternFill>
                  <bgColor theme="0" tint="-4.9989318521683403E-2"/>
                </patternFill>
              </fill>
            </x14:dxf>
          </x14:cfRule>
          <xm:sqref>E96</xm:sqref>
        </x14:conditionalFormatting>
        <x14:conditionalFormatting xmlns:xm="http://schemas.microsoft.com/office/excel/2006/main">
          <x14:cfRule type="expression" priority="761" id="{6E67B10F-5E80-4A13-BEEF-1CC20F4C8D08}">
            <xm:f>G96=Categories!$E$7</xm:f>
            <x14:dxf>
              <font>
                <b/>
                <i val="0"/>
              </font>
            </x14:dxf>
          </x14:cfRule>
          <xm:sqref>J96</xm:sqref>
        </x14:conditionalFormatting>
        <x14:conditionalFormatting xmlns:xm="http://schemas.microsoft.com/office/excel/2006/main">
          <x14:cfRule type="containsText" priority="757" operator="containsText" id="{A841A6D5-D116-4B11-A816-34671E1C965E}">
            <xm:f>NOT(ISERROR(SEARCH("-",E98)))</xm:f>
            <xm:f>"-"</xm:f>
            <x14:dxf>
              <fill>
                <patternFill>
                  <bgColor theme="0" tint="-4.9989318521683403E-2"/>
                </patternFill>
              </fill>
            </x14:dxf>
          </x14:cfRule>
          <xm:sqref>E98</xm:sqref>
        </x14:conditionalFormatting>
        <x14:conditionalFormatting xmlns:xm="http://schemas.microsoft.com/office/excel/2006/main">
          <x14:cfRule type="expression" priority="755" id="{3D0A0574-04ED-48F3-AB98-44BD15F969AC}">
            <xm:f>G98=Categories!$E$7</xm:f>
            <x14:dxf>
              <font>
                <b/>
                <i val="0"/>
              </font>
            </x14:dxf>
          </x14:cfRule>
          <xm:sqref>J98</xm:sqref>
        </x14:conditionalFormatting>
        <x14:conditionalFormatting xmlns:xm="http://schemas.microsoft.com/office/excel/2006/main">
          <x14:cfRule type="expression" priority="753" id="{3A3F690E-954D-46D8-8578-D83263748EBC}">
            <xm:f>G174=Categories!$E$7</xm:f>
            <x14:dxf>
              <font>
                <b/>
                <i val="0"/>
              </font>
            </x14:dxf>
          </x14:cfRule>
          <xm:sqref>J174</xm:sqref>
        </x14:conditionalFormatting>
        <x14:conditionalFormatting xmlns:xm="http://schemas.microsoft.com/office/excel/2006/main">
          <x14:cfRule type="containsText" priority="750" operator="containsText" id="{1348026C-623B-4AF8-B7B7-1DF8BBD8429B}">
            <xm:f>NOT(ISERROR(SEARCH("-",E174)))</xm:f>
            <xm:f>"-"</xm:f>
            <x14:dxf>
              <fill>
                <patternFill>
                  <bgColor theme="0" tint="-4.9989318521683403E-2"/>
                </patternFill>
              </fill>
            </x14:dxf>
          </x14:cfRule>
          <xm:sqref>E174</xm:sqref>
        </x14:conditionalFormatting>
        <x14:conditionalFormatting xmlns:xm="http://schemas.microsoft.com/office/excel/2006/main">
          <x14:cfRule type="containsText" priority="745" operator="containsText" id="{A523D16A-2D90-4EA0-9E41-4E34F99198EA}">
            <xm:f>NOT(ISERROR(SEARCH("-",E175)))</xm:f>
            <xm:f>"-"</xm:f>
            <x14:dxf>
              <fill>
                <patternFill>
                  <bgColor theme="0" tint="-4.9989318521683403E-2"/>
                </patternFill>
              </fill>
            </x14:dxf>
          </x14:cfRule>
          <xm:sqref>E175</xm:sqref>
        </x14:conditionalFormatting>
        <x14:conditionalFormatting xmlns:xm="http://schemas.microsoft.com/office/excel/2006/main">
          <x14:cfRule type="expression" priority="742" id="{69B89F9F-EEC5-4B56-9A54-EB5E4982AEEC}">
            <xm:f>G176=Categories!$E$7</xm:f>
            <x14:dxf>
              <font>
                <b/>
                <i val="0"/>
              </font>
            </x14:dxf>
          </x14:cfRule>
          <xm:sqref>J176</xm:sqref>
        </x14:conditionalFormatting>
        <x14:conditionalFormatting xmlns:xm="http://schemas.microsoft.com/office/excel/2006/main">
          <x14:cfRule type="expression" priority="741" id="{0B732B9C-FE07-4801-8F53-B24FCAE98315}">
            <xm:f>G175=Categories!$E$7</xm:f>
            <x14:dxf>
              <font>
                <b/>
                <i val="0"/>
              </font>
            </x14:dxf>
          </x14:cfRule>
          <xm:sqref>J175</xm:sqref>
        </x14:conditionalFormatting>
        <x14:conditionalFormatting xmlns:xm="http://schemas.microsoft.com/office/excel/2006/main">
          <x14:cfRule type="expression" priority="740" id="{99A68CB1-62D0-49A1-A8C9-BF1D189B4FFE}">
            <xm:f>G177=Categories!$E$7</xm:f>
            <x14:dxf>
              <font>
                <b/>
                <i val="0"/>
              </font>
            </x14:dxf>
          </x14:cfRule>
          <xm:sqref>J177:J181</xm:sqref>
        </x14:conditionalFormatting>
        <x14:conditionalFormatting xmlns:xm="http://schemas.microsoft.com/office/excel/2006/main">
          <x14:cfRule type="containsText" priority="732" operator="containsText" id="{CD37DEBC-768F-49FC-A07D-DB6F256125DD}">
            <xm:f>NOT(ISERROR(SEARCH("-",E184)))</xm:f>
            <xm:f>"-"</xm:f>
            <x14:dxf>
              <fill>
                <patternFill>
                  <bgColor theme="0" tint="-4.9989318521683403E-2"/>
                </patternFill>
              </fill>
            </x14:dxf>
          </x14:cfRule>
          <xm:sqref>E184</xm:sqref>
        </x14:conditionalFormatting>
        <x14:conditionalFormatting xmlns:xm="http://schemas.microsoft.com/office/excel/2006/main">
          <x14:cfRule type="containsText" priority="723" operator="containsText" id="{30783112-A73E-4CA1-AC64-71612FEB32FE}">
            <xm:f>NOT(ISERROR(SEARCH("-",E185)))</xm:f>
            <xm:f>"-"</xm:f>
            <x14:dxf>
              <fill>
                <patternFill>
                  <bgColor theme="0" tint="-4.9989318521683403E-2"/>
                </patternFill>
              </fill>
            </x14:dxf>
          </x14:cfRule>
          <xm:sqref>E185</xm:sqref>
        </x14:conditionalFormatting>
        <x14:conditionalFormatting xmlns:xm="http://schemas.microsoft.com/office/excel/2006/main">
          <x14:cfRule type="expression" priority="720" id="{77B3B43B-BD75-4343-8435-52CF5B820C6C}">
            <xm:f>G184=Categories!$E$7</xm:f>
            <x14:dxf>
              <font>
                <b/>
                <i val="0"/>
              </font>
            </x14:dxf>
          </x14:cfRule>
          <xm:sqref>J184:J186</xm:sqref>
        </x14:conditionalFormatting>
        <x14:conditionalFormatting xmlns:xm="http://schemas.microsoft.com/office/excel/2006/main">
          <x14:cfRule type="expression" priority="719" id="{208CA26F-1814-4477-8302-D7B833EE07AB}">
            <xm:f>G187=Categories!$E$7</xm:f>
            <x14:dxf>
              <font>
                <b/>
                <i val="0"/>
              </font>
            </x14:dxf>
          </x14:cfRule>
          <xm:sqref>J187:J192</xm:sqref>
        </x14:conditionalFormatting>
        <x14:conditionalFormatting xmlns:xm="http://schemas.microsoft.com/office/excel/2006/main">
          <x14:cfRule type="containsText" priority="716" operator="containsText" id="{3DA4BF0E-CE0B-42F7-8BF8-E41CC873A646}">
            <xm:f>NOT(ISERROR(SEARCH("-",E192)))</xm:f>
            <xm:f>"-"</xm:f>
            <x14:dxf>
              <fill>
                <patternFill>
                  <bgColor theme="0" tint="-4.9989318521683403E-2"/>
                </patternFill>
              </fill>
            </x14:dxf>
          </x14:cfRule>
          <xm:sqref>E192</xm:sqref>
        </x14:conditionalFormatting>
        <x14:conditionalFormatting xmlns:xm="http://schemas.microsoft.com/office/excel/2006/main">
          <x14:cfRule type="containsText" priority="711" operator="containsText" id="{9A207BC2-968B-4495-B9DE-FA4B91D2C732}">
            <xm:f>NOT(ISERROR(SEARCH("-",E193)))</xm:f>
            <xm:f>"-"</xm:f>
            <x14:dxf>
              <fill>
                <patternFill>
                  <bgColor theme="0" tint="-4.9989318521683403E-2"/>
                </patternFill>
              </fill>
            </x14:dxf>
          </x14:cfRule>
          <xm:sqref>E193</xm:sqref>
        </x14:conditionalFormatting>
        <x14:conditionalFormatting xmlns:xm="http://schemas.microsoft.com/office/excel/2006/main">
          <x14:cfRule type="expression" priority="708" id="{135C1E64-A4B1-4A76-85FC-6B05DB473833}">
            <xm:f>G194=Categories!$E$7</xm:f>
            <x14:dxf>
              <font>
                <b/>
                <i val="0"/>
              </font>
            </x14:dxf>
          </x14:cfRule>
          <xm:sqref>J194</xm:sqref>
        </x14:conditionalFormatting>
        <x14:conditionalFormatting xmlns:xm="http://schemas.microsoft.com/office/excel/2006/main">
          <x14:cfRule type="expression" priority="707" id="{52CE9F60-9282-4175-9EEF-AAF75EA0B1E0}">
            <xm:f>G193=Categories!$E$7</xm:f>
            <x14:dxf>
              <font>
                <b/>
                <i val="0"/>
              </font>
            </x14:dxf>
          </x14:cfRule>
          <xm:sqref>J193</xm:sqref>
        </x14:conditionalFormatting>
        <x14:conditionalFormatting xmlns:xm="http://schemas.microsoft.com/office/excel/2006/main">
          <x14:cfRule type="expression" priority="706" id="{004DBA39-FE7F-46EE-9EA1-677388F08406}">
            <xm:f>G195=Categories!$E$7</xm:f>
            <x14:dxf>
              <font>
                <b/>
                <i val="0"/>
              </font>
            </x14:dxf>
          </x14:cfRule>
          <xm:sqref>J195:J199</xm:sqref>
        </x14:conditionalFormatting>
        <x14:conditionalFormatting xmlns:xm="http://schemas.microsoft.com/office/excel/2006/main">
          <x14:cfRule type="expression" priority="694" id="{3B264F62-85E1-420E-87CF-6872F7601075}">
            <xm:f>G200=Categories!$E$7</xm:f>
            <x14:dxf>
              <font>
                <b/>
                <i val="0"/>
              </font>
            </x14:dxf>
          </x14:cfRule>
          <xm:sqref>J200</xm:sqref>
        </x14:conditionalFormatting>
        <x14:conditionalFormatting xmlns:xm="http://schemas.microsoft.com/office/excel/2006/main">
          <x14:cfRule type="containsText" priority="691" operator="containsText" id="{D9BFC4C3-C05E-4B38-853B-21744F254799}">
            <xm:f>NOT(ISERROR(SEARCH("-",E200)))</xm:f>
            <xm:f>"-"</xm:f>
            <x14:dxf>
              <fill>
                <patternFill>
                  <bgColor theme="0" tint="-4.9989318521683403E-2"/>
                </patternFill>
              </fill>
            </x14:dxf>
          </x14:cfRule>
          <xm:sqref>E200</xm:sqref>
        </x14:conditionalFormatting>
        <x14:conditionalFormatting xmlns:xm="http://schemas.microsoft.com/office/excel/2006/main">
          <x14:cfRule type="containsText" priority="686" operator="containsText" id="{20C2CA9B-8BBE-4E37-A6D2-923DB58D5434}">
            <xm:f>NOT(ISERROR(SEARCH("-",E201)))</xm:f>
            <xm:f>"-"</xm:f>
            <x14:dxf>
              <fill>
                <patternFill>
                  <bgColor theme="0" tint="-4.9989318521683403E-2"/>
                </patternFill>
              </fill>
            </x14:dxf>
          </x14:cfRule>
          <xm:sqref>E201</xm:sqref>
        </x14:conditionalFormatting>
        <x14:conditionalFormatting xmlns:xm="http://schemas.microsoft.com/office/excel/2006/main">
          <x14:cfRule type="expression" priority="683" id="{61B907B6-8383-4378-B925-EF6D98661D3E}">
            <xm:f>G202=Categories!$E$7</xm:f>
            <x14:dxf>
              <font>
                <b/>
                <i val="0"/>
              </font>
            </x14:dxf>
          </x14:cfRule>
          <xm:sqref>J202</xm:sqref>
        </x14:conditionalFormatting>
        <x14:conditionalFormatting xmlns:xm="http://schemas.microsoft.com/office/excel/2006/main">
          <x14:cfRule type="expression" priority="682" id="{208FCA81-B627-42E5-8802-AB91E017280E}">
            <xm:f>G201=Categories!$E$7</xm:f>
            <x14:dxf>
              <font>
                <b/>
                <i val="0"/>
              </font>
            </x14:dxf>
          </x14:cfRule>
          <xm:sqref>J201</xm:sqref>
        </x14:conditionalFormatting>
        <x14:conditionalFormatting xmlns:xm="http://schemas.microsoft.com/office/excel/2006/main">
          <x14:cfRule type="expression" priority="681" id="{5050FC78-D21E-4981-85BF-C2FDD0581BB1}">
            <xm:f>G203=Categories!$E$7</xm:f>
            <x14:dxf>
              <font>
                <b/>
                <i val="0"/>
              </font>
            </x14:dxf>
          </x14:cfRule>
          <xm:sqref>J203:J207</xm:sqref>
        </x14:conditionalFormatting>
        <x14:conditionalFormatting xmlns:xm="http://schemas.microsoft.com/office/excel/2006/main">
          <x14:cfRule type="expression" priority="675" id="{A7F4D635-DB5C-4427-AE22-BA56BEDDD7F6}">
            <xm:f>G208=Categories!$E$7</xm:f>
            <x14:dxf>
              <font>
                <b/>
                <i val="0"/>
              </font>
            </x14:dxf>
          </x14:cfRule>
          <xm:sqref>J208</xm:sqref>
        </x14:conditionalFormatting>
        <x14:conditionalFormatting xmlns:xm="http://schemas.microsoft.com/office/excel/2006/main">
          <x14:cfRule type="containsText" priority="672" operator="containsText" id="{D21B4F77-E43E-4852-9CC3-6801B3EB271E}">
            <xm:f>NOT(ISERROR(SEARCH("-",E208)))</xm:f>
            <xm:f>"-"</xm:f>
            <x14:dxf>
              <fill>
                <patternFill>
                  <bgColor theme="0" tint="-4.9989318521683403E-2"/>
                </patternFill>
              </fill>
            </x14:dxf>
          </x14:cfRule>
          <xm:sqref>E208</xm:sqref>
        </x14:conditionalFormatting>
        <x14:conditionalFormatting xmlns:xm="http://schemas.microsoft.com/office/excel/2006/main">
          <x14:cfRule type="containsText" priority="667" operator="containsText" id="{A012BF5F-525E-4F18-9358-873D9987EB42}">
            <xm:f>NOT(ISERROR(SEARCH("-",E209)))</xm:f>
            <xm:f>"-"</xm:f>
            <x14:dxf>
              <fill>
                <patternFill>
                  <bgColor theme="0" tint="-4.9989318521683403E-2"/>
                </patternFill>
              </fill>
            </x14:dxf>
          </x14:cfRule>
          <xm:sqref>E209</xm:sqref>
        </x14:conditionalFormatting>
        <x14:conditionalFormatting xmlns:xm="http://schemas.microsoft.com/office/excel/2006/main">
          <x14:cfRule type="expression" priority="664" id="{450897D3-F3D4-44CD-82D7-036F5636F134}">
            <xm:f>G210=Categories!$E$7</xm:f>
            <x14:dxf>
              <font>
                <b/>
                <i val="0"/>
              </font>
            </x14:dxf>
          </x14:cfRule>
          <xm:sqref>J210</xm:sqref>
        </x14:conditionalFormatting>
        <x14:conditionalFormatting xmlns:xm="http://schemas.microsoft.com/office/excel/2006/main">
          <x14:cfRule type="expression" priority="663" id="{AB883E64-3A5E-4219-B6BA-2DFC748CAA9C}">
            <xm:f>G209=Categories!$E$7</xm:f>
            <x14:dxf>
              <font>
                <b/>
                <i val="0"/>
              </font>
            </x14:dxf>
          </x14:cfRule>
          <xm:sqref>J209</xm:sqref>
        </x14:conditionalFormatting>
        <x14:conditionalFormatting xmlns:xm="http://schemas.microsoft.com/office/excel/2006/main">
          <x14:cfRule type="expression" priority="662" id="{4CCDE968-4A54-4B81-93E9-8CDB00FADC8E}">
            <xm:f>G211=Categories!$E$7</xm:f>
            <x14:dxf>
              <font>
                <b/>
                <i val="0"/>
              </font>
            </x14:dxf>
          </x14:cfRule>
          <xm:sqref>J211:J215</xm:sqref>
        </x14:conditionalFormatting>
        <x14:conditionalFormatting xmlns:xm="http://schemas.microsoft.com/office/excel/2006/main">
          <x14:cfRule type="containsText" priority="654" operator="containsText" id="{A9092B95-706F-430F-A844-470E72C4AE7C}">
            <xm:f>NOT(ISERROR(SEARCH("-",E183)))</xm:f>
            <xm:f>"-"</xm:f>
            <x14:dxf>
              <fill>
                <patternFill>
                  <bgColor theme="0" tint="-4.9989318521683403E-2"/>
                </patternFill>
              </fill>
            </x14:dxf>
          </x14:cfRule>
          <xm:sqref>E183</xm:sqref>
        </x14:conditionalFormatting>
        <x14:conditionalFormatting xmlns:xm="http://schemas.microsoft.com/office/excel/2006/main">
          <x14:cfRule type="expression" priority="652" id="{00F2A98A-58AB-402B-9652-71B34CCB636B}">
            <xm:f>G183=Categories!$E$7</xm:f>
            <x14:dxf>
              <font>
                <b/>
                <i val="0"/>
              </font>
            </x14:dxf>
          </x14:cfRule>
          <xm:sqref>J183</xm:sqref>
        </x14:conditionalFormatting>
        <x14:conditionalFormatting xmlns:xm="http://schemas.microsoft.com/office/excel/2006/main">
          <x14:cfRule type="expression" priority="650" id="{A9850F29-A827-43E9-A3A2-2A2FD7D6958F}">
            <xm:f>G184=Categories!$E$11</xm:f>
            <x14:dxf>
              <font>
                <b/>
                <i val="0"/>
              </font>
            </x14:dxf>
          </x14:cfRule>
          <xm:sqref>M184 M251:M257</xm:sqref>
        </x14:conditionalFormatting>
        <x14:conditionalFormatting xmlns:xm="http://schemas.microsoft.com/office/excel/2006/main">
          <x14:cfRule type="expression" priority="649" id="{1A9B58E8-B2F0-4FA6-A903-EFC467FD2685}">
            <xm:f>G4=Categories!$E$11</xm:f>
            <x14:dxf>
              <font>
                <b/>
                <i val="0"/>
              </font>
            </x14:dxf>
          </x14:cfRule>
          <xm:sqref>M4:M99 M151:M183</xm:sqref>
        </x14:conditionalFormatting>
        <x14:conditionalFormatting xmlns:xm="http://schemas.microsoft.com/office/excel/2006/main">
          <x14:cfRule type="expression" priority="648" id="{41815DDC-F66F-43D0-9176-F37AFB302AEA}">
            <xm:f>G185=Categories!$E$11</xm:f>
            <x14:dxf>
              <font>
                <b/>
                <i val="0"/>
              </font>
            </x14:dxf>
          </x14:cfRule>
          <xm:sqref>M185:M213</xm:sqref>
        </x14:conditionalFormatting>
        <x14:conditionalFormatting xmlns:xm="http://schemas.microsoft.com/office/excel/2006/main">
          <x14:cfRule type="expression" priority="647" id="{8879DCA1-5057-4EF3-A47F-E81C40A6D98E}">
            <xm:f>G214=Categories!$E$11</xm:f>
            <x14:dxf>
              <font>
                <b/>
                <i val="0"/>
              </font>
            </x14:dxf>
          </x14:cfRule>
          <xm:sqref>M214:M215 M270</xm:sqref>
        </x14:conditionalFormatting>
        <x14:conditionalFormatting xmlns:xm="http://schemas.microsoft.com/office/excel/2006/main">
          <x14:cfRule type="notContainsText" priority="646" operator="notContains" id="{F37CDFD8-E384-4FD1-BCA6-9A53B82912CA}">
            <xm:f>ISERROR(SEARCH("-",K184))</xm:f>
            <xm:f>"-"</xm:f>
            <x14:dxf>
              <fill>
                <patternFill>
                  <bgColor theme="0" tint="-4.9989318521683403E-2"/>
                </patternFill>
              </fill>
            </x14:dxf>
          </x14:cfRule>
          <xm:sqref>K184:L185 K251:L257</xm:sqref>
        </x14:conditionalFormatting>
        <x14:conditionalFormatting xmlns:xm="http://schemas.microsoft.com/office/excel/2006/main">
          <x14:cfRule type="notContainsText" priority="645" operator="notContains" id="{D1A139D2-900B-443B-9184-1518E9917013}">
            <xm:f>ISERROR(SEARCH("-",K186))</xm:f>
            <xm:f>"-"</xm:f>
            <x14:dxf>
              <fill>
                <patternFill>
                  <bgColor theme="0" tint="-4.9989318521683403E-2"/>
                </patternFill>
              </fill>
            </x14:dxf>
          </x14:cfRule>
          <xm:sqref>K186:L187</xm:sqref>
        </x14:conditionalFormatting>
        <x14:conditionalFormatting xmlns:xm="http://schemas.microsoft.com/office/excel/2006/main">
          <x14:cfRule type="notContainsText" priority="644" operator="notContains" id="{3B01B099-5019-4F1A-80F8-FEDB5DD8D1B7}">
            <xm:f>ISERROR(SEARCH("-",K4))</xm:f>
            <xm:f>"-"</xm:f>
            <x14:dxf>
              <fill>
                <patternFill>
                  <bgColor theme="0" tint="-4.9989318521683403E-2"/>
                </patternFill>
              </fill>
            </x14:dxf>
          </x14:cfRule>
          <xm:sqref>K4:L99 K151:L183</xm:sqref>
        </x14:conditionalFormatting>
        <x14:conditionalFormatting xmlns:xm="http://schemas.microsoft.com/office/excel/2006/main">
          <x14:cfRule type="notContainsText" priority="643" operator="notContains" id="{060B3F3D-1845-46FD-9937-39A5F145DA37}">
            <xm:f>ISERROR(SEARCH("-",K188))</xm:f>
            <xm:f>"-"</xm:f>
            <x14:dxf>
              <fill>
                <patternFill>
                  <bgColor theme="0" tint="-4.9989318521683403E-2"/>
                </patternFill>
              </fill>
            </x14:dxf>
          </x14:cfRule>
          <xm:sqref>K188:L215 K270:L270</xm:sqref>
        </x14:conditionalFormatting>
        <x14:conditionalFormatting xmlns:xm="http://schemas.microsoft.com/office/excel/2006/main">
          <x14:cfRule type="expression" priority="631" id="{1BE7A09D-5AB4-49B4-8713-3D1F4C876D89}">
            <xm:f>G257=Categories!$E$7</xm:f>
            <x14:dxf>
              <font>
                <b/>
                <i val="0"/>
              </font>
            </x14:dxf>
          </x14:cfRule>
          <xm:sqref>J257</xm:sqref>
        </x14:conditionalFormatting>
        <x14:conditionalFormatting xmlns:xm="http://schemas.microsoft.com/office/excel/2006/main">
          <x14:cfRule type="expression" priority="625" id="{EEB89346-02DE-427D-A685-642CF6CB052F}">
            <xm:f>G255=Categories!$E$7</xm:f>
            <x14:dxf>
              <font>
                <b/>
                <i val="0"/>
              </font>
            </x14:dxf>
          </x14:cfRule>
          <xm:sqref>J255</xm:sqref>
        </x14:conditionalFormatting>
        <x14:conditionalFormatting xmlns:xm="http://schemas.microsoft.com/office/excel/2006/main">
          <x14:cfRule type="expression" priority="619" id="{71DC4C86-634D-4C87-B044-D7A9E4EA2BD2}">
            <xm:f>G253=Categories!$E$7</xm:f>
            <x14:dxf>
              <font>
                <b/>
                <i val="0"/>
              </font>
            </x14:dxf>
          </x14:cfRule>
          <xm:sqref>J253</xm:sqref>
        </x14:conditionalFormatting>
        <x14:conditionalFormatting xmlns:xm="http://schemas.microsoft.com/office/excel/2006/main">
          <x14:cfRule type="containsText" priority="615" operator="containsText" id="{ED564451-0176-4248-A956-7F2E919DC838}">
            <xm:f>NOT(ISERROR(SEARCH("-",E251)))</xm:f>
            <xm:f>"-"</xm:f>
            <x14:dxf>
              <fill>
                <patternFill>
                  <bgColor theme="0" tint="-4.9989318521683403E-2"/>
                </patternFill>
              </fill>
            </x14:dxf>
          </x14:cfRule>
          <xm:sqref>E251</xm:sqref>
        </x14:conditionalFormatting>
        <x14:conditionalFormatting xmlns:xm="http://schemas.microsoft.com/office/excel/2006/main">
          <x14:cfRule type="expression" priority="613" id="{DBAD27B3-02DA-4191-A0F1-EB6C059C7981}">
            <xm:f>G251=Categories!$E$7</xm:f>
            <x14:dxf>
              <font>
                <b/>
                <i val="0"/>
              </font>
            </x14:dxf>
          </x14:cfRule>
          <xm:sqref>J251</xm:sqref>
        </x14:conditionalFormatting>
        <x14:conditionalFormatting xmlns:xm="http://schemas.microsoft.com/office/excel/2006/main">
          <x14:cfRule type="expression" priority="607" id="{183D966D-075A-46BB-8404-8124EEAFEA03}">
            <xm:f>G252=Categories!$E$7</xm:f>
            <x14:dxf>
              <font>
                <b/>
                <i val="0"/>
              </font>
            </x14:dxf>
          </x14:cfRule>
          <xm:sqref>J252</xm:sqref>
        </x14:conditionalFormatting>
        <x14:conditionalFormatting xmlns:xm="http://schemas.microsoft.com/office/excel/2006/main">
          <x14:cfRule type="expression" priority="601" id="{6FBB0EF9-392C-44DF-AC25-5F65E8FD0D59}">
            <xm:f>G254=Categories!$E$7</xm:f>
            <x14:dxf>
              <font>
                <b/>
                <i val="0"/>
              </font>
            </x14:dxf>
          </x14:cfRule>
          <xm:sqref>J254</xm:sqref>
        </x14:conditionalFormatting>
        <x14:conditionalFormatting xmlns:xm="http://schemas.microsoft.com/office/excel/2006/main">
          <x14:cfRule type="expression" priority="595" id="{5E0BD41B-FDCA-4D14-935E-069B5B9250E8}">
            <xm:f>G256=Categories!$E$7</xm:f>
            <x14:dxf>
              <font>
                <b/>
                <i val="0"/>
              </font>
            </x14:dxf>
          </x14:cfRule>
          <xm:sqref>J256</xm:sqref>
        </x14:conditionalFormatting>
        <x14:conditionalFormatting xmlns:xm="http://schemas.microsoft.com/office/excel/2006/main">
          <x14:cfRule type="expression" priority="587" id="{76588326-1ABB-4FDF-A1BC-CC9CF8B2CFF5}">
            <xm:f>G269=Categories!$E$7</xm:f>
            <x14:dxf>
              <font>
                <b/>
                <i val="0"/>
              </font>
            </x14:dxf>
          </x14:cfRule>
          <xm:sqref>J269</xm:sqref>
        </x14:conditionalFormatting>
        <x14:conditionalFormatting xmlns:xm="http://schemas.microsoft.com/office/excel/2006/main">
          <x14:cfRule type="expression" priority="581" id="{319B59F0-35B3-446B-95B6-7A9720BFB8C6}">
            <xm:f>G263=Categories!$E$7</xm:f>
            <x14:dxf>
              <font>
                <b/>
                <i val="0"/>
              </font>
            </x14:dxf>
          </x14:cfRule>
          <xm:sqref>J263</xm:sqref>
        </x14:conditionalFormatting>
        <x14:conditionalFormatting xmlns:xm="http://schemas.microsoft.com/office/excel/2006/main">
          <x14:cfRule type="expression" priority="575" id="{97093B4F-BEF7-40ED-B94D-E0ABD5F157BA}">
            <xm:f>G261=Categories!$E$7</xm:f>
            <x14:dxf>
              <font>
                <b/>
                <i val="0"/>
              </font>
            </x14:dxf>
          </x14:cfRule>
          <xm:sqref>J261</xm:sqref>
        </x14:conditionalFormatting>
        <x14:conditionalFormatting xmlns:xm="http://schemas.microsoft.com/office/excel/2006/main">
          <x14:cfRule type="expression" priority="569" id="{00F28AC0-D266-41E2-859F-0489D8178C9D}">
            <xm:f>G259=Categories!$E$7</xm:f>
            <x14:dxf>
              <font>
                <b/>
                <i val="0"/>
              </font>
            </x14:dxf>
          </x14:cfRule>
          <xm:sqref>J259</xm:sqref>
        </x14:conditionalFormatting>
        <x14:conditionalFormatting xmlns:xm="http://schemas.microsoft.com/office/excel/2006/main">
          <x14:cfRule type="containsText" priority="565" operator="containsText" id="{2D9542E3-A956-4E5A-AA65-02B0AF286708}">
            <xm:f>NOT(ISERROR(SEARCH("-",E260)))</xm:f>
            <xm:f>"-"</xm:f>
            <x14:dxf>
              <fill>
                <patternFill>
                  <bgColor theme="0" tint="-4.9989318521683403E-2"/>
                </patternFill>
              </fill>
            </x14:dxf>
          </x14:cfRule>
          <xm:sqref>E260</xm:sqref>
        </x14:conditionalFormatting>
        <x14:conditionalFormatting xmlns:xm="http://schemas.microsoft.com/office/excel/2006/main">
          <x14:cfRule type="expression" priority="563" id="{B42D148E-142F-493F-9522-C0DE0F2BEB20}">
            <xm:f>G260=Categories!$E$7</xm:f>
            <x14:dxf>
              <font>
                <b/>
                <i val="0"/>
              </font>
            </x14:dxf>
          </x14:cfRule>
          <xm:sqref>J260</xm:sqref>
        </x14:conditionalFormatting>
        <x14:conditionalFormatting xmlns:xm="http://schemas.microsoft.com/office/excel/2006/main">
          <x14:cfRule type="expression" priority="557" id="{5EA0B276-7919-4A80-9771-FFB0CFC6A399}">
            <xm:f>G262=Categories!$E$7</xm:f>
            <x14:dxf>
              <font>
                <b/>
                <i val="0"/>
              </font>
            </x14:dxf>
          </x14:cfRule>
          <xm:sqref>J262</xm:sqref>
        </x14:conditionalFormatting>
        <x14:conditionalFormatting xmlns:xm="http://schemas.microsoft.com/office/excel/2006/main">
          <x14:cfRule type="expression" priority="551" id="{F223B964-83EE-49D4-ABB4-06C9953D1C57}">
            <xm:f>G268=Categories!$E$7</xm:f>
            <x14:dxf>
              <font>
                <b/>
                <i val="0"/>
              </font>
            </x14:dxf>
          </x14:cfRule>
          <xm:sqref>J268</xm:sqref>
        </x14:conditionalFormatting>
        <x14:conditionalFormatting xmlns:xm="http://schemas.microsoft.com/office/excel/2006/main">
          <x14:cfRule type="expression" priority="550" id="{4A8D5D05-D47F-48E7-B621-C388040B4AE3}">
            <xm:f>G259=Categories!$E$11</xm:f>
            <x14:dxf>
              <font>
                <b/>
                <i val="0"/>
              </font>
            </x14:dxf>
          </x14:cfRule>
          <xm:sqref>M259:M263 M268:M269</xm:sqref>
        </x14:conditionalFormatting>
        <x14:conditionalFormatting xmlns:xm="http://schemas.microsoft.com/office/excel/2006/main">
          <x14:cfRule type="notContainsText" priority="549" operator="notContains" id="{BF97FCFD-A6DD-45E3-9259-AAAA432EB26C}">
            <xm:f>ISERROR(SEARCH("-",K259))</xm:f>
            <xm:f>"-"</xm:f>
            <x14:dxf>
              <fill>
                <patternFill>
                  <bgColor theme="0" tint="-4.9989318521683403E-2"/>
                </patternFill>
              </fill>
            </x14:dxf>
          </x14:cfRule>
          <xm:sqref>K259:L263 K268:L269</xm:sqref>
        </x14:conditionalFormatting>
        <x14:conditionalFormatting xmlns:xm="http://schemas.microsoft.com/office/excel/2006/main">
          <x14:cfRule type="expression" priority="543" id="{EB41A7EA-4E5C-4DBA-AF72-772625FEA883}">
            <xm:f>G258=Categories!$E$7</xm:f>
            <x14:dxf>
              <font>
                <b/>
                <i val="0"/>
              </font>
            </x14:dxf>
          </x14:cfRule>
          <xm:sqref>J258</xm:sqref>
        </x14:conditionalFormatting>
        <x14:conditionalFormatting xmlns:xm="http://schemas.microsoft.com/office/excel/2006/main">
          <x14:cfRule type="expression" priority="542" id="{10FA903F-4700-498A-951F-1331EFACB768}">
            <xm:f>G258=Categories!$E$11</xm:f>
            <x14:dxf>
              <font>
                <b/>
                <i val="0"/>
              </font>
            </x14:dxf>
          </x14:cfRule>
          <xm:sqref>M258</xm:sqref>
        </x14:conditionalFormatting>
        <x14:conditionalFormatting xmlns:xm="http://schemas.microsoft.com/office/excel/2006/main">
          <x14:cfRule type="notContainsText" priority="541" operator="notContains" id="{89AD9DAE-3F50-4ADA-9BDD-11E6B407D330}">
            <xm:f>ISERROR(SEARCH("-",K258))</xm:f>
            <xm:f>"-"</xm:f>
            <x14:dxf>
              <fill>
                <patternFill>
                  <bgColor theme="0" tint="-4.9989318521683403E-2"/>
                </patternFill>
              </fill>
            </x14:dxf>
          </x14:cfRule>
          <xm:sqref>K258:L258</xm:sqref>
        </x14:conditionalFormatting>
        <x14:conditionalFormatting xmlns:xm="http://schemas.microsoft.com/office/excel/2006/main">
          <x14:cfRule type="expression" priority="535" id="{FEDDC8D6-ACCA-4873-9AB4-0631A5F179F6}">
            <xm:f>G265=Categories!$E$7</xm:f>
            <x14:dxf>
              <font>
                <b/>
                <i val="0"/>
              </font>
            </x14:dxf>
          </x14:cfRule>
          <xm:sqref>J265</xm:sqref>
        </x14:conditionalFormatting>
        <x14:conditionalFormatting xmlns:xm="http://schemas.microsoft.com/office/excel/2006/main">
          <x14:cfRule type="expression" priority="529" id="{0B1083E2-39E4-4F99-BF1C-9AF373462231}">
            <xm:f>G264=Categories!$E$7</xm:f>
            <x14:dxf>
              <font>
                <b/>
                <i val="0"/>
              </font>
            </x14:dxf>
          </x14:cfRule>
          <xm:sqref>J264</xm:sqref>
        </x14:conditionalFormatting>
        <x14:conditionalFormatting xmlns:xm="http://schemas.microsoft.com/office/excel/2006/main">
          <x14:cfRule type="expression" priority="528" id="{8EC06C0F-C549-48AD-985A-C6F698319E50}">
            <xm:f>G264=Categories!$E$11</xm:f>
            <x14:dxf>
              <font>
                <b/>
                <i val="0"/>
              </font>
            </x14:dxf>
          </x14:cfRule>
          <xm:sqref>M264:M265</xm:sqref>
        </x14:conditionalFormatting>
        <x14:conditionalFormatting xmlns:xm="http://schemas.microsoft.com/office/excel/2006/main">
          <x14:cfRule type="notContainsText" priority="527" operator="notContains" id="{A70823AC-5141-4373-B563-79F363016D0C}">
            <xm:f>ISERROR(SEARCH("-",K264))</xm:f>
            <xm:f>"-"</xm:f>
            <x14:dxf>
              <fill>
                <patternFill>
                  <bgColor theme="0" tint="-4.9989318521683403E-2"/>
                </patternFill>
              </fill>
            </x14:dxf>
          </x14:cfRule>
          <xm:sqref>K264:L265</xm:sqref>
        </x14:conditionalFormatting>
        <x14:conditionalFormatting xmlns:xm="http://schemas.microsoft.com/office/excel/2006/main">
          <x14:cfRule type="expression" priority="521" id="{46CCB02F-A21F-4FB6-9904-5CB982010C99}">
            <xm:f>G267=Categories!$E$7</xm:f>
            <x14:dxf>
              <font>
                <b/>
                <i val="0"/>
              </font>
            </x14:dxf>
          </x14:cfRule>
          <xm:sqref>J267</xm:sqref>
        </x14:conditionalFormatting>
        <x14:conditionalFormatting xmlns:xm="http://schemas.microsoft.com/office/excel/2006/main">
          <x14:cfRule type="containsText" priority="170" operator="containsText" id="{5C3C8124-BFD2-49EC-9AA7-C5FF849BAF61}">
            <xm:f>NOT(ISERROR(SEARCH("-",E102)))</xm:f>
            <xm:f>"-"</xm:f>
            <x14:dxf>
              <fill>
                <patternFill>
                  <bgColor theme="0" tint="-4.9989318521683403E-2"/>
                </patternFill>
              </fill>
            </x14:dxf>
          </x14:cfRule>
          <xm:sqref>E102:E111</xm:sqref>
        </x14:conditionalFormatting>
        <x14:conditionalFormatting xmlns:xm="http://schemas.microsoft.com/office/excel/2006/main">
          <x14:cfRule type="expression" priority="515" id="{C2BF8E7B-CF37-4B86-806B-705D8F72D05F}">
            <xm:f>G266=Categories!$E$7</xm:f>
            <x14:dxf>
              <font>
                <b/>
                <i val="0"/>
              </font>
            </x14:dxf>
          </x14:cfRule>
          <xm:sqref>J266</xm:sqref>
        </x14:conditionalFormatting>
        <x14:conditionalFormatting xmlns:xm="http://schemas.microsoft.com/office/excel/2006/main">
          <x14:cfRule type="expression" priority="514" id="{55C6D8B0-C376-4854-AA18-4619DDF3E224}">
            <xm:f>G266=Categories!$E$11</xm:f>
            <x14:dxf>
              <font>
                <b/>
                <i val="0"/>
              </font>
            </x14:dxf>
          </x14:cfRule>
          <xm:sqref>M266:M267</xm:sqref>
        </x14:conditionalFormatting>
        <x14:conditionalFormatting xmlns:xm="http://schemas.microsoft.com/office/excel/2006/main">
          <x14:cfRule type="notContainsText" priority="513" operator="notContains" id="{A8028447-89FC-49F3-BFB8-155241013A44}">
            <xm:f>ISERROR(SEARCH("-",K266))</xm:f>
            <xm:f>"-"</xm:f>
            <x14:dxf>
              <fill>
                <patternFill>
                  <bgColor theme="0" tint="-4.9989318521683403E-2"/>
                </patternFill>
              </fill>
            </x14:dxf>
          </x14:cfRule>
          <xm:sqref>K266:L267</xm:sqref>
        </x14:conditionalFormatting>
        <x14:conditionalFormatting xmlns:xm="http://schemas.microsoft.com/office/excel/2006/main">
          <x14:cfRule type="containsText" priority="328" operator="containsText" id="{41CC55C1-A14B-474C-9FD2-736F2793A1B1}">
            <xm:f>NOT(ISERROR(SEARCH("-",E101)))</xm:f>
            <xm:f>"-"</xm:f>
            <x14:dxf>
              <fill>
                <patternFill>
                  <bgColor theme="0" tint="-4.9989318521683403E-2"/>
                </patternFill>
              </fill>
            </x14:dxf>
          </x14:cfRule>
          <xm:sqref>E101</xm:sqref>
        </x14:conditionalFormatting>
        <x14:conditionalFormatting xmlns:xm="http://schemas.microsoft.com/office/excel/2006/main">
          <x14:cfRule type="containsText" priority="316" operator="containsText" id="{B524CBE5-AC37-4006-B493-84A77E57D6CA}">
            <xm:f>NOT(ISERROR(SEARCH("-",E113)))</xm:f>
            <xm:f>"-"</xm:f>
            <x14:dxf>
              <fill>
                <patternFill>
                  <bgColor theme="0" tint="-4.9989318521683403E-2"/>
                </patternFill>
              </fill>
            </x14:dxf>
          </x14:cfRule>
          <xm:sqref>E113</xm:sqref>
        </x14:conditionalFormatting>
        <x14:conditionalFormatting xmlns:xm="http://schemas.microsoft.com/office/excel/2006/main">
          <x14:cfRule type="containsText" priority="337" operator="containsText" id="{85CB44C4-1095-4006-93E8-4C1A67619D47}">
            <xm:f>NOT(ISERROR(SEARCH("-",E100)))</xm:f>
            <xm:f>"-"</xm:f>
            <x14:dxf>
              <fill>
                <patternFill>
                  <bgColor theme="0" tint="-4.9989318521683403E-2"/>
                </patternFill>
              </fill>
            </x14:dxf>
          </x14:cfRule>
          <xm:sqref>E100</xm:sqref>
        </x14:conditionalFormatting>
        <x14:conditionalFormatting xmlns:xm="http://schemas.microsoft.com/office/excel/2006/main">
          <x14:cfRule type="expression" priority="325" id="{8104DCEE-C298-4C2D-8FE4-F76BAD5965F9}">
            <xm:f>G100=Categories!$E$7</xm:f>
            <x14:dxf>
              <font>
                <b/>
                <i val="0"/>
              </font>
            </x14:dxf>
          </x14:cfRule>
          <xm:sqref>J100:J102</xm:sqref>
        </x14:conditionalFormatting>
        <x14:conditionalFormatting xmlns:xm="http://schemas.microsoft.com/office/excel/2006/main">
          <x14:cfRule type="expression" priority="324" id="{93A91E2A-3D52-470D-8C3B-DABC35F12A22}">
            <xm:f>G103=Categories!$E$7</xm:f>
            <x14:dxf>
              <font>
                <b/>
                <i val="0"/>
              </font>
            </x14:dxf>
          </x14:cfRule>
          <xm:sqref>J103:J105 J110:J112</xm:sqref>
        </x14:conditionalFormatting>
        <x14:conditionalFormatting xmlns:xm="http://schemas.microsoft.com/office/excel/2006/main">
          <x14:cfRule type="containsText" priority="321" operator="containsText" id="{0DF1B8C6-C8F9-4E59-AEBF-D4C8195A7252}">
            <xm:f>NOT(ISERROR(SEARCH("-",E112)))</xm:f>
            <xm:f>"-"</xm:f>
            <x14:dxf>
              <fill>
                <patternFill>
                  <bgColor theme="0" tint="-4.9989318521683403E-2"/>
                </patternFill>
              </fill>
            </x14:dxf>
          </x14:cfRule>
          <xm:sqref>E112</xm:sqref>
        </x14:conditionalFormatting>
        <x14:conditionalFormatting xmlns:xm="http://schemas.microsoft.com/office/excel/2006/main">
          <x14:cfRule type="expression" priority="313" id="{ACB0D109-D221-404E-8368-749284067EDE}">
            <xm:f>G114=Categories!$E$7</xm:f>
            <x14:dxf>
              <font>
                <b/>
                <i val="0"/>
              </font>
            </x14:dxf>
          </x14:cfRule>
          <xm:sqref>J114</xm:sqref>
        </x14:conditionalFormatting>
        <x14:conditionalFormatting xmlns:xm="http://schemas.microsoft.com/office/excel/2006/main">
          <x14:cfRule type="expression" priority="312" id="{16FA0459-E246-454F-B5C7-E25C04FE3D31}">
            <xm:f>G113=Categories!$E$7</xm:f>
            <x14:dxf>
              <font>
                <b/>
                <i val="0"/>
              </font>
            </x14:dxf>
          </x14:cfRule>
          <xm:sqref>J113</xm:sqref>
        </x14:conditionalFormatting>
        <x14:conditionalFormatting xmlns:xm="http://schemas.microsoft.com/office/excel/2006/main">
          <x14:cfRule type="expression" priority="311" id="{6B4C0858-0561-4C82-8A29-A9476247CF61}">
            <xm:f>G115=Categories!$E$7</xm:f>
            <x14:dxf>
              <font>
                <b/>
                <i val="0"/>
              </font>
            </x14:dxf>
          </x14:cfRule>
          <xm:sqref>J115 J120:J123</xm:sqref>
        </x14:conditionalFormatting>
        <x14:conditionalFormatting xmlns:xm="http://schemas.microsoft.com/office/excel/2006/main">
          <x14:cfRule type="expression" priority="305" id="{545030E7-DBE7-4FE0-BEB8-FD9C05CE0A4D}">
            <xm:f>G124=Categories!$E$7</xm:f>
            <x14:dxf>
              <font>
                <b/>
                <i val="0"/>
              </font>
            </x14:dxf>
          </x14:cfRule>
          <xm:sqref>J124</xm:sqref>
        </x14:conditionalFormatting>
        <x14:conditionalFormatting xmlns:xm="http://schemas.microsoft.com/office/excel/2006/main">
          <x14:cfRule type="containsText" priority="302" operator="containsText" id="{9FF117BF-FE8C-4ABA-8668-E23ED92C83C7}">
            <xm:f>NOT(ISERROR(SEARCH("-",E124)))</xm:f>
            <xm:f>"-"</xm:f>
            <x14:dxf>
              <fill>
                <patternFill>
                  <bgColor theme="0" tint="-4.9989318521683403E-2"/>
                </patternFill>
              </fill>
            </x14:dxf>
          </x14:cfRule>
          <xm:sqref>E124</xm:sqref>
        </x14:conditionalFormatting>
        <x14:conditionalFormatting xmlns:xm="http://schemas.microsoft.com/office/excel/2006/main">
          <x14:cfRule type="containsText" priority="297" operator="containsText" id="{7DD88289-3DAE-42C1-8A47-7C9ABB2487A0}">
            <xm:f>NOT(ISERROR(SEARCH("-",E125)))</xm:f>
            <xm:f>"-"</xm:f>
            <x14:dxf>
              <fill>
                <patternFill>
                  <bgColor theme="0" tint="-4.9989318521683403E-2"/>
                </patternFill>
              </fill>
            </x14:dxf>
          </x14:cfRule>
          <xm:sqref>E125</xm:sqref>
        </x14:conditionalFormatting>
        <x14:conditionalFormatting xmlns:xm="http://schemas.microsoft.com/office/excel/2006/main">
          <x14:cfRule type="expression" priority="294" id="{5DF27CF3-0714-4228-9B3A-61E70EA644B7}">
            <xm:f>G126=Categories!$E$7</xm:f>
            <x14:dxf>
              <font>
                <b/>
                <i val="0"/>
              </font>
            </x14:dxf>
          </x14:cfRule>
          <xm:sqref>J126</xm:sqref>
        </x14:conditionalFormatting>
        <x14:conditionalFormatting xmlns:xm="http://schemas.microsoft.com/office/excel/2006/main">
          <x14:cfRule type="expression" priority="293" id="{3C9084F8-1D6E-4045-8B00-36EFF8DD829F}">
            <xm:f>G125=Categories!$E$7</xm:f>
            <x14:dxf>
              <font>
                <b/>
                <i val="0"/>
              </font>
            </x14:dxf>
          </x14:cfRule>
          <xm:sqref>J125</xm:sqref>
        </x14:conditionalFormatting>
        <x14:conditionalFormatting xmlns:xm="http://schemas.microsoft.com/office/excel/2006/main">
          <x14:cfRule type="expression" priority="292" id="{F185A5BE-FF05-47AD-8048-95703DB80F30}">
            <xm:f>G127=Categories!$E$7</xm:f>
            <x14:dxf>
              <font>
                <b/>
                <i val="0"/>
              </font>
            </x14:dxf>
          </x14:cfRule>
          <xm:sqref>J127 J132:J135</xm:sqref>
        </x14:conditionalFormatting>
        <x14:conditionalFormatting xmlns:xm="http://schemas.microsoft.com/office/excel/2006/main">
          <x14:cfRule type="expression" priority="286" id="{4780A2C3-645F-423F-BC58-C91BD7206D48}">
            <xm:f>G136=Categories!$E$7</xm:f>
            <x14:dxf>
              <font>
                <b/>
                <i val="0"/>
              </font>
            </x14:dxf>
          </x14:cfRule>
          <xm:sqref>J136</xm:sqref>
        </x14:conditionalFormatting>
        <x14:conditionalFormatting xmlns:xm="http://schemas.microsoft.com/office/excel/2006/main">
          <x14:cfRule type="containsText" priority="283" operator="containsText" id="{AAF715DF-3AF1-418A-B00B-16A1CCE76718}">
            <xm:f>NOT(ISERROR(SEARCH("-",E136)))</xm:f>
            <xm:f>"-"</xm:f>
            <x14:dxf>
              <fill>
                <patternFill>
                  <bgColor theme="0" tint="-4.9989318521683403E-2"/>
                </patternFill>
              </fill>
            </x14:dxf>
          </x14:cfRule>
          <xm:sqref>E136</xm:sqref>
        </x14:conditionalFormatting>
        <x14:conditionalFormatting xmlns:xm="http://schemas.microsoft.com/office/excel/2006/main">
          <x14:cfRule type="containsText" priority="278" operator="containsText" id="{9FCC5108-D589-4129-96DF-DE232DC6AC2F}">
            <xm:f>NOT(ISERROR(SEARCH("-",E137)))</xm:f>
            <xm:f>"-"</xm:f>
            <x14:dxf>
              <fill>
                <patternFill>
                  <bgColor theme="0" tint="-4.9989318521683403E-2"/>
                </patternFill>
              </fill>
            </x14:dxf>
          </x14:cfRule>
          <xm:sqref>E137</xm:sqref>
        </x14:conditionalFormatting>
        <x14:conditionalFormatting xmlns:xm="http://schemas.microsoft.com/office/excel/2006/main">
          <x14:cfRule type="expression" priority="275" id="{BEB16842-62C1-424E-AF9D-CBFC0EE5E6AF}">
            <xm:f>G138=Categories!$E$7</xm:f>
            <x14:dxf>
              <font>
                <b/>
                <i val="0"/>
              </font>
            </x14:dxf>
          </x14:cfRule>
          <xm:sqref>J138</xm:sqref>
        </x14:conditionalFormatting>
        <x14:conditionalFormatting xmlns:xm="http://schemas.microsoft.com/office/excel/2006/main">
          <x14:cfRule type="expression" priority="274" id="{F169E485-62DD-4053-9DBC-4FAE934D1764}">
            <xm:f>G137=Categories!$E$7</xm:f>
            <x14:dxf>
              <font>
                <b/>
                <i val="0"/>
              </font>
            </x14:dxf>
          </x14:cfRule>
          <xm:sqref>J137</xm:sqref>
        </x14:conditionalFormatting>
        <x14:conditionalFormatting xmlns:xm="http://schemas.microsoft.com/office/excel/2006/main">
          <x14:cfRule type="expression" priority="273" id="{59E49A70-D271-4A2D-877A-1BF380540484}">
            <xm:f>G139=Categories!$E$7</xm:f>
            <x14:dxf>
              <font>
                <b/>
                <i val="0"/>
              </font>
            </x14:dxf>
          </x14:cfRule>
          <xm:sqref>J139 J144:J147</xm:sqref>
        </x14:conditionalFormatting>
        <x14:conditionalFormatting xmlns:xm="http://schemas.microsoft.com/office/excel/2006/main">
          <x14:cfRule type="expression" priority="268" id="{C441477A-0E4F-4D6A-A9DA-A656DBFEDABD}">
            <xm:f>G100=Categories!$E$11</xm:f>
            <x14:dxf>
              <font>
                <b/>
                <i val="0"/>
              </font>
            </x14:dxf>
          </x14:cfRule>
          <xm:sqref>M100</xm:sqref>
        </x14:conditionalFormatting>
        <x14:conditionalFormatting xmlns:xm="http://schemas.microsoft.com/office/excel/2006/main">
          <x14:cfRule type="notContainsText" priority="267" operator="notContains" id="{E46A8983-2549-4BB5-8CBD-4254DE0B5EAF}">
            <xm:f>ISERROR(SEARCH("-",K100))</xm:f>
            <xm:f>"-"</xm:f>
            <x14:dxf>
              <fill>
                <patternFill>
                  <bgColor theme="0" tint="-4.9989318521683403E-2"/>
                </patternFill>
              </fill>
            </x14:dxf>
          </x14:cfRule>
          <xm:sqref>K100:L101</xm:sqref>
        </x14:conditionalFormatting>
        <x14:conditionalFormatting xmlns:xm="http://schemas.microsoft.com/office/excel/2006/main">
          <x14:cfRule type="notContainsText" priority="266" operator="notContains" id="{7004B56F-438A-4997-9598-22E5487464FD}">
            <xm:f>ISERROR(SEARCH("-",K102))</xm:f>
            <xm:f>"-"</xm:f>
            <x14:dxf>
              <fill>
                <patternFill>
                  <bgColor theme="0" tint="-4.9989318521683403E-2"/>
                </patternFill>
              </fill>
            </x14:dxf>
          </x14:cfRule>
          <xm:sqref>K102:L103</xm:sqref>
        </x14:conditionalFormatting>
        <x14:conditionalFormatting xmlns:xm="http://schemas.microsoft.com/office/excel/2006/main">
          <x14:cfRule type="notContainsText" priority="265" operator="notContains" id="{42535A7E-CB77-4CD9-AEC5-0866B28B8F12}">
            <xm:f>ISERROR(SEARCH("-",K104))</xm:f>
            <xm:f>"-"</xm:f>
            <x14:dxf>
              <fill>
                <patternFill>
                  <bgColor theme="0" tint="-4.9989318521683403E-2"/>
                </patternFill>
              </fill>
            </x14:dxf>
          </x14:cfRule>
          <xm:sqref>K104:L105 K110:L115 K120:L127 K132:L139 K144:L147</xm:sqref>
        </x14:conditionalFormatting>
        <x14:conditionalFormatting xmlns:xm="http://schemas.microsoft.com/office/excel/2006/main">
          <x14:cfRule type="expression" priority="264" id="{0712D98F-3D1C-46B9-82DA-D23E90D95A8D}">
            <xm:f>G101=Categories!$E$11</xm:f>
            <x14:dxf>
              <font>
                <b/>
                <i val="0"/>
              </font>
            </x14:dxf>
          </x14:cfRule>
          <xm:sqref>M101</xm:sqref>
        </x14:conditionalFormatting>
        <x14:conditionalFormatting xmlns:xm="http://schemas.microsoft.com/office/excel/2006/main">
          <x14:cfRule type="expression" priority="263" id="{6CFAA65C-D57F-4BB0-AC38-3FED9A18D15A}">
            <xm:f>G102=Categories!$E$11</xm:f>
            <x14:dxf>
              <font>
                <b/>
                <i val="0"/>
              </font>
            </x14:dxf>
          </x14:cfRule>
          <xm:sqref>M102:M105 M110:M111</xm:sqref>
        </x14:conditionalFormatting>
        <x14:conditionalFormatting xmlns:xm="http://schemas.microsoft.com/office/excel/2006/main">
          <x14:cfRule type="expression" priority="253" id="{582542C7-BB1C-4F5A-8DE3-DE1991619B1E}">
            <xm:f>G108=Categories!$E$7</xm:f>
            <x14:dxf>
              <font>
                <b/>
                <i val="0"/>
              </font>
            </x14:dxf>
          </x14:cfRule>
          <xm:sqref>J108:J109</xm:sqref>
        </x14:conditionalFormatting>
        <x14:conditionalFormatting xmlns:xm="http://schemas.microsoft.com/office/excel/2006/main">
          <x14:cfRule type="notContainsText" priority="252" operator="notContains" id="{8E9D2FEB-821E-45B7-8A43-600F716BD940}">
            <xm:f>ISERROR(SEARCH("-",K108))</xm:f>
            <xm:f>"-"</xm:f>
            <x14:dxf>
              <fill>
                <patternFill>
                  <bgColor theme="0" tint="-4.9989318521683403E-2"/>
                </patternFill>
              </fill>
            </x14:dxf>
          </x14:cfRule>
          <xm:sqref>K108:L109</xm:sqref>
        </x14:conditionalFormatting>
        <x14:conditionalFormatting xmlns:xm="http://schemas.microsoft.com/office/excel/2006/main">
          <x14:cfRule type="expression" priority="251" id="{412DE43A-9B49-4298-94B7-974948C819F9}">
            <xm:f>G108=Categories!$E$11</xm:f>
            <x14:dxf>
              <font>
                <b/>
                <i val="0"/>
              </font>
            </x14:dxf>
          </x14:cfRule>
          <xm:sqref>M108:M109</xm:sqref>
        </x14:conditionalFormatting>
        <x14:conditionalFormatting xmlns:xm="http://schemas.microsoft.com/office/excel/2006/main">
          <x14:cfRule type="containsText" priority="162" operator="containsText" id="{D86C1C03-8DC4-4D34-A678-2D221713741D}">
            <xm:f>NOT(ISERROR(SEARCH("-",E126)))</xm:f>
            <xm:f>"-"</xm:f>
            <x14:dxf>
              <fill>
                <patternFill>
                  <bgColor theme="0" tint="-4.9989318521683403E-2"/>
                </patternFill>
              </fill>
            </x14:dxf>
          </x14:cfRule>
          <xm:sqref>E126:E135</xm:sqref>
        </x14:conditionalFormatting>
        <x14:conditionalFormatting xmlns:xm="http://schemas.microsoft.com/office/excel/2006/main">
          <x14:cfRule type="expression" priority="241" id="{6EB78DDF-84C3-4A6C-9909-E84063BD1378}">
            <xm:f>G106=Categories!$E$7</xm:f>
            <x14:dxf>
              <font>
                <b/>
                <i val="0"/>
              </font>
            </x14:dxf>
          </x14:cfRule>
          <xm:sqref>J106:J107</xm:sqref>
        </x14:conditionalFormatting>
        <x14:conditionalFormatting xmlns:xm="http://schemas.microsoft.com/office/excel/2006/main">
          <x14:cfRule type="notContainsText" priority="240" operator="notContains" id="{572288C8-6572-4F1D-86EF-1B929F8768F7}">
            <xm:f>ISERROR(SEARCH("-",K106))</xm:f>
            <xm:f>"-"</xm:f>
            <x14:dxf>
              <fill>
                <patternFill>
                  <bgColor theme="0" tint="-4.9989318521683403E-2"/>
                </patternFill>
              </fill>
            </x14:dxf>
          </x14:cfRule>
          <xm:sqref>K106:L107</xm:sqref>
        </x14:conditionalFormatting>
        <x14:conditionalFormatting xmlns:xm="http://schemas.microsoft.com/office/excel/2006/main">
          <x14:cfRule type="expression" priority="239" id="{8828C07F-C7D2-496D-9342-4BD338501FD5}">
            <xm:f>G106=Categories!$E$11</xm:f>
            <x14:dxf>
              <font>
                <b/>
                <i val="0"/>
              </font>
            </x14:dxf>
          </x14:cfRule>
          <xm:sqref>M106:M107</xm:sqref>
        </x14:conditionalFormatting>
        <x14:conditionalFormatting xmlns:xm="http://schemas.microsoft.com/office/excel/2006/main">
          <x14:cfRule type="expression" priority="237" id="{9D025576-2D33-4528-848C-E6105F96230E}">
            <xm:f>G118=Categories!$E$7</xm:f>
            <x14:dxf>
              <font>
                <b/>
                <i val="0"/>
              </font>
            </x14:dxf>
          </x14:cfRule>
          <xm:sqref>J118:J119</xm:sqref>
        </x14:conditionalFormatting>
        <x14:conditionalFormatting xmlns:xm="http://schemas.microsoft.com/office/excel/2006/main">
          <x14:cfRule type="notContainsText" priority="232" operator="notContains" id="{0BF4F1F5-2BC7-4B8E-8170-AFBAD77DE481}">
            <xm:f>ISERROR(SEARCH("-",K118))</xm:f>
            <xm:f>"-"</xm:f>
            <x14:dxf>
              <fill>
                <patternFill>
                  <bgColor theme="0" tint="-4.9989318521683403E-2"/>
                </patternFill>
              </fill>
            </x14:dxf>
          </x14:cfRule>
          <xm:sqref>K118:L119</xm:sqref>
        </x14:conditionalFormatting>
        <x14:conditionalFormatting xmlns:xm="http://schemas.microsoft.com/office/excel/2006/main">
          <x14:cfRule type="expression" priority="230" id="{E89BF443-8FFE-4B39-847A-726F90A12B10}">
            <xm:f>G116=Categories!$E$7</xm:f>
            <x14:dxf>
              <font>
                <b/>
                <i val="0"/>
              </font>
            </x14:dxf>
          </x14:cfRule>
          <xm:sqref>J116:J117</xm:sqref>
        </x14:conditionalFormatting>
        <x14:conditionalFormatting xmlns:xm="http://schemas.microsoft.com/office/excel/2006/main">
          <x14:cfRule type="notContainsText" priority="225" operator="notContains" id="{CC087B30-D33C-4840-84C7-C88A073ED184}">
            <xm:f>ISERROR(SEARCH("-",K116))</xm:f>
            <xm:f>"-"</xm:f>
            <x14:dxf>
              <fill>
                <patternFill>
                  <bgColor theme="0" tint="-4.9989318521683403E-2"/>
                </patternFill>
              </fill>
            </x14:dxf>
          </x14:cfRule>
          <xm:sqref>K116:L117</xm:sqref>
        </x14:conditionalFormatting>
        <x14:conditionalFormatting xmlns:xm="http://schemas.microsoft.com/office/excel/2006/main">
          <x14:cfRule type="expression" priority="223" id="{56C78D18-D107-40FC-8E2D-C556EE18A03C}">
            <xm:f>G130=Categories!$E$7</xm:f>
            <x14:dxf>
              <font>
                <b/>
                <i val="0"/>
              </font>
            </x14:dxf>
          </x14:cfRule>
          <xm:sqref>J130:J131</xm:sqref>
        </x14:conditionalFormatting>
        <x14:conditionalFormatting xmlns:xm="http://schemas.microsoft.com/office/excel/2006/main">
          <x14:cfRule type="notContainsText" priority="218" operator="notContains" id="{D5CDAE2A-84F4-4F31-B028-2F9930385736}">
            <xm:f>ISERROR(SEARCH("-",K130))</xm:f>
            <xm:f>"-"</xm:f>
            <x14:dxf>
              <fill>
                <patternFill>
                  <bgColor theme="0" tint="-4.9989318521683403E-2"/>
                </patternFill>
              </fill>
            </x14:dxf>
          </x14:cfRule>
          <xm:sqref>K130:L131</xm:sqref>
        </x14:conditionalFormatting>
        <x14:conditionalFormatting xmlns:xm="http://schemas.microsoft.com/office/excel/2006/main">
          <x14:cfRule type="expression" priority="216" id="{D20AE3F7-00E8-4436-8910-020962BEFCB6}">
            <xm:f>G128=Categories!$E$7</xm:f>
            <x14:dxf>
              <font>
                <b/>
                <i val="0"/>
              </font>
            </x14:dxf>
          </x14:cfRule>
          <xm:sqref>J128:J129</xm:sqref>
        </x14:conditionalFormatting>
        <x14:conditionalFormatting xmlns:xm="http://schemas.microsoft.com/office/excel/2006/main">
          <x14:cfRule type="notContainsText" priority="211" operator="notContains" id="{1C34EA8D-6161-4083-B351-CBC986677515}">
            <xm:f>ISERROR(SEARCH("-",K128))</xm:f>
            <xm:f>"-"</xm:f>
            <x14:dxf>
              <fill>
                <patternFill>
                  <bgColor theme="0" tint="-4.9989318521683403E-2"/>
                </patternFill>
              </fill>
            </x14:dxf>
          </x14:cfRule>
          <xm:sqref>K128:L129</xm:sqref>
        </x14:conditionalFormatting>
        <x14:conditionalFormatting xmlns:xm="http://schemas.microsoft.com/office/excel/2006/main">
          <x14:cfRule type="expression" priority="209" id="{365111B4-787B-4A32-B8C7-4C7B70A40264}">
            <xm:f>G142=Categories!$E$7</xm:f>
            <x14:dxf>
              <font>
                <b/>
                <i val="0"/>
              </font>
            </x14:dxf>
          </x14:cfRule>
          <xm:sqref>J142:J143</xm:sqref>
        </x14:conditionalFormatting>
        <x14:conditionalFormatting xmlns:xm="http://schemas.microsoft.com/office/excel/2006/main">
          <x14:cfRule type="notContainsText" priority="204" operator="notContains" id="{22F4B3A8-2A12-4C26-849F-A61FBE521C40}">
            <xm:f>ISERROR(SEARCH("-",K142))</xm:f>
            <xm:f>"-"</xm:f>
            <x14:dxf>
              <fill>
                <patternFill>
                  <bgColor theme="0" tint="-4.9989318521683403E-2"/>
                </patternFill>
              </fill>
            </x14:dxf>
          </x14:cfRule>
          <xm:sqref>K142:L143</xm:sqref>
        </x14:conditionalFormatting>
        <x14:conditionalFormatting xmlns:xm="http://schemas.microsoft.com/office/excel/2006/main">
          <x14:cfRule type="expression" priority="202" id="{77D461E3-4C6F-47C3-BC3A-FA9153C260CE}">
            <xm:f>G140=Categories!$E$7</xm:f>
            <x14:dxf>
              <font>
                <b/>
                <i val="0"/>
              </font>
            </x14:dxf>
          </x14:cfRule>
          <xm:sqref>J140:J141</xm:sqref>
        </x14:conditionalFormatting>
        <x14:conditionalFormatting xmlns:xm="http://schemas.microsoft.com/office/excel/2006/main">
          <x14:cfRule type="notContainsText" priority="197" operator="notContains" id="{E94E0EBC-F06F-4FBA-85B6-22CB53A5A118}">
            <xm:f>ISERROR(SEARCH("-",K140))</xm:f>
            <xm:f>"-"</xm:f>
            <x14:dxf>
              <fill>
                <patternFill>
                  <bgColor theme="0" tint="-4.9989318521683403E-2"/>
                </patternFill>
              </fill>
            </x14:dxf>
          </x14:cfRule>
          <xm:sqref>K140:L141</xm:sqref>
        </x14:conditionalFormatting>
        <x14:conditionalFormatting xmlns:xm="http://schemas.microsoft.com/office/excel/2006/main">
          <x14:cfRule type="expression" priority="196" id="{328AACD2-8C63-41C2-AA7E-71D27238838E}">
            <xm:f>G112=Categories!$E$11</xm:f>
            <x14:dxf>
              <font>
                <b/>
                <i val="0"/>
              </font>
            </x14:dxf>
          </x14:cfRule>
          <xm:sqref>M112:M147</xm:sqref>
        </x14:conditionalFormatting>
        <x14:conditionalFormatting xmlns:xm="http://schemas.microsoft.com/office/excel/2006/main">
          <x14:cfRule type="expression" priority="195" id="{5B08D29E-716C-42C3-AA21-20732E66CC72}">
            <xm:f>G148=Categories!$E$7</xm:f>
            <x14:dxf>
              <font>
                <b/>
                <i val="0"/>
              </font>
            </x14:dxf>
          </x14:cfRule>
          <xm:sqref>J148</xm:sqref>
        </x14:conditionalFormatting>
        <x14:conditionalFormatting xmlns:xm="http://schemas.microsoft.com/office/excel/2006/main">
          <x14:cfRule type="containsText" priority="191" operator="containsText" id="{754740A2-5E3D-4EDE-88DA-318C95B56C01}">
            <xm:f>NOT(ISERROR(SEARCH("-",E148)))</xm:f>
            <xm:f>"-"</xm:f>
            <x14:dxf>
              <fill>
                <patternFill>
                  <bgColor theme="0" tint="-4.9989318521683403E-2"/>
                </patternFill>
              </fill>
            </x14:dxf>
          </x14:cfRule>
          <xm:sqref>E148:E149</xm:sqref>
        </x14:conditionalFormatting>
        <x14:conditionalFormatting xmlns:xm="http://schemas.microsoft.com/office/excel/2006/main">
          <x14:cfRule type="containsText" priority="186" operator="containsText" id="{D7235D5B-654F-45C1-9166-314A1D2542C9}">
            <xm:f>NOT(ISERROR(SEARCH("-",E150)))</xm:f>
            <xm:f>"-"</xm:f>
            <x14:dxf>
              <fill>
                <patternFill>
                  <bgColor theme="0" tint="-4.9989318521683403E-2"/>
                </patternFill>
              </fill>
            </x14:dxf>
          </x14:cfRule>
          <xm:sqref>E150</xm:sqref>
        </x14:conditionalFormatting>
        <x14:conditionalFormatting xmlns:xm="http://schemas.microsoft.com/office/excel/2006/main">
          <x14:cfRule type="expression" priority="184" id="{6FA5BCA4-3D96-44F5-8349-B2A466BC3971}">
            <xm:f>G150=Categories!$E$7</xm:f>
            <x14:dxf>
              <font>
                <b/>
                <i val="0"/>
              </font>
            </x14:dxf>
          </x14:cfRule>
          <xm:sqref>J150</xm:sqref>
        </x14:conditionalFormatting>
        <x14:conditionalFormatting xmlns:xm="http://schemas.microsoft.com/office/excel/2006/main">
          <x14:cfRule type="containsText" priority="180" operator="containsText" id="{35AEA26C-DB3D-4A63-91FC-FA9084C8D6E3}">
            <xm:f>NOT(ISERROR(SEARCH("-",E149)))</xm:f>
            <xm:f>"-"</xm:f>
            <x14:dxf>
              <fill>
                <patternFill>
                  <bgColor theme="0" tint="-4.9989318521683403E-2"/>
                </patternFill>
              </fill>
            </x14:dxf>
          </x14:cfRule>
          <xm:sqref>E149</xm:sqref>
        </x14:conditionalFormatting>
        <x14:conditionalFormatting xmlns:xm="http://schemas.microsoft.com/office/excel/2006/main">
          <x14:cfRule type="expression" priority="178" id="{E4CDE3F7-EFD4-4826-A4F1-ED556DA3F494}">
            <xm:f>G149=Categories!$E$7</xm:f>
            <x14:dxf>
              <font>
                <b/>
                <i val="0"/>
              </font>
            </x14:dxf>
          </x14:cfRule>
          <xm:sqref>J149</xm:sqref>
        </x14:conditionalFormatting>
        <x14:conditionalFormatting xmlns:xm="http://schemas.microsoft.com/office/excel/2006/main">
          <x14:cfRule type="expression" priority="176" id="{9518A415-745E-4D46-ADB3-9359FE5DC5BD}">
            <xm:f>G149=Categories!$E$11</xm:f>
            <x14:dxf>
              <font>
                <b/>
                <i val="0"/>
              </font>
            </x14:dxf>
          </x14:cfRule>
          <xm:sqref>M149</xm:sqref>
        </x14:conditionalFormatting>
        <x14:conditionalFormatting xmlns:xm="http://schemas.microsoft.com/office/excel/2006/main">
          <x14:cfRule type="notContainsText" priority="175" operator="notContains" id="{40D130B6-AB5F-4DEE-9267-8ACCFF076B7D}">
            <xm:f>ISERROR(SEARCH("-",K150))</xm:f>
            <xm:f>"-"</xm:f>
            <x14:dxf>
              <fill>
                <patternFill>
                  <bgColor theme="0" tint="-4.9989318521683403E-2"/>
                </patternFill>
              </fill>
            </x14:dxf>
          </x14:cfRule>
          <xm:sqref>K150:L150</xm:sqref>
        </x14:conditionalFormatting>
        <x14:conditionalFormatting xmlns:xm="http://schemas.microsoft.com/office/excel/2006/main">
          <x14:cfRule type="notContainsText" priority="174" operator="notContains" id="{586E79F0-3805-48EC-8AA6-BDB56284715E}">
            <xm:f>ISERROR(SEARCH("-",K148))</xm:f>
            <xm:f>"-"</xm:f>
            <x14:dxf>
              <fill>
                <patternFill>
                  <bgColor theme="0" tint="-4.9989318521683403E-2"/>
                </patternFill>
              </fill>
            </x14:dxf>
          </x14:cfRule>
          <xm:sqref>K148:L149</xm:sqref>
        </x14:conditionalFormatting>
        <x14:conditionalFormatting xmlns:xm="http://schemas.microsoft.com/office/excel/2006/main">
          <x14:cfRule type="expression" priority="173" id="{5E4E1270-A692-4378-BE41-DB474B7A71B9}">
            <xm:f>G148=Categories!$E$11</xm:f>
            <x14:dxf>
              <font>
                <b/>
                <i val="0"/>
              </font>
            </x14:dxf>
          </x14:cfRule>
          <xm:sqref>M148</xm:sqref>
        </x14:conditionalFormatting>
        <x14:conditionalFormatting xmlns:xm="http://schemas.microsoft.com/office/excel/2006/main">
          <x14:cfRule type="containsText" priority="166" operator="containsText" id="{39C50DC7-0486-4D90-AAB9-3A09B12972DB}">
            <xm:f>NOT(ISERROR(SEARCH("-",E114)))</xm:f>
            <xm:f>"-"</xm:f>
            <x14:dxf>
              <fill>
                <patternFill>
                  <bgColor theme="0" tint="-4.9989318521683403E-2"/>
                </patternFill>
              </fill>
            </x14:dxf>
          </x14:cfRule>
          <xm:sqref>E114:E123</xm:sqref>
        </x14:conditionalFormatting>
        <x14:conditionalFormatting xmlns:xm="http://schemas.microsoft.com/office/excel/2006/main">
          <x14:cfRule type="containsText" priority="158" operator="containsText" id="{2D527A92-7746-4A00-BC6A-C118ADE2F0D9}">
            <xm:f>NOT(ISERROR(SEARCH("-",E138)))</xm:f>
            <xm:f>"-"</xm:f>
            <x14:dxf>
              <fill>
                <patternFill>
                  <bgColor theme="0" tint="-4.9989318521683403E-2"/>
                </patternFill>
              </fill>
            </x14:dxf>
          </x14:cfRule>
          <xm:sqref>E138:E147</xm:sqref>
        </x14:conditionalFormatting>
        <x14:conditionalFormatting xmlns:xm="http://schemas.microsoft.com/office/excel/2006/main">
          <x14:cfRule type="containsText" priority="154" operator="containsText" id="{ADAA6408-6AE2-4543-89E6-3704849F9E76}">
            <xm:f>NOT(ISERROR(SEARCH("-",E152)))</xm:f>
            <xm:f>"-"</xm:f>
            <x14:dxf>
              <fill>
                <patternFill>
                  <bgColor theme="0" tint="-4.9989318521683403E-2"/>
                </patternFill>
              </fill>
            </x14:dxf>
          </x14:cfRule>
          <xm:sqref>E152:E157</xm:sqref>
        </x14:conditionalFormatting>
        <x14:conditionalFormatting xmlns:xm="http://schemas.microsoft.com/office/excel/2006/main">
          <x14:cfRule type="expression" priority="152" id="{0ED68E19-0A70-40B7-AA3F-807E917EF425}">
            <xm:f>G150=Categories!$E$11</xm:f>
            <x14:dxf>
              <font>
                <b/>
                <i val="0"/>
              </font>
            </x14:dxf>
          </x14:cfRule>
          <xm:sqref>M150</xm:sqref>
        </x14:conditionalFormatting>
        <x14:conditionalFormatting xmlns:xm="http://schemas.microsoft.com/office/excel/2006/main">
          <x14:cfRule type="containsText" priority="149" operator="containsText" id="{570CEB5C-5BE8-417F-B48D-A5D1CE4ECDEB}">
            <xm:f>NOT(ISERROR(SEARCH("-",E160)))</xm:f>
            <xm:f>"-"</xm:f>
            <x14:dxf>
              <fill>
                <patternFill>
                  <bgColor theme="0" tint="-4.9989318521683403E-2"/>
                </patternFill>
              </fill>
            </x14:dxf>
          </x14:cfRule>
          <xm:sqref>E160:E165</xm:sqref>
        </x14:conditionalFormatting>
        <x14:conditionalFormatting xmlns:xm="http://schemas.microsoft.com/office/excel/2006/main">
          <x14:cfRule type="containsText" priority="145" operator="containsText" id="{2982C816-AB4A-4BD6-A5C0-7320B0653E70}">
            <xm:f>NOT(ISERROR(SEARCH("-",E168)))</xm:f>
            <xm:f>"-"</xm:f>
            <x14:dxf>
              <fill>
                <patternFill>
                  <bgColor theme="0" tint="-4.9989318521683403E-2"/>
                </patternFill>
              </fill>
            </x14:dxf>
          </x14:cfRule>
          <xm:sqref>E168:E173</xm:sqref>
        </x14:conditionalFormatting>
        <x14:conditionalFormatting xmlns:xm="http://schemas.microsoft.com/office/excel/2006/main">
          <x14:cfRule type="containsText" priority="141" operator="containsText" id="{7A496A67-EAD2-4C9D-88C1-84F28AC9379E}">
            <xm:f>NOT(ISERROR(SEARCH("-",E176)))</xm:f>
            <xm:f>"-"</xm:f>
            <x14:dxf>
              <fill>
                <patternFill>
                  <bgColor theme="0" tint="-4.9989318521683403E-2"/>
                </patternFill>
              </fill>
            </x14:dxf>
          </x14:cfRule>
          <xm:sqref>E176:E181</xm:sqref>
        </x14:conditionalFormatting>
        <x14:conditionalFormatting xmlns:xm="http://schemas.microsoft.com/office/excel/2006/main">
          <x14:cfRule type="containsText" priority="137" operator="containsText" id="{99D3CC32-FC86-4EFC-B08F-24DE359F5060}">
            <xm:f>NOT(ISERROR(SEARCH("-",E186)))</xm:f>
            <xm:f>"-"</xm:f>
            <x14:dxf>
              <fill>
                <patternFill>
                  <bgColor theme="0" tint="-4.9989318521683403E-2"/>
                </patternFill>
              </fill>
            </x14:dxf>
          </x14:cfRule>
          <xm:sqref>E186:E191</xm:sqref>
        </x14:conditionalFormatting>
        <x14:conditionalFormatting xmlns:xm="http://schemas.microsoft.com/office/excel/2006/main">
          <x14:cfRule type="containsText" priority="133" operator="containsText" id="{43E440B3-53E8-4C12-8404-3BD3F0725588}">
            <xm:f>NOT(ISERROR(SEARCH("-",E194)))</xm:f>
            <xm:f>"-"</xm:f>
            <x14:dxf>
              <fill>
                <patternFill>
                  <bgColor theme="0" tint="-4.9989318521683403E-2"/>
                </patternFill>
              </fill>
            </x14:dxf>
          </x14:cfRule>
          <xm:sqref>E194:E199</xm:sqref>
        </x14:conditionalFormatting>
        <x14:conditionalFormatting xmlns:xm="http://schemas.microsoft.com/office/excel/2006/main">
          <x14:cfRule type="containsText" priority="129" operator="containsText" id="{1B6C54E4-5C4E-4DC7-BC21-4E9C4F23195C}">
            <xm:f>NOT(ISERROR(SEARCH("-",E202)))</xm:f>
            <xm:f>"-"</xm:f>
            <x14:dxf>
              <fill>
                <patternFill>
                  <bgColor theme="0" tint="-4.9989318521683403E-2"/>
                </patternFill>
              </fill>
            </x14:dxf>
          </x14:cfRule>
          <xm:sqref>E202:E207</xm:sqref>
        </x14:conditionalFormatting>
        <x14:conditionalFormatting xmlns:xm="http://schemas.microsoft.com/office/excel/2006/main">
          <x14:cfRule type="containsText" priority="125" operator="containsText" id="{E3738A2D-75FF-420C-ACEF-9403CED557FC}">
            <xm:f>NOT(ISERROR(SEARCH("-",E210)))</xm:f>
            <xm:f>"-"</xm:f>
            <x14:dxf>
              <fill>
                <patternFill>
                  <bgColor theme="0" tint="-4.9989318521683403E-2"/>
                </patternFill>
              </fill>
            </x14:dxf>
          </x14:cfRule>
          <xm:sqref>E210:E215</xm:sqref>
        </x14:conditionalFormatting>
        <x14:conditionalFormatting xmlns:xm="http://schemas.microsoft.com/office/excel/2006/main">
          <x14:cfRule type="containsText" priority="121" operator="containsText" id="{E484BE68-FFBC-4440-9A62-F4F826C63976}">
            <xm:f>NOT(ISERROR(SEARCH("-",E252)))</xm:f>
            <xm:f>"-"</xm:f>
            <x14:dxf>
              <fill>
                <patternFill>
                  <bgColor theme="0" tint="-4.9989318521683403E-2"/>
                </patternFill>
              </fill>
            </x14:dxf>
          </x14:cfRule>
          <xm:sqref>E252:E259</xm:sqref>
        </x14:conditionalFormatting>
        <x14:conditionalFormatting xmlns:xm="http://schemas.microsoft.com/office/excel/2006/main">
          <x14:cfRule type="containsText" priority="117" operator="containsText" id="{11F7BAF4-2EC8-4E6D-922E-54812EE445AF}">
            <xm:f>NOT(ISERROR(SEARCH("-",E261)))</xm:f>
            <xm:f>"-"</xm:f>
            <x14:dxf>
              <fill>
                <patternFill>
                  <bgColor theme="0" tint="-4.9989318521683403E-2"/>
                </patternFill>
              </fill>
            </x14:dxf>
          </x14:cfRule>
          <xm:sqref>E261:E269</xm:sqref>
        </x14:conditionalFormatting>
        <x14:conditionalFormatting xmlns:xm="http://schemas.microsoft.com/office/excel/2006/main">
          <x14:cfRule type="expression" priority="115" id="{80A7B110-7A96-43E9-972F-CB241F23EE6F}">
            <xm:f>G26=Categories!$E$16</xm:f>
            <x14:dxf>
              <font>
                <b/>
                <i val="0"/>
              </font>
            </x14:dxf>
          </x14:cfRule>
          <xm:sqref>I26:I215</xm:sqref>
        </x14:conditionalFormatting>
        <x14:conditionalFormatting xmlns:xm="http://schemas.microsoft.com/office/excel/2006/main">
          <x14:cfRule type="expression" priority="114" id="{2D1343AA-DAE9-4280-8975-6079AF34D062}">
            <xm:f>G4=Categories!$E$16</xm:f>
            <x14:dxf>
              <font>
                <b/>
                <i val="0"/>
              </font>
            </x14:dxf>
          </x14:cfRule>
          <xm:sqref>I4:I25</xm:sqref>
        </x14:conditionalFormatting>
        <x14:conditionalFormatting xmlns:xm="http://schemas.microsoft.com/office/excel/2006/main">
          <x14:cfRule type="expression" priority="113" id="{A6A80A10-78F1-4942-8504-E388EB634291}">
            <xm:f>G251=Categories!$E$16</xm:f>
            <x14:dxf>
              <font>
                <b/>
                <i val="0"/>
              </font>
            </x14:dxf>
          </x14:cfRule>
          <xm:sqref>I251:I270</xm:sqref>
        </x14:conditionalFormatting>
        <x14:conditionalFormatting xmlns:xm="http://schemas.microsoft.com/office/excel/2006/main">
          <x14:cfRule type="expression" priority="112" id="{6A1C322E-771D-41A7-8524-B2F8375A2EB5}">
            <xm:f>G216=Categories!$E$7</xm:f>
            <x14:dxf>
              <font>
                <b/>
                <i val="0"/>
              </font>
            </x14:dxf>
          </x14:cfRule>
          <xm:sqref>J216</xm:sqref>
        </x14:conditionalFormatting>
        <x14:conditionalFormatting xmlns:xm="http://schemas.microsoft.com/office/excel/2006/main">
          <x14:cfRule type="containsText" priority="108" operator="containsText" id="{0DDCD53F-9847-4B6A-9660-9B377D32AF74}">
            <xm:f>NOT(ISERROR(SEARCH("-",E216)))</xm:f>
            <xm:f>"-"</xm:f>
            <x14:dxf>
              <fill>
                <patternFill>
                  <bgColor theme="0" tint="-4.9989318521683403E-2"/>
                </patternFill>
              </fill>
            </x14:dxf>
          </x14:cfRule>
          <xm:sqref>E216:E217</xm:sqref>
        </x14:conditionalFormatting>
        <x14:conditionalFormatting xmlns:xm="http://schemas.microsoft.com/office/excel/2006/main">
          <x14:cfRule type="containsText" priority="103" operator="containsText" id="{7C1B725A-637D-460A-A7D8-1334B7564DAA}">
            <xm:f>NOT(ISERROR(SEARCH("-",E218)))</xm:f>
            <xm:f>"-"</xm:f>
            <x14:dxf>
              <fill>
                <patternFill>
                  <bgColor theme="0" tint="-4.9989318521683403E-2"/>
                </patternFill>
              </fill>
            </x14:dxf>
          </x14:cfRule>
          <xm:sqref>E218</xm:sqref>
        </x14:conditionalFormatting>
        <x14:conditionalFormatting xmlns:xm="http://schemas.microsoft.com/office/excel/2006/main">
          <x14:cfRule type="containsText" priority="98" operator="containsText" id="{346E69AF-ED1B-40DC-950F-1A4A43BEE46F}">
            <xm:f>NOT(ISERROR(SEARCH("-",E219)))</xm:f>
            <xm:f>"-"</xm:f>
            <x14:dxf>
              <fill>
                <patternFill>
                  <bgColor theme="0" tint="-4.9989318521683403E-2"/>
                </patternFill>
              </fill>
            </x14:dxf>
          </x14:cfRule>
          <xm:sqref>E219</xm:sqref>
        </x14:conditionalFormatting>
        <x14:conditionalFormatting xmlns:xm="http://schemas.microsoft.com/office/excel/2006/main">
          <x14:cfRule type="expression" priority="95" id="{DE849E15-617B-4A03-9656-8C6524EF4EB7}">
            <xm:f>G218=Categories!$E$7</xm:f>
            <x14:dxf>
              <font>
                <b/>
                <i val="0"/>
              </font>
            </x14:dxf>
          </x14:cfRule>
          <xm:sqref>J218:J220</xm:sqref>
        </x14:conditionalFormatting>
        <x14:conditionalFormatting xmlns:xm="http://schemas.microsoft.com/office/excel/2006/main">
          <x14:cfRule type="expression" priority="94" id="{EAEAA302-692B-4423-8803-4A2434CDB0A7}">
            <xm:f>G221=Categories!$E$7</xm:f>
            <x14:dxf>
              <font>
                <b/>
                <i val="0"/>
              </font>
            </x14:dxf>
          </x14:cfRule>
          <xm:sqref>J221:J226</xm:sqref>
        </x14:conditionalFormatting>
        <x14:conditionalFormatting xmlns:xm="http://schemas.microsoft.com/office/excel/2006/main">
          <x14:cfRule type="containsText" priority="91" operator="containsText" id="{2448619F-8A6B-440B-B1C8-C8D54CA625B3}">
            <xm:f>NOT(ISERROR(SEARCH("-",E226)))</xm:f>
            <xm:f>"-"</xm:f>
            <x14:dxf>
              <fill>
                <patternFill>
                  <bgColor theme="0" tint="-4.9989318521683403E-2"/>
                </patternFill>
              </fill>
            </x14:dxf>
          </x14:cfRule>
          <xm:sqref>E226</xm:sqref>
        </x14:conditionalFormatting>
        <x14:conditionalFormatting xmlns:xm="http://schemas.microsoft.com/office/excel/2006/main">
          <x14:cfRule type="containsText" priority="86" operator="containsText" id="{5184B3CE-3831-4A2C-8775-0DFD09014E75}">
            <xm:f>NOT(ISERROR(SEARCH("-",E227)))</xm:f>
            <xm:f>"-"</xm:f>
            <x14:dxf>
              <fill>
                <patternFill>
                  <bgColor theme="0" tint="-4.9989318521683403E-2"/>
                </patternFill>
              </fill>
            </x14:dxf>
          </x14:cfRule>
          <xm:sqref>E227</xm:sqref>
        </x14:conditionalFormatting>
        <x14:conditionalFormatting xmlns:xm="http://schemas.microsoft.com/office/excel/2006/main">
          <x14:cfRule type="expression" priority="83" id="{00984448-00F7-4B27-BEF9-7E2998F979F6}">
            <xm:f>G228=Categories!$E$7</xm:f>
            <x14:dxf>
              <font>
                <b/>
                <i val="0"/>
              </font>
            </x14:dxf>
          </x14:cfRule>
          <xm:sqref>J228</xm:sqref>
        </x14:conditionalFormatting>
        <x14:conditionalFormatting xmlns:xm="http://schemas.microsoft.com/office/excel/2006/main">
          <x14:cfRule type="expression" priority="82" id="{BCF83D1F-4C39-4B04-BDAF-464FF32C566E}">
            <xm:f>G227=Categories!$E$7</xm:f>
            <x14:dxf>
              <font>
                <b/>
                <i val="0"/>
              </font>
            </x14:dxf>
          </x14:cfRule>
          <xm:sqref>J227</xm:sqref>
        </x14:conditionalFormatting>
        <x14:conditionalFormatting xmlns:xm="http://schemas.microsoft.com/office/excel/2006/main">
          <x14:cfRule type="expression" priority="81" id="{EDCB2D95-5162-4371-ABB7-FF80047ADEBD}">
            <xm:f>G229=Categories!$E$7</xm:f>
            <x14:dxf>
              <font>
                <b/>
                <i val="0"/>
              </font>
            </x14:dxf>
          </x14:cfRule>
          <xm:sqref>J229:J233</xm:sqref>
        </x14:conditionalFormatting>
        <x14:conditionalFormatting xmlns:xm="http://schemas.microsoft.com/office/excel/2006/main">
          <x14:cfRule type="expression" priority="79" id="{480CAAEA-5939-40B6-A429-F93BB515C276}">
            <xm:f>G234=Categories!$E$7</xm:f>
            <x14:dxf>
              <font>
                <b/>
                <i val="0"/>
              </font>
            </x14:dxf>
          </x14:cfRule>
          <xm:sqref>J234</xm:sqref>
        </x14:conditionalFormatting>
        <x14:conditionalFormatting xmlns:xm="http://schemas.microsoft.com/office/excel/2006/main">
          <x14:cfRule type="containsText" priority="76" operator="containsText" id="{10D7BF1D-432B-4514-8551-A168B7B79ECE}">
            <xm:f>NOT(ISERROR(SEARCH("-",E234)))</xm:f>
            <xm:f>"-"</xm:f>
            <x14:dxf>
              <fill>
                <patternFill>
                  <bgColor theme="0" tint="-4.9989318521683403E-2"/>
                </patternFill>
              </fill>
            </x14:dxf>
          </x14:cfRule>
          <xm:sqref>E234</xm:sqref>
        </x14:conditionalFormatting>
        <x14:conditionalFormatting xmlns:xm="http://schemas.microsoft.com/office/excel/2006/main">
          <x14:cfRule type="containsText" priority="71" operator="containsText" id="{D2231298-0F02-4B5B-BE4C-5C5E1B98F24D}">
            <xm:f>NOT(ISERROR(SEARCH("-",E235)))</xm:f>
            <xm:f>"-"</xm:f>
            <x14:dxf>
              <fill>
                <patternFill>
                  <bgColor theme="0" tint="-4.9989318521683403E-2"/>
                </patternFill>
              </fill>
            </x14:dxf>
          </x14:cfRule>
          <xm:sqref>E235</xm:sqref>
        </x14:conditionalFormatting>
        <x14:conditionalFormatting xmlns:xm="http://schemas.microsoft.com/office/excel/2006/main">
          <x14:cfRule type="expression" priority="68" id="{B3AFD289-11DF-4A3B-ABB3-946D94B70DA4}">
            <xm:f>G236=Categories!$E$7</xm:f>
            <x14:dxf>
              <font>
                <b/>
                <i val="0"/>
              </font>
            </x14:dxf>
          </x14:cfRule>
          <xm:sqref>J236</xm:sqref>
        </x14:conditionalFormatting>
        <x14:conditionalFormatting xmlns:xm="http://schemas.microsoft.com/office/excel/2006/main">
          <x14:cfRule type="expression" priority="67" id="{30E87C2D-F512-423C-9B8F-E803917D127B}">
            <xm:f>G235=Categories!$E$7</xm:f>
            <x14:dxf>
              <font>
                <b/>
                <i val="0"/>
              </font>
            </x14:dxf>
          </x14:cfRule>
          <xm:sqref>J235</xm:sqref>
        </x14:conditionalFormatting>
        <x14:conditionalFormatting xmlns:xm="http://schemas.microsoft.com/office/excel/2006/main">
          <x14:cfRule type="expression" priority="66" id="{A6332FAA-A5E1-4EF7-BC12-D6EE9BBB01F8}">
            <xm:f>G237=Categories!$E$7</xm:f>
            <x14:dxf>
              <font>
                <b/>
                <i val="0"/>
              </font>
            </x14:dxf>
          </x14:cfRule>
          <xm:sqref>J237:J241</xm:sqref>
        </x14:conditionalFormatting>
        <x14:conditionalFormatting xmlns:xm="http://schemas.microsoft.com/office/excel/2006/main">
          <x14:cfRule type="expression" priority="64" id="{DAFD5593-F06D-4CDB-8591-F0488ECD71E3}">
            <xm:f>G242=Categories!$E$7</xm:f>
            <x14:dxf>
              <font>
                <b/>
                <i val="0"/>
              </font>
            </x14:dxf>
          </x14:cfRule>
          <xm:sqref>J242</xm:sqref>
        </x14:conditionalFormatting>
        <x14:conditionalFormatting xmlns:xm="http://schemas.microsoft.com/office/excel/2006/main">
          <x14:cfRule type="containsText" priority="61" operator="containsText" id="{F5E7CA08-BEC2-4EBF-8985-EC227A7369E8}">
            <xm:f>NOT(ISERROR(SEARCH("-",E242)))</xm:f>
            <xm:f>"-"</xm:f>
            <x14:dxf>
              <fill>
                <patternFill>
                  <bgColor theme="0" tint="-4.9989318521683403E-2"/>
                </patternFill>
              </fill>
            </x14:dxf>
          </x14:cfRule>
          <xm:sqref>E242</xm:sqref>
        </x14:conditionalFormatting>
        <x14:conditionalFormatting xmlns:xm="http://schemas.microsoft.com/office/excel/2006/main">
          <x14:cfRule type="containsText" priority="56" operator="containsText" id="{9C5EF125-FA7F-414B-9106-ECAF57FBA884}">
            <xm:f>NOT(ISERROR(SEARCH("-",E243)))</xm:f>
            <xm:f>"-"</xm:f>
            <x14:dxf>
              <fill>
                <patternFill>
                  <bgColor theme="0" tint="-4.9989318521683403E-2"/>
                </patternFill>
              </fill>
            </x14:dxf>
          </x14:cfRule>
          <xm:sqref>E243</xm:sqref>
        </x14:conditionalFormatting>
        <x14:conditionalFormatting xmlns:xm="http://schemas.microsoft.com/office/excel/2006/main">
          <x14:cfRule type="expression" priority="53" id="{BFD5838A-815F-41C8-88A9-0C236EA6EE82}">
            <xm:f>G244=Categories!$E$7</xm:f>
            <x14:dxf>
              <font>
                <b/>
                <i val="0"/>
              </font>
            </x14:dxf>
          </x14:cfRule>
          <xm:sqref>J244</xm:sqref>
        </x14:conditionalFormatting>
        <x14:conditionalFormatting xmlns:xm="http://schemas.microsoft.com/office/excel/2006/main">
          <x14:cfRule type="expression" priority="52" id="{72F61557-D37D-42B4-8A22-D4371F009A9F}">
            <xm:f>G243=Categories!$E$7</xm:f>
            <x14:dxf>
              <font>
                <b/>
                <i val="0"/>
              </font>
            </x14:dxf>
          </x14:cfRule>
          <xm:sqref>J243</xm:sqref>
        </x14:conditionalFormatting>
        <x14:conditionalFormatting xmlns:xm="http://schemas.microsoft.com/office/excel/2006/main">
          <x14:cfRule type="expression" priority="51" id="{19FF2137-27DE-4BE2-9DA9-0CFBD532C9E6}">
            <xm:f>G245=Categories!$E$7</xm:f>
            <x14:dxf>
              <font>
                <b/>
                <i val="0"/>
              </font>
            </x14:dxf>
          </x14:cfRule>
          <xm:sqref>J245:J249</xm:sqref>
        </x14:conditionalFormatting>
        <x14:conditionalFormatting xmlns:xm="http://schemas.microsoft.com/office/excel/2006/main">
          <x14:cfRule type="containsText" priority="47" operator="containsText" id="{17F1C53E-2CA1-42AB-ACE0-752E08814B97}">
            <xm:f>NOT(ISERROR(SEARCH("-",E217)))</xm:f>
            <xm:f>"-"</xm:f>
            <x14:dxf>
              <fill>
                <patternFill>
                  <bgColor theme="0" tint="-4.9989318521683403E-2"/>
                </patternFill>
              </fill>
            </x14:dxf>
          </x14:cfRule>
          <xm:sqref>E217</xm:sqref>
        </x14:conditionalFormatting>
        <x14:conditionalFormatting xmlns:xm="http://schemas.microsoft.com/office/excel/2006/main">
          <x14:cfRule type="expression" priority="45" id="{6A7B6445-0C8A-4A32-B510-2D241B8F9308}">
            <xm:f>G217=Categories!$E$7</xm:f>
            <x14:dxf>
              <font>
                <b/>
                <i val="0"/>
              </font>
            </x14:dxf>
          </x14:cfRule>
          <xm:sqref>J217</xm:sqref>
        </x14:conditionalFormatting>
        <x14:conditionalFormatting xmlns:xm="http://schemas.microsoft.com/office/excel/2006/main">
          <x14:cfRule type="expression" priority="44" id="{5ED4A99A-EC6E-4C21-842F-C998C4E7A4C8}">
            <xm:f>G218=Categories!$E$11</xm:f>
            <x14:dxf>
              <font>
                <b/>
                <i val="0"/>
              </font>
            </x14:dxf>
          </x14:cfRule>
          <xm:sqref>M218</xm:sqref>
        </x14:conditionalFormatting>
        <x14:conditionalFormatting xmlns:xm="http://schemas.microsoft.com/office/excel/2006/main">
          <x14:cfRule type="expression" priority="43" id="{7E392B06-A858-4158-BD25-DD134EF3D0A4}">
            <xm:f>G216=Categories!$E$11</xm:f>
            <x14:dxf>
              <font>
                <b/>
                <i val="0"/>
              </font>
            </x14:dxf>
          </x14:cfRule>
          <xm:sqref>M216:M217</xm:sqref>
        </x14:conditionalFormatting>
        <x14:conditionalFormatting xmlns:xm="http://schemas.microsoft.com/office/excel/2006/main">
          <x14:cfRule type="notContainsText" priority="40" operator="notContains" id="{5619E94A-FC8C-4E04-BA66-E1405906075C}">
            <xm:f>ISERROR(SEARCH("-",K218))</xm:f>
            <xm:f>"-"</xm:f>
            <x14:dxf>
              <fill>
                <patternFill>
                  <bgColor theme="0" tint="-4.9989318521683403E-2"/>
                </patternFill>
              </fill>
            </x14:dxf>
          </x14:cfRule>
          <xm:sqref>K218:L219</xm:sqref>
        </x14:conditionalFormatting>
        <x14:conditionalFormatting xmlns:xm="http://schemas.microsoft.com/office/excel/2006/main">
          <x14:cfRule type="notContainsText" priority="39" operator="notContains" id="{9B17DB82-1861-4698-854F-A3D1595F9B70}">
            <xm:f>ISERROR(SEARCH("-",K220))</xm:f>
            <xm:f>"-"</xm:f>
            <x14:dxf>
              <fill>
                <patternFill>
                  <bgColor theme="0" tint="-4.9989318521683403E-2"/>
                </patternFill>
              </fill>
            </x14:dxf>
          </x14:cfRule>
          <xm:sqref>K220:L221</xm:sqref>
        </x14:conditionalFormatting>
        <x14:conditionalFormatting xmlns:xm="http://schemas.microsoft.com/office/excel/2006/main">
          <x14:cfRule type="notContainsText" priority="38" operator="notContains" id="{7CF7BD27-5160-4847-A5A8-B88FFB9F4F02}">
            <xm:f>ISERROR(SEARCH("-",K216))</xm:f>
            <xm:f>"-"</xm:f>
            <x14:dxf>
              <fill>
                <patternFill>
                  <bgColor theme="0" tint="-4.9989318521683403E-2"/>
                </patternFill>
              </fill>
            </x14:dxf>
          </x14:cfRule>
          <xm:sqref>K216:L217</xm:sqref>
        </x14:conditionalFormatting>
        <x14:conditionalFormatting xmlns:xm="http://schemas.microsoft.com/office/excel/2006/main">
          <x14:cfRule type="notContainsText" priority="37" operator="notContains" id="{8ACDC0D4-2E1B-48FC-B27D-D91378E97E45}">
            <xm:f>ISERROR(SEARCH("-",K222))</xm:f>
            <xm:f>"-"</xm:f>
            <x14:dxf>
              <fill>
                <patternFill>
                  <bgColor theme="0" tint="-4.9989318521683403E-2"/>
                </patternFill>
              </fill>
            </x14:dxf>
          </x14:cfRule>
          <xm:sqref>K222:L249</xm:sqref>
        </x14:conditionalFormatting>
        <x14:conditionalFormatting xmlns:xm="http://schemas.microsoft.com/office/excel/2006/main">
          <x14:cfRule type="containsText" priority="34" operator="containsText" id="{A70479C0-CF55-4709-A2DF-28D6AC0D8DE9}">
            <xm:f>NOT(ISERROR(SEARCH("-",E220)))</xm:f>
            <xm:f>"-"</xm:f>
            <x14:dxf>
              <fill>
                <patternFill>
                  <bgColor theme="0" tint="-4.9989318521683403E-2"/>
                </patternFill>
              </fill>
            </x14:dxf>
          </x14:cfRule>
          <xm:sqref>E220:E225</xm:sqref>
        </x14:conditionalFormatting>
        <x14:conditionalFormatting xmlns:xm="http://schemas.microsoft.com/office/excel/2006/main">
          <x14:cfRule type="containsText" priority="30" operator="containsText" id="{71BBD32D-E00E-4AC3-A012-1A571A09DBAE}">
            <xm:f>NOT(ISERROR(SEARCH("-",E228)))</xm:f>
            <xm:f>"-"</xm:f>
            <x14:dxf>
              <fill>
                <patternFill>
                  <bgColor theme="0" tint="-4.9989318521683403E-2"/>
                </patternFill>
              </fill>
            </x14:dxf>
          </x14:cfRule>
          <xm:sqref>E228:E233</xm:sqref>
        </x14:conditionalFormatting>
        <x14:conditionalFormatting xmlns:xm="http://schemas.microsoft.com/office/excel/2006/main">
          <x14:cfRule type="containsText" priority="26" operator="containsText" id="{CEBEE699-4EE3-44B7-BBD8-706800BC434D}">
            <xm:f>NOT(ISERROR(SEARCH("-",E236)))</xm:f>
            <xm:f>"-"</xm:f>
            <x14:dxf>
              <fill>
                <patternFill>
                  <bgColor theme="0" tint="-4.9989318521683403E-2"/>
                </patternFill>
              </fill>
            </x14:dxf>
          </x14:cfRule>
          <xm:sqref>E236:E241</xm:sqref>
        </x14:conditionalFormatting>
        <x14:conditionalFormatting xmlns:xm="http://schemas.microsoft.com/office/excel/2006/main">
          <x14:cfRule type="containsText" priority="22" operator="containsText" id="{42C1F97B-9A09-4632-A702-7AFECCEA247E}">
            <xm:f>NOT(ISERROR(SEARCH("-",E244)))</xm:f>
            <xm:f>"-"</xm:f>
            <x14:dxf>
              <fill>
                <patternFill>
                  <bgColor theme="0" tint="-4.9989318521683403E-2"/>
                </patternFill>
              </fill>
            </x14:dxf>
          </x14:cfRule>
          <xm:sqref>E244:E249</xm:sqref>
        </x14:conditionalFormatting>
        <x14:conditionalFormatting xmlns:xm="http://schemas.microsoft.com/office/excel/2006/main">
          <x14:cfRule type="expression" priority="20" id="{EF22469D-13BC-420C-BB05-C8D77F735ABA}">
            <xm:f>G216=Categories!$E$16</xm:f>
            <x14:dxf>
              <font>
                <b/>
                <i val="0"/>
              </font>
            </x14:dxf>
          </x14:cfRule>
          <xm:sqref>I216:I249</xm:sqref>
        </x14:conditionalFormatting>
        <x14:conditionalFormatting xmlns:xm="http://schemas.microsoft.com/office/excel/2006/main">
          <x14:cfRule type="containsText" priority="16" operator="containsText" id="{DA3A35E0-69EE-4F9B-9D11-B97381AC8904}">
            <xm:f>NOT(ISERROR(SEARCH("-",E250)))</xm:f>
            <xm:f>"-"</xm:f>
            <x14:dxf>
              <fill>
                <patternFill>
                  <bgColor theme="0" tint="-4.9989318521683403E-2"/>
                </patternFill>
              </fill>
            </x14:dxf>
          </x14:cfRule>
          <xm:sqref>E250</xm:sqref>
        </x14:conditionalFormatting>
        <x14:conditionalFormatting xmlns:xm="http://schemas.microsoft.com/office/excel/2006/main">
          <x14:cfRule type="containsText" priority="11" operator="containsText" id="{83D70736-DDA7-4756-92EF-6DE262EEDD82}">
            <xm:f>NOT(ISERROR(SEARCH("-",E250)))</xm:f>
            <xm:f>"-"</xm:f>
            <x14:dxf>
              <fill>
                <patternFill>
                  <bgColor theme="0" tint="-4.9989318521683403E-2"/>
                </patternFill>
              </fill>
            </x14:dxf>
          </x14:cfRule>
          <xm:sqref>E250</xm:sqref>
        </x14:conditionalFormatting>
        <x14:conditionalFormatting xmlns:xm="http://schemas.microsoft.com/office/excel/2006/main">
          <x14:cfRule type="expression" priority="9" id="{6A483872-87E4-4870-88B1-202429F70A6F}">
            <xm:f>G250=Categories!$E$7</xm:f>
            <x14:dxf>
              <font>
                <b/>
                <i val="0"/>
              </font>
            </x14:dxf>
          </x14:cfRule>
          <xm:sqref>J250</xm:sqref>
        </x14:conditionalFormatting>
        <x14:conditionalFormatting xmlns:xm="http://schemas.microsoft.com/office/excel/2006/main">
          <x14:cfRule type="expression" priority="8" id="{D41EB7E1-04A2-41DD-8D46-2288E9686524}">
            <xm:f>G250=Categories!$E$11</xm:f>
            <x14:dxf>
              <font>
                <b/>
                <i val="0"/>
              </font>
            </x14:dxf>
          </x14:cfRule>
          <xm:sqref>M250</xm:sqref>
        </x14:conditionalFormatting>
        <x14:conditionalFormatting xmlns:xm="http://schemas.microsoft.com/office/excel/2006/main">
          <x14:cfRule type="notContainsText" priority="7" operator="notContains" id="{ED1E6A61-5CA2-4249-84C0-6B1617B03935}">
            <xm:f>ISERROR(SEARCH("-",K250))</xm:f>
            <xm:f>"-"</xm:f>
            <x14:dxf>
              <fill>
                <patternFill>
                  <bgColor theme="0" tint="-4.9989318521683403E-2"/>
                </patternFill>
              </fill>
            </x14:dxf>
          </x14:cfRule>
          <xm:sqref>K250:L250</xm:sqref>
        </x14:conditionalFormatting>
        <x14:conditionalFormatting xmlns:xm="http://schemas.microsoft.com/office/excel/2006/main">
          <x14:cfRule type="expression" priority="6" id="{BA8D818A-744E-4D30-BBD8-5DD995BD57EB}">
            <xm:f>G250=Categories!$E$16</xm:f>
            <x14:dxf>
              <font>
                <b/>
                <i val="0"/>
              </font>
            </x14:dxf>
          </x14:cfRule>
          <xm:sqref>I250</xm:sqref>
        </x14:conditionalFormatting>
        <x14:conditionalFormatting xmlns:xm="http://schemas.microsoft.com/office/excel/2006/main">
          <x14:cfRule type="expression" priority="5" id="{DF1DEF8A-EEAA-466A-BED1-2C7B814E981A}">
            <xm:f>G219=Categories!$E$11</xm:f>
            <x14:dxf>
              <font>
                <b/>
                <i val="0"/>
              </font>
            </x14:dxf>
          </x14:cfRule>
          <xm:sqref>M219:M249</xm:sqref>
        </x14:conditionalFormatting>
        <x14:conditionalFormatting xmlns:xm="http://schemas.microsoft.com/office/excel/2006/main">
          <x14:cfRule type="containsText" priority="3" operator="containsText" id="{9E0E623D-1E85-41F6-AEB0-0CC7A078548C}">
            <xm:f>NOT(ISERROR(SEARCH("-",O4)))</xm:f>
            <xm:f>"-"</xm:f>
            <x14:dxf>
              <fill>
                <patternFill>
                  <bgColor theme="0"/>
                </patternFill>
              </fill>
            </x14:dxf>
          </x14:cfRule>
          <x14:cfRule type="notContainsText" priority="4" operator="notContains" id="{DA9101E1-13DE-4FBA-B4DB-A52A225E9173}">
            <xm:f>ISERROR(SEARCH("-",O4))</xm:f>
            <xm:f>"-"</xm:f>
            <x14:dxf>
              <fill>
                <patternFill>
                  <bgColor theme="0" tint="-4.9989318521683403E-2"/>
                </patternFill>
              </fill>
            </x14:dxf>
          </x14:cfRule>
          <xm:sqref>O4</xm:sqref>
        </x14:conditionalFormatting>
        <x14:conditionalFormatting xmlns:xm="http://schemas.microsoft.com/office/excel/2006/main">
          <x14:cfRule type="containsText" priority="1" operator="containsText" id="{72B6C2D0-B740-4C95-877C-C1D042C938AB}">
            <xm:f>NOT(ISERROR(SEARCH("-",O5)))</xm:f>
            <xm:f>"-"</xm:f>
            <x14:dxf>
              <fill>
                <patternFill>
                  <bgColor theme="0"/>
                </patternFill>
              </fill>
            </x14:dxf>
          </x14:cfRule>
          <x14:cfRule type="notContainsText" priority="2" operator="notContains" id="{2982E92D-8087-409F-904C-197FCCDD119B}">
            <xm:f>ISERROR(SEARCH("-",O5))</xm:f>
            <xm:f>"-"</xm:f>
            <x14:dxf>
              <fill>
                <patternFill>
                  <bgColor theme="0" tint="-4.9989318521683403E-2"/>
                </patternFill>
              </fill>
            </x14:dxf>
          </x14:cfRule>
          <xm:sqref>O5:O270</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G271:G1048576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F271:F1048576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J271:M1048576 P271:P1048576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F4:G4 F5:F270</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G5:G270</xm:sqref>
        </x14:dataValidation>
        <x14:dataValidation type="list" errorStyle="warning" allowBlank="1" showInputMessage="1" showErrorMessage="1" xr:uid="{09BD95C3-8F4B-4D21-829F-6023A368E547}">
          <x14:formula1>
            <xm:f>Categories!$K$4:$K$18</xm:f>
          </x14:formula1>
          <xm:sqref>M4:M270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44"/>
  <sheetViews>
    <sheetView showGridLines="0" zoomScale="90" zoomScaleNormal="90" workbookViewId="0">
      <pane ySplit="2" topLeftCell="A3" activePane="bottomLeft" state="frozen"/>
      <selection pane="bottomLeft" activeCell="E4" sqref="E4"/>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customWidth="1"/>
    <col min="6" max="6" width="28.109375" customWidth="1"/>
    <col min="7" max="7" width="83.33203125" customWidth="1"/>
  </cols>
  <sheetData>
    <row r="1" spans="1:8" s="120" customFormat="1" ht="18" x14ac:dyDescent="0.35">
      <c r="B1" s="218" t="s">
        <v>134</v>
      </c>
      <c r="C1" s="218"/>
      <c r="D1" s="218" t="s">
        <v>134</v>
      </c>
      <c r="E1" s="222" t="s">
        <v>104</v>
      </c>
      <c r="F1" s="218"/>
      <c r="G1" s="218"/>
      <c r="H1" s="73"/>
    </row>
    <row r="2" spans="1:8" s="114" customFormat="1" ht="16.8" customHeight="1" x14ac:dyDescent="0.3">
      <c r="B2" s="130" t="s">
        <v>23</v>
      </c>
      <c r="C2" s="130" t="s">
        <v>103</v>
      </c>
      <c r="D2" s="130" t="s">
        <v>102</v>
      </c>
      <c r="E2" s="130" t="s">
        <v>101</v>
      </c>
      <c r="F2" s="130" t="s">
        <v>133</v>
      </c>
      <c r="G2" s="130" t="s">
        <v>100</v>
      </c>
    </row>
    <row r="3" spans="1:8" s="73" customFormat="1" ht="14.4" customHeight="1" x14ac:dyDescent="0.25">
      <c r="B3" s="219" t="s">
        <v>282</v>
      </c>
      <c r="C3" s="220"/>
      <c r="D3" s="220"/>
      <c r="E3" s="220"/>
      <c r="F3" s="220"/>
      <c r="G3" s="221"/>
    </row>
    <row r="4" spans="1:8" ht="24.6" customHeight="1" x14ac:dyDescent="0.3">
      <c r="A4" s="123">
        <v>44013</v>
      </c>
      <c r="B4" s="125"/>
      <c r="C4" s="71"/>
      <c r="D4" s="69"/>
      <c r="E4" s="68" t="s">
        <v>293</v>
      </c>
      <c r="F4" s="68"/>
      <c r="G4" s="126"/>
    </row>
    <row r="5" spans="1:8" ht="24.6" customHeight="1" x14ac:dyDescent="0.3">
      <c r="A5" s="123">
        <v>44013</v>
      </c>
      <c r="B5" s="127"/>
      <c r="C5" s="71"/>
      <c r="D5" s="69"/>
      <c r="E5" s="68" t="s">
        <v>284</v>
      </c>
      <c r="F5" s="68"/>
      <c r="G5" s="126"/>
    </row>
    <row r="6" spans="1:8" ht="24.6" customHeight="1" x14ac:dyDescent="0.3">
      <c r="A6" s="123">
        <v>44013</v>
      </c>
      <c r="B6" s="127"/>
      <c r="C6" s="71"/>
      <c r="D6" s="69"/>
      <c r="E6" s="68"/>
      <c r="F6" s="68"/>
      <c r="G6" s="126"/>
    </row>
    <row r="7" spans="1:8" ht="24.6" customHeight="1" x14ac:dyDescent="0.3">
      <c r="A7" s="123">
        <v>44013</v>
      </c>
      <c r="B7" s="127"/>
      <c r="C7" s="71"/>
      <c r="D7" s="69"/>
      <c r="E7" s="68" t="s">
        <v>285</v>
      </c>
      <c r="F7" s="68"/>
      <c r="G7" s="126"/>
    </row>
    <row r="8" spans="1:8" ht="24.6" customHeight="1" x14ac:dyDescent="0.3">
      <c r="B8" s="127"/>
      <c r="C8" s="72"/>
      <c r="D8" s="69"/>
      <c r="E8" s="68" t="s">
        <v>286</v>
      </c>
      <c r="F8" s="68"/>
      <c r="G8" s="128"/>
    </row>
    <row r="9" spans="1:8" ht="24.6" customHeight="1" x14ac:dyDescent="0.3">
      <c r="B9" s="129"/>
      <c r="C9" s="71"/>
      <c r="D9" s="69"/>
      <c r="E9" s="68" t="s">
        <v>287</v>
      </c>
      <c r="F9" s="68"/>
      <c r="G9" s="126"/>
    </row>
    <row r="10" spans="1:8" ht="24.6" customHeight="1" x14ac:dyDescent="0.3">
      <c r="B10" s="129"/>
      <c r="C10" s="71"/>
      <c r="D10" s="69"/>
      <c r="E10" s="68" t="s">
        <v>287</v>
      </c>
      <c r="F10" s="68"/>
      <c r="G10" s="126"/>
    </row>
    <row r="11" spans="1:8" ht="24.6" customHeight="1" x14ac:dyDescent="0.3">
      <c r="B11" s="129"/>
      <c r="C11" s="71"/>
      <c r="D11" s="69"/>
      <c r="E11" s="68"/>
      <c r="F11" s="68"/>
      <c r="G11" s="126"/>
    </row>
    <row r="12" spans="1:8" ht="24.6" customHeight="1" x14ac:dyDescent="0.3">
      <c r="B12" s="129"/>
      <c r="C12" s="71"/>
      <c r="D12" s="69"/>
      <c r="E12" s="68" t="s">
        <v>290</v>
      </c>
      <c r="F12" s="68"/>
      <c r="G12" s="126"/>
    </row>
    <row r="13" spans="1:8" ht="24.6" customHeight="1" x14ac:dyDescent="0.3">
      <c r="B13" s="129"/>
      <c r="C13" s="71"/>
      <c r="D13" s="69"/>
      <c r="E13" s="68"/>
      <c r="F13" s="68"/>
      <c r="G13" s="126"/>
    </row>
    <row r="14" spans="1:8" ht="24.6" customHeight="1" x14ac:dyDescent="0.3">
      <c r="B14" s="129"/>
      <c r="C14" s="71"/>
      <c r="D14" s="69"/>
      <c r="E14" s="68" t="s">
        <v>291</v>
      </c>
      <c r="F14" s="68"/>
      <c r="G14" s="126"/>
    </row>
    <row r="15" spans="1:8" ht="24.6" customHeight="1" x14ac:dyDescent="0.3">
      <c r="B15" s="129"/>
      <c r="C15" s="71"/>
      <c r="D15" s="69"/>
      <c r="E15" s="68"/>
      <c r="F15" s="68"/>
      <c r="G15" s="126"/>
    </row>
    <row r="16" spans="1:8" ht="24.6" customHeight="1" x14ac:dyDescent="0.3">
      <c r="B16" s="129"/>
      <c r="C16" s="71"/>
      <c r="D16" s="69"/>
      <c r="E16" s="68"/>
      <c r="F16" s="68"/>
      <c r="G16" s="126"/>
    </row>
    <row r="17" spans="2:7" ht="24.6" customHeight="1" x14ac:dyDescent="0.3">
      <c r="B17" s="129"/>
      <c r="C17" s="71"/>
      <c r="D17" s="69"/>
      <c r="E17" s="68"/>
      <c r="F17" s="68"/>
      <c r="G17" s="126"/>
    </row>
    <row r="18" spans="2:7" ht="24.6" customHeight="1" x14ac:dyDescent="0.3">
      <c r="B18" s="129"/>
      <c r="C18" s="71"/>
      <c r="D18" s="69"/>
      <c r="E18" s="68"/>
      <c r="F18" s="68"/>
      <c r="G18" s="126"/>
    </row>
    <row r="19" spans="2:7" ht="24.6" customHeight="1" x14ac:dyDescent="0.3">
      <c r="B19" s="129"/>
      <c r="C19" s="71"/>
      <c r="D19" s="69"/>
      <c r="E19" s="68"/>
      <c r="F19" s="68"/>
      <c r="G19" s="126"/>
    </row>
    <row r="20" spans="2:7" ht="24.6" customHeight="1" x14ac:dyDescent="0.3">
      <c r="B20" s="129"/>
      <c r="C20" s="71"/>
      <c r="D20" s="69"/>
      <c r="E20" s="68"/>
      <c r="F20" s="68"/>
      <c r="G20" s="68"/>
    </row>
    <row r="21" spans="2:7" ht="24.6" customHeight="1" x14ac:dyDescent="0.3">
      <c r="B21" s="129"/>
      <c r="C21" s="71"/>
      <c r="D21" s="69"/>
      <c r="E21" s="68"/>
      <c r="F21" s="68"/>
      <c r="G21" s="68"/>
    </row>
    <row r="22" spans="2:7" ht="24.6" customHeight="1" x14ac:dyDescent="0.3">
      <c r="B22" s="129"/>
      <c r="C22" s="71"/>
      <c r="D22" s="69"/>
      <c r="E22" s="68"/>
      <c r="F22" s="68"/>
      <c r="G22" s="126"/>
    </row>
    <row r="23" spans="2:7" ht="15.6" customHeight="1" x14ac:dyDescent="0.3">
      <c r="B23" s="219" t="s">
        <v>292</v>
      </c>
      <c r="C23" s="220"/>
      <c r="D23" s="220"/>
      <c r="E23" s="220"/>
      <c r="F23" s="220"/>
      <c r="G23" s="221"/>
    </row>
    <row r="24" spans="2:7" ht="30" customHeight="1" x14ac:dyDescent="0.3">
      <c r="B24" s="129"/>
      <c r="C24" s="71"/>
      <c r="D24" s="69"/>
      <c r="E24" s="68"/>
      <c r="F24" s="68"/>
      <c r="G24" s="68"/>
    </row>
    <row r="25" spans="2:7" ht="30" customHeight="1" x14ac:dyDescent="0.3">
      <c r="B25" s="129"/>
      <c r="C25" s="70"/>
      <c r="D25" s="69"/>
      <c r="E25" s="68"/>
      <c r="F25" s="68"/>
      <c r="G25" s="68"/>
    </row>
    <row r="26" spans="2:7" ht="30" customHeight="1" x14ac:dyDescent="0.3">
      <c r="B26" s="129"/>
      <c r="C26" s="71"/>
      <c r="D26" s="69"/>
      <c r="E26" s="68"/>
      <c r="F26" s="68"/>
      <c r="G26" s="68"/>
    </row>
    <row r="27" spans="2:7" ht="30" customHeight="1" x14ac:dyDescent="0.3">
      <c r="B27" s="129"/>
      <c r="C27" s="70"/>
      <c r="D27" s="69"/>
      <c r="E27" s="68"/>
      <c r="F27" s="68"/>
      <c r="G27" s="68"/>
    </row>
    <row r="28" spans="2:7" ht="30" customHeight="1" x14ac:dyDescent="0.3">
      <c r="B28" s="129"/>
      <c r="C28" s="70"/>
      <c r="D28" s="69"/>
      <c r="E28" s="68"/>
      <c r="F28" s="68"/>
      <c r="G28" s="68"/>
    </row>
    <row r="29" spans="2:7" ht="30" customHeight="1" x14ac:dyDescent="0.3">
      <c r="B29" s="129"/>
      <c r="C29" s="70"/>
      <c r="D29" s="69"/>
      <c r="E29" s="68"/>
      <c r="F29" s="68"/>
      <c r="G29" s="68"/>
    </row>
    <row r="30" spans="2:7" ht="15.6" customHeight="1" x14ac:dyDescent="0.3">
      <c r="B30" s="219" t="s">
        <v>283</v>
      </c>
      <c r="C30" s="220"/>
      <c r="D30" s="220"/>
      <c r="E30" s="220"/>
      <c r="F30" s="220"/>
      <c r="G30" s="221"/>
    </row>
    <row r="31" spans="2:7" ht="30" customHeight="1" x14ac:dyDescent="0.3">
      <c r="B31" s="129"/>
      <c r="C31" s="70"/>
      <c r="D31" s="69"/>
      <c r="E31" s="68" t="s">
        <v>99</v>
      </c>
      <c r="F31" s="68"/>
      <c r="G31" s="128"/>
    </row>
    <row r="32" spans="2:7" ht="30" customHeight="1" x14ac:dyDescent="0.3">
      <c r="B32" s="129"/>
      <c r="C32" s="70"/>
      <c r="D32" s="69"/>
      <c r="E32" s="68" t="s">
        <v>99</v>
      </c>
      <c r="F32" s="68"/>
      <c r="G32" s="128"/>
    </row>
    <row r="33" spans="2:7" ht="30" customHeight="1" x14ac:dyDescent="0.3">
      <c r="B33" s="129"/>
      <c r="C33" s="70"/>
      <c r="D33" s="69"/>
      <c r="E33" s="68" t="s">
        <v>98</v>
      </c>
      <c r="F33" s="68"/>
      <c r="G33" s="128"/>
    </row>
    <row r="34" spans="2:7" ht="30" customHeight="1" x14ac:dyDescent="0.3">
      <c r="B34" s="129"/>
      <c r="C34" s="70"/>
      <c r="D34" s="69"/>
      <c r="E34" s="68" t="s">
        <v>97</v>
      </c>
      <c r="F34" s="68"/>
      <c r="G34" s="128" t="s">
        <v>96</v>
      </c>
    </row>
    <row r="35" spans="2:7" ht="30" customHeight="1" x14ac:dyDescent="0.3">
      <c r="B35" s="129"/>
      <c r="C35" s="70"/>
      <c r="D35" s="69"/>
      <c r="E35" s="68"/>
      <c r="F35" s="68"/>
      <c r="G35" s="128"/>
    </row>
    <row r="36" spans="2:7" ht="30" customHeight="1" x14ac:dyDescent="0.3">
      <c r="B36" s="129"/>
      <c r="C36" s="70"/>
      <c r="D36" s="69"/>
      <c r="E36" s="68"/>
      <c r="F36" s="68"/>
      <c r="G36" s="128"/>
    </row>
    <row r="37" spans="2:7" ht="30" customHeight="1" x14ac:dyDescent="0.3">
      <c r="B37" s="129"/>
      <c r="C37" s="70"/>
      <c r="D37" s="69"/>
      <c r="E37" s="68"/>
      <c r="F37" s="68"/>
      <c r="G37" s="128"/>
    </row>
    <row r="38" spans="2:7" ht="30" customHeight="1" x14ac:dyDescent="0.3">
      <c r="B38" s="129"/>
      <c r="C38" s="70"/>
      <c r="D38" s="69"/>
      <c r="E38" s="68"/>
      <c r="F38" s="68"/>
      <c r="G38" s="128"/>
    </row>
    <row r="39" spans="2:7" ht="30" customHeight="1" x14ac:dyDescent="0.3">
      <c r="B39" s="129"/>
      <c r="C39" s="70"/>
      <c r="D39" s="69"/>
      <c r="E39" s="68" t="s">
        <v>95</v>
      </c>
      <c r="F39" s="68"/>
      <c r="G39" s="128"/>
    </row>
    <row r="40" spans="2:7" ht="30" customHeight="1" x14ac:dyDescent="0.3">
      <c r="B40" s="129"/>
      <c r="C40" s="70"/>
      <c r="D40" s="69"/>
      <c r="E40" s="68" t="s">
        <v>94</v>
      </c>
      <c r="F40" s="68"/>
      <c r="G40" s="128"/>
    </row>
    <row r="41" spans="2:7" ht="30" customHeight="1" x14ac:dyDescent="0.3">
      <c r="B41" s="26"/>
    </row>
    <row r="42" spans="2:7" ht="30" customHeight="1" x14ac:dyDescent="0.3">
      <c r="B42" s="26"/>
    </row>
    <row r="43" spans="2:7" ht="30" customHeight="1" x14ac:dyDescent="0.3">
      <c r="B43" s="26"/>
    </row>
    <row r="44" spans="2:7" ht="30" customHeight="1" x14ac:dyDescent="0.3">
      <c r="B44" s="26"/>
    </row>
  </sheetData>
  <mergeCells count="5">
    <mergeCell ref="B1:D1"/>
    <mergeCell ref="B23:G23"/>
    <mergeCell ref="B30:G30"/>
    <mergeCell ref="B3:G3"/>
    <mergeCell ref="E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I27"/>
  <sheetViews>
    <sheetView showGridLines="0" zoomScale="90" zoomScaleNormal="90" workbookViewId="0">
      <selection activeCell="E7" sqref="E7"/>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53" bestFit="1" customWidth="1"/>
  </cols>
  <sheetData>
    <row r="1" spans="2:9" ht="7.8" customHeight="1" x14ac:dyDescent="0.3"/>
    <row r="2" spans="2:9" s="1" customFormat="1" ht="19.95" customHeight="1" x14ac:dyDescent="0.3">
      <c r="B2" s="223" t="s">
        <v>88</v>
      </c>
      <c r="C2" s="223"/>
      <c r="D2" s="114"/>
      <c r="E2" s="223" t="s">
        <v>145</v>
      </c>
      <c r="F2" s="223"/>
      <c r="G2" s="223"/>
      <c r="H2" s="223"/>
      <c r="I2" s="223"/>
    </row>
    <row r="3" spans="2:9" s="2" customFormat="1" ht="19.95" customHeight="1" x14ac:dyDescent="0.3">
      <c r="B3" s="5" t="s">
        <v>120</v>
      </c>
      <c r="C3" s="3" t="s">
        <v>295</v>
      </c>
      <c r="D3" s="115"/>
      <c r="E3" s="22" t="s">
        <v>28</v>
      </c>
      <c r="F3" s="22" t="s">
        <v>8</v>
      </c>
      <c r="G3" s="22" t="s">
        <v>43</v>
      </c>
      <c r="H3" s="22" t="s">
        <v>144</v>
      </c>
      <c r="I3" s="23" t="s">
        <v>143</v>
      </c>
    </row>
    <row r="4" spans="2:9" s="1" customFormat="1" ht="19.95" customHeight="1" x14ac:dyDescent="0.3">
      <c r="B4" s="5" t="s">
        <v>132</v>
      </c>
      <c r="C4" s="4" t="s">
        <v>126</v>
      </c>
      <c r="D4" s="114"/>
      <c r="E4" s="113" t="s">
        <v>29</v>
      </c>
      <c r="F4" s="133" t="s">
        <v>154</v>
      </c>
      <c r="G4" s="132"/>
      <c r="H4" s="132"/>
      <c r="I4" s="113" t="s">
        <v>150</v>
      </c>
    </row>
    <row r="5" spans="2:9" s="1" customFormat="1" ht="19.95" customHeight="1" x14ac:dyDescent="0.3">
      <c r="B5" s="5" t="s">
        <v>121</v>
      </c>
      <c r="C5" s="4" t="s">
        <v>269</v>
      </c>
      <c r="D5" s="114"/>
      <c r="E5" s="113" t="s">
        <v>31</v>
      </c>
      <c r="F5" s="24" t="s">
        <v>155</v>
      </c>
      <c r="G5" s="132">
        <v>1</v>
      </c>
      <c r="H5" s="132"/>
      <c r="I5" s="113" t="s">
        <v>0</v>
      </c>
    </row>
    <row r="6" spans="2:9" s="1" customFormat="1" ht="19.95" customHeight="1" x14ac:dyDescent="0.3">
      <c r="B6" s="5" t="s">
        <v>270</v>
      </c>
      <c r="C6" s="4">
        <v>6</v>
      </c>
      <c r="D6" s="114"/>
      <c r="E6" s="113" t="s">
        <v>32</v>
      </c>
      <c r="F6" s="24" t="s">
        <v>156</v>
      </c>
      <c r="G6" s="132">
        <v>1</v>
      </c>
      <c r="H6" s="132"/>
      <c r="I6" s="113" t="s">
        <v>0</v>
      </c>
    </row>
    <row r="7" spans="2:9" s="1" customFormat="1" ht="19.95" customHeight="1" x14ac:dyDescent="0.3">
      <c r="B7" s="5" t="s">
        <v>272</v>
      </c>
      <c r="C7" s="4" t="s">
        <v>271</v>
      </c>
      <c r="D7" s="114"/>
      <c r="E7" s="113" t="s">
        <v>42</v>
      </c>
      <c r="F7" s="24" t="s">
        <v>169</v>
      </c>
      <c r="G7" s="134">
        <v>1</v>
      </c>
      <c r="H7" s="134"/>
      <c r="I7" s="137" t="s">
        <v>146</v>
      </c>
    </row>
    <row r="8" spans="2:9" s="1" customFormat="1" ht="19.95" customHeight="1" x14ac:dyDescent="0.3">
      <c r="B8" s="5" t="s">
        <v>294</v>
      </c>
      <c r="C8" s="208" t="str">
        <f>"Seq"&amp;LEFT($C$6,10)&amp;" - LVAD"&amp;LEFT($G$4,10) &amp; IF($C$7=Categories!$X$7,""," - "&amp;$C$7)</f>
        <v>Seq6 - LVAD - Pilot</v>
      </c>
      <c r="D8" s="114"/>
      <c r="E8" s="3" t="s">
        <v>165</v>
      </c>
      <c r="F8" s="24" t="s">
        <v>166</v>
      </c>
      <c r="G8" s="24">
        <v>1</v>
      </c>
      <c r="H8" s="24"/>
      <c r="I8" s="3" t="s">
        <v>0</v>
      </c>
    </row>
    <row r="9" spans="2:9" s="2" customFormat="1" ht="19.95" customHeight="1" x14ac:dyDescent="0.3">
      <c r="B9" s="5" t="s">
        <v>122</v>
      </c>
      <c r="C9" s="208" t="str">
        <f>C5&amp;"_Seq"&amp;LEFT(C6,10)</f>
        <v>IV2_Seq6</v>
      </c>
      <c r="D9" s="115"/>
      <c r="E9" s="113" t="s">
        <v>112</v>
      </c>
      <c r="F9" s="24" t="s">
        <v>168</v>
      </c>
      <c r="G9" s="209">
        <v>1</v>
      </c>
      <c r="H9" s="134"/>
      <c r="I9" s="113" t="s">
        <v>147</v>
      </c>
    </row>
    <row r="10" spans="2:9" s="2" customFormat="1" ht="19.95" customHeight="1" x14ac:dyDescent="0.3">
      <c r="B10" s="5" t="s">
        <v>34</v>
      </c>
      <c r="C10" s="4"/>
      <c r="D10" s="115"/>
      <c r="E10" s="113" t="s">
        <v>112</v>
      </c>
      <c r="F10" s="24" t="s">
        <v>168</v>
      </c>
      <c r="G10" s="209">
        <v>2</v>
      </c>
      <c r="H10" s="134"/>
      <c r="I10" s="113" t="s">
        <v>148</v>
      </c>
    </row>
    <row r="11" spans="2:9" s="2" customFormat="1" ht="19.95" customHeight="1" x14ac:dyDescent="0.3">
      <c r="B11" s="116"/>
      <c r="C11" s="25"/>
      <c r="D11" s="115"/>
      <c r="E11" s="3" t="s">
        <v>152</v>
      </c>
      <c r="F11" s="24" t="s">
        <v>167</v>
      </c>
      <c r="G11" s="24">
        <v>1</v>
      </c>
      <c r="H11" s="24"/>
      <c r="I11" s="3" t="s">
        <v>0</v>
      </c>
    </row>
    <row r="12" spans="2:9" s="2" customFormat="1" ht="19.95" customHeight="1" x14ac:dyDescent="0.3">
      <c r="B12" s="115"/>
      <c r="C12" s="115"/>
      <c r="D12" s="115"/>
      <c r="E12" s="3" t="s">
        <v>152</v>
      </c>
      <c r="F12" s="24" t="s">
        <v>167</v>
      </c>
      <c r="G12" s="24">
        <v>2</v>
      </c>
      <c r="H12" s="24"/>
      <c r="I12" s="3" t="s">
        <v>0</v>
      </c>
    </row>
    <row r="13" spans="2:9" s="2" customFormat="1" ht="19.95" customHeight="1" x14ac:dyDescent="0.3">
      <c r="B13" s="115"/>
      <c r="C13" s="115"/>
      <c r="D13" s="115"/>
      <c r="E13" s="113" t="s">
        <v>171</v>
      </c>
      <c r="F13" s="24" t="s">
        <v>172</v>
      </c>
      <c r="G13" s="134">
        <v>1</v>
      </c>
      <c r="H13" s="134"/>
      <c r="I13" s="3" t="s">
        <v>0</v>
      </c>
    </row>
    <row r="14" spans="2:9" s="2" customFormat="1" ht="19.95" customHeight="1" x14ac:dyDescent="0.3">
      <c r="B14" s="115"/>
      <c r="C14" s="115"/>
      <c r="E14" s="113" t="s">
        <v>171</v>
      </c>
      <c r="F14" s="24" t="s">
        <v>172</v>
      </c>
      <c r="G14" s="134">
        <v>2</v>
      </c>
      <c r="H14" s="134"/>
      <c r="I14" s="3" t="s">
        <v>0</v>
      </c>
    </row>
    <row r="15" spans="2:9" s="2" customFormat="1" ht="19.95" customHeight="1" x14ac:dyDescent="0.3">
      <c r="B15" s="115"/>
      <c r="C15" s="115"/>
      <c r="E15" s="3" t="s">
        <v>163</v>
      </c>
      <c r="F15" s="24" t="s">
        <v>164</v>
      </c>
      <c r="G15" s="24">
        <v>1</v>
      </c>
      <c r="H15" s="24"/>
      <c r="I15" s="3" t="s">
        <v>0</v>
      </c>
    </row>
    <row r="16" spans="2:9" ht="19.95" customHeight="1" x14ac:dyDescent="0.3">
      <c r="B16" s="2"/>
      <c r="C16" s="2"/>
      <c r="E16" s="3" t="s">
        <v>163</v>
      </c>
      <c r="F16" s="24" t="s">
        <v>164</v>
      </c>
      <c r="G16" s="24">
        <v>2</v>
      </c>
      <c r="H16" s="24"/>
      <c r="I16" s="3" t="s">
        <v>0</v>
      </c>
    </row>
    <row r="17" spans="2:9" ht="19.95" customHeight="1" x14ac:dyDescent="0.3">
      <c r="B17" s="2"/>
      <c r="C17" s="2"/>
      <c r="E17" s="3" t="s">
        <v>30</v>
      </c>
      <c r="F17" s="24" t="s">
        <v>176</v>
      </c>
      <c r="G17" s="24">
        <v>1</v>
      </c>
      <c r="H17" s="24"/>
      <c r="I17" s="3" t="s">
        <v>277</v>
      </c>
    </row>
    <row r="18" spans="2:9" ht="19.95" customHeight="1" x14ac:dyDescent="0.3">
      <c r="E18" s="3" t="s">
        <v>30</v>
      </c>
      <c r="F18" s="24" t="s">
        <v>176</v>
      </c>
      <c r="G18" s="24">
        <v>2</v>
      </c>
      <c r="H18" s="24"/>
      <c r="I18" s="3" t="s">
        <v>140</v>
      </c>
    </row>
    <row r="19" spans="2:9" ht="19.95" customHeight="1" x14ac:dyDescent="0.3">
      <c r="E19" s="3" t="s">
        <v>141</v>
      </c>
      <c r="F19" s="24" t="s">
        <v>160</v>
      </c>
      <c r="G19" s="24">
        <v>1</v>
      </c>
      <c r="H19" s="24"/>
      <c r="I19" s="3" t="s">
        <v>0</v>
      </c>
    </row>
    <row r="20" spans="2:9" ht="19.95" customHeight="1" x14ac:dyDescent="0.3">
      <c r="E20" s="3" t="s">
        <v>142</v>
      </c>
      <c r="F20" s="24" t="s">
        <v>162</v>
      </c>
      <c r="G20" s="24">
        <v>1</v>
      </c>
      <c r="H20" s="24"/>
      <c r="I20" s="3" t="s">
        <v>0</v>
      </c>
    </row>
    <row r="21" spans="2:9" ht="19.95" customHeight="1" x14ac:dyDescent="0.3">
      <c r="E21" s="113" t="s">
        <v>153</v>
      </c>
      <c r="F21" s="24" t="s">
        <v>173</v>
      </c>
      <c r="G21" s="132">
        <v>2</v>
      </c>
      <c r="H21" s="132"/>
      <c r="I21" s="3" t="s">
        <v>0</v>
      </c>
    </row>
    <row r="22" spans="2:9" ht="19.95" customHeight="1" x14ac:dyDescent="0.3">
      <c r="E22" s="113" t="s">
        <v>161</v>
      </c>
      <c r="F22" s="24" t="s">
        <v>175</v>
      </c>
      <c r="G22" s="132">
        <v>1</v>
      </c>
      <c r="H22" s="132"/>
      <c r="I22" s="3" t="s">
        <v>179</v>
      </c>
    </row>
    <row r="23" spans="2:9" ht="19.95" customHeight="1" x14ac:dyDescent="0.3">
      <c r="E23" s="113" t="s">
        <v>161</v>
      </c>
      <c r="F23" s="24" t="s">
        <v>175</v>
      </c>
      <c r="G23" s="132">
        <v>2</v>
      </c>
      <c r="H23" s="132"/>
      <c r="I23" s="3" t="s">
        <v>149</v>
      </c>
    </row>
    <row r="24" spans="2:9" ht="19.95" customHeight="1" x14ac:dyDescent="0.3">
      <c r="E24" s="113" t="s">
        <v>170</v>
      </c>
      <c r="F24" s="132" t="s">
        <v>157</v>
      </c>
      <c r="G24" s="132">
        <v>1</v>
      </c>
      <c r="H24" s="132"/>
      <c r="I24" s="3" t="s">
        <v>0</v>
      </c>
    </row>
    <row r="25" spans="2:9" ht="19.95" customHeight="1" x14ac:dyDescent="0.3">
      <c r="E25" s="113" t="s">
        <v>159</v>
      </c>
      <c r="F25" s="132" t="s">
        <v>174</v>
      </c>
      <c r="G25" s="132">
        <v>1</v>
      </c>
      <c r="H25" s="132"/>
      <c r="I25" s="136" t="s">
        <v>158</v>
      </c>
    </row>
    <row r="26" spans="2:9" ht="19.95" customHeight="1" x14ac:dyDescent="0.3">
      <c r="E26" s="3" t="s">
        <v>177</v>
      </c>
      <c r="F26" s="24" t="s">
        <v>178</v>
      </c>
      <c r="G26" s="24">
        <v>1</v>
      </c>
      <c r="H26" s="24"/>
      <c r="I26" s="3" t="s">
        <v>0</v>
      </c>
    </row>
    <row r="27" spans="2:9" ht="19.95" customHeight="1" x14ac:dyDescent="0.3">
      <c r="E27" s="3" t="s">
        <v>177</v>
      </c>
      <c r="F27" s="24" t="s">
        <v>178</v>
      </c>
      <c r="G27" s="24">
        <v>2</v>
      </c>
      <c r="H27" s="24"/>
      <c r="I27" s="3" t="s">
        <v>0</v>
      </c>
    </row>
  </sheetData>
  <sortState xmlns:xlrd2="http://schemas.microsoft.com/office/spreadsheetml/2017/richdata2" ref="E4:I29">
    <sortCondition ref="F4:F29"/>
  </sortState>
  <mergeCells count="2">
    <mergeCell ref="B2:C2"/>
    <mergeCell ref="E2:I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G11" sqref="G11"/>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7" customFormat="1" ht="49.2" customHeight="1" x14ac:dyDescent="0.3">
      <c r="B1" s="74" t="s">
        <v>105</v>
      </c>
      <c r="C1" s="224" t="str">
        <f>LEFT(Description!C9,10)&amp;" - "&amp;LEFT(Description!C3,256)</f>
        <v>IV2_Seq6 - Simulated pre-pump thrombosis in glucose solution</v>
      </c>
      <c r="D1" s="224"/>
      <c r="E1" s="224"/>
      <c r="F1" s="224"/>
      <c r="G1" s="224"/>
      <c r="H1" s="224"/>
      <c r="I1" s="224"/>
      <c r="J1" s="224"/>
      <c r="K1" s="224"/>
      <c r="L1" s="75" t="s">
        <v>106</v>
      </c>
      <c r="M1" s="76"/>
    </row>
    <row r="2" spans="2:13" s="78" customFormat="1" ht="21.6" customHeight="1" x14ac:dyDescent="0.3">
      <c r="C2" s="225" t="s">
        <v>31</v>
      </c>
      <c r="D2" s="225"/>
      <c r="E2" s="124" t="s">
        <v>58</v>
      </c>
      <c r="F2" s="226" t="s">
        <v>67</v>
      </c>
      <c r="G2" s="226"/>
      <c r="H2" s="226"/>
      <c r="I2" s="226"/>
      <c r="J2" s="227" t="s">
        <v>68</v>
      </c>
      <c r="K2" s="228"/>
      <c r="L2" s="79"/>
    </row>
    <row r="3" spans="2:13" s="88" customFormat="1" ht="30" customHeight="1" x14ac:dyDescent="0.4">
      <c r="B3" s="80" t="s">
        <v>107</v>
      </c>
      <c r="C3" s="81" t="s">
        <v>76</v>
      </c>
      <c r="D3" s="82" t="s">
        <v>17</v>
      </c>
      <c r="E3" s="83" t="s">
        <v>76</v>
      </c>
      <c r="F3" s="84" t="s">
        <v>108</v>
      </c>
      <c r="G3" s="84" t="s">
        <v>109</v>
      </c>
      <c r="H3" s="85" t="s">
        <v>83</v>
      </c>
      <c r="I3" s="85" t="s">
        <v>84</v>
      </c>
      <c r="J3" s="83" t="s">
        <v>85</v>
      </c>
      <c r="K3" s="86" t="s">
        <v>86</v>
      </c>
      <c r="L3" s="87" t="s">
        <v>34</v>
      </c>
    </row>
    <row r="4" spans="2:13" s="97" customFormat="1" ht="23.4" customHeight="1" x14ac:dyDescent="0.3">
      <c r="B4" s="89" t="s">
        <v>110</v>
      </c>
      <c r="C4" s="90" t="s">
        <v>91</v>
      </c>
      <c r="D4" s="91" t="s">
        <v>16</v>
      </c>
      <c r="E4" s="92" t="s">
        <v>91</v>
      </c>
      <c r="F4" s="93" t="s">
        <v>111</v>
      </c>
      <c r="G4" s="93" t="s">
        <v>111</v>
      </c>
      <c r="H4" s="94" t="s">
        <v>92</v>
      </c>
      <c r="I4" s="94" t="s">
        <v>93</v>
      </c>
      <c r="J4" s="92" t="s">
        <v>91</v>
      </c>
      <c r="K4" s="95"/>
      <c r="L4" s="96"/>
    </row>
    <row r="5" spans="2:13" ht="59.4" customHeight="1" x14ac:dyDescent="0.3">
      <c r="B5" s="98"/>
      <c r="C5" s="99"/>
      <c r="D5" s="100"/>
      <c r="E5" s="100"/>
      <c r="F5" s="101"/>
      <c r="G5" s="101"/>
      <c r="H5" s="101"/>
      <c r="I5" s="101"/>
      <c r="J5" s="100"/>
      <c r="K5" s="102"/>
      <c r="L5" s="103"/>
    </row>
    <row r="6" spans="2:13" ht="59.4" customHeight="1" x14ac:dyDescent="0.3">
      <c r="B6" s="104"/>
      <c r="C6" s="99"/>
      <c r="D6" s="99"/>
      <c r="E6" s="99"/>
      <c r="F6" s="105"/>
      <c r="G6" s="105"/>
      <c r="H6" s="105"/>
      <c r="I6" s="105"/>
      <c r="J6" s="99"/>
      <c r="K6" s="106"/>
      <c r="L6" s="103"/>
    </row>
    <row r="7" spans="2:13" ht="59.4" customHeight="1" x14ac:dyDescent="0.3">
      <c r="B7" s="104"/>
      <c r="C7" s="99"/>
      <c r="D7" s="99"/>
      <c r="E7" s="99"/>
      <c r="F7" s="105"/>
      <c r="G7" s="105"/>
      <c r="H7" s="105"/>
      <c r="I7" s="105"/>
      <c r="J7" s="99"/>
      <c r="K7" s="106"/>
      <c r="L7" s="107"/>
    </row>
    <row r="8" spans="2:13" ht="59.4" customHeight="1" x14ac:dyDescent="0.3">
      <c r="B8" s="104"/>
      <c r="C8" s="99"/>
      <c r="D8" s="99"/>
      <c r="E8" s="99"/>
      <c r="F8" s="105"/>
      <c r="G8" s="105"/>
      <c r="H8" s="105"/>
      <c r="I8" s="105"/>
      <c r="J8" s="99"/>
      <c r="K8" s="106"/>
      <c r="L8" s="103"/>
    </row>
    <row r="9" spans="2:13" ht="59.4" customHeight="1" x14ac:dyDescent="0.3">
      <c r="B9" s="104"/>
      <c r="C9" s="99"/>
      <c r="D9" s="99"/>
      <c r="E9" s="99"/>
      <c r="F9" s="105"/>
      <c r="G9" s="105"/>
      <c r="H9" s="105"/>
      <c r="I9" s="105"/>
      <c r="J9" s="99"/>
      <c r="K9" s="106"/>
      <c r="L9" s="103"/>
    </row>
    <row r="10" spans="2:13" ht="59.4" customHeight="1" x14ac:dyDescent="0.3">
      <c r="B10" s="108"/>
      <c r="C10" s="99"/>
      <c r="D10" s="100"/>
      <c r="E10" s="100"/>
      <c r="F10" s="105"/>
      <c r="G10" s="101"/>
      <c r="H10" s="101"/>
      <c r="I10" s="101"/>
      <c r="J10" s="100"/>
      <c r="K10" s="102"/>
      <c r="L10" s="103"/>
    </row>
    <row r="11" spans="2:13" ht="59.4" customHeight="1" x14ac:dyDescent="0.3">
      <c r="B11" s="104"/>
      <c r="C11" s="99"/>
      <c r="D11" s="99"/>
      <c r="E11" s="99"/>
      <c r="F11" s="105"/>
      <c r="G11" s="105"/>
      <c r="H11" s="105"/>
      <c r="I11" s="105"/>
      <c r="J11" s="99"/>
      <c r="K11" s="106"/>
      <c r="L11" s="103"/>
    </row>
    <row r="12" spans="2:13" ht="59.4" customHeight="1" x14ac:dyDescent="0.3">
      <c r="B12" s="104"/>
      <c r="C12" s="99"/>
      <c r="D12" s="99"/>
      <c r="E12" s="99"/>
      <c r="F12" s="105"/>
      <c r="G12" s="105"/>
      <c r="H12" s="105"/>
      <c r="I12" s="105"/>
      <c r="J12" s="99"/>
      <c r="K12" s="106"/>
      <c r="L12" s="103"/>
    </row>
    <row r="13" spans="2:13" ht="59.4" customHeight="1" x14ac:dyDescent="0.3">
      <c r="B13" s="104"/>
      <c r="C13" s="99"/>
      <c r="D13" s="99"/>
      <c r="E13" s="99"/>
      <c r="F13" s="105"/>
      <c r="G13" s="105"/>
      <c r="H13" s="105"/>
      <c r="I13" s="105"/>
      <c r="J13" s="99"/>
      <c r="K13" s="106"/>
      <c r="L13" s="103"/>
    </row>
    <row r="14" spans="2:13" ht="59.4" customHeight="1" x14ac:dyDescent="0.3">
      <c r="B14" s="104"/>
      <c r="C14" s="99"/>
      <c r="D14" s="99"/>
      <c r="E14" s="99"/>
      <c r="F14" s="105"/>
      <c r="G14" s="105"/>
      <c r="H14" s="105"/>
      <c r="I14" s="105"/>
      <c r="J14" s="99"/>
      <c r="K14" s="106"/>
      <c r="L14" s="103"/>
    </row>
    <row r="15" spans="2:13" ht="59.4" customHeight="1" x14ac:dyDescent="0.3">
      <c r="B15" s="104"/>
      <c r="C15" s="99"/>
      <c r="D15" s="99"/>
      <c r="E15" s="99"/>
      <c r="F15" s="105"/>
      <c r="G15" s="105"/>
      <c r="H15" s="105"/>
      <c r="I15" s="105"/>
      <c r="J15" s="99"/>
      <c r="K15" s="106"/>
      <c r="L15" s="103"/>
    </row>
    <row r="16" spans="2:13" ht="59.4" customHeight="1" x14ac:dyDescent="0.3">
      <c r="B16" s="104"/>
      <c r="C16" s="99"/>
      <c r="D16" s="99"/>
      <c r="E16" s="99"/>
      <c r="F16" s="105"/>
      <c r="G16" s="105"/>
      <c r="H16" s="105"/>
      <c r="I16" s="105"/>
      <c r="J16" s="99"/>
      <c r="K16" s="106"/>
      <c r="L16" s="103"/>
    </row>
    <row r="17" spans="2:12" ht="59.4" customHeight="1" x14ac:dyDescent="0.3">
      <c r="B17" s="104"/>
      <c r="C17" s="99"/>
      <c r="D17" s="99"/>
      <c r="E17" s="99"/>
      <c r="F17" s="105"/>
      <c r="G17" s="105"/>
      <c r="H17" s="105"/>
      <c r="I17" s="105"/>
      <c r="J17" s="99"/>
      <c r="K17" s="106"/>
      <c r="L17" s="103"/>
    </row>
    <row r="18" spans="2:12" ht="59.4" customHeight="1" x14ac:dyDescent="0.3">
      <c r="B18" s="104"/>
      <c r="C18" s="99"/>
      <c r="D18" s="99"/>
      <c r="E18" s="99"/>
      <c r="F18" s="105"/>
      <c r="G18" s="105"/>
      <c r="H18" s="105"/>
      <c r="I18" s="105"/>
      <c r="J18" s="99"/>
      <c r="K18" s="106"/>
      <c r="L18" s="103"/>
    </row>
    <row r="19" spans="2:12" ht="59.4" customHeight="1" x14ac:dyDescent="0.3">
      <c r="B19" s="108"/>
      <c r="C19" s="99"/>
      <c r="D19" s="100"/>
      <c r="E19" s="100"/>
      <c r="F19" s="105"/>
      <c r="G19" s="101"/>
      <c r="H19" s="101"/>
      <c r="I19" s="101"/>
      <c r="J19" s="100"/>
      <c r="K19" s="102"/>
      <c r="L19" s="103"/>
    </row>
    <row r="20" spans="2:12" ht="59.4" customHeight="1" x14ac:dyDescent="0.3">
      <c r="B20" s="104"/>
      <c r="C20" s="99"/>
      <c r="D20" s="99"/>
      <c r="E20" s="99"/>
      <c r="F20" s="105"/>
      <c r="G20" s="105"/>
      <c r="H20" s="105"/>
      <c r="I20" s="105"/>
      <c r="J20" s="99"/>
      <c r="K20" s="106"/>
      <c r="L20" s="103"/>
    </row>
    <row r="21" spans="2:12" ht="59.4" customHeight="1" x14ac:dyDescent="0.3">
      <c r="B21" s="104"/>
      <c r="C21" s="99"/>
      <c r="D21" s="99"/>
      <c r="E21" s="99"/>
      <c r="F21" s="105"/>
      <c r="G21" s="105"/>
      <c r="H21" s="105"/>
      <c r="I21" s="105"/>
      <c r="J21" s="99"/>
      <c r="K21" s="106"/>
      <c r="L21" s="103"/>
    </row>
    <row r="22" spans="2:12" ht="59.4" customHeight="1" x14ac:dyDescent="0.3">
      <c r="B22" s="104"/>
      <c r="C22" s="99"/>
      <c r="D22" s="99"/>
      <c r="E22" s="99"/>
      <c r="F22" s="105"/>
      <c r="G22" s="105"/>
      <c r="H22" s="105"/>
      <c r="I22" s="105"/>
      <c r="J22" s="99"/>
      <c r="K22" s="106"/>
      <c r="L22" s="103"/>
    </row>
    <row r="23" spans="2:12" ht="59.4" customHeight="1" x14ac:dyDescent="0.3">
      <c r="B23" s="104"/>
      <c r="C23" s="99"/>
      <c r="D23" s="99"/>
      <c r="E23" s="99"/>
      <c r="F23" s="105"/>
      <c r="G23" s="105"/>
      <c r="H23" s="105"/>
      <c r="I23" s="105"/>
      <c r="J23" s="99"/>
      <c r="K23" s="106"/>
      <c r="L23" s="103"/>
    </row>
    <row r="24" spans="2:12" ht="59.4" customHeight="1" x14ac:dyDescent="0.3">
      <c r="B24" s="104"/>
      <c r="C24" s="99"/>
      <c r="D24" s="99"/>
      <c r="E24" s="99"/>
      <c r="F24" s="105"/>
      <c r="G24" s="105"/>
      <c r="H24" s="105"/>
      <c r="I24" s="105"/>
      <c r="J24" s="99"/>
      <c r="K24" s="106"/>
      <c r="L24" s="103"/>
    </row>
    <row r="25" spans="2:12" ht="59.4" customHeight="1" x14ac:dyDescent="0.3">
      <c r="B25" s="104"/>
      <c r="C25" s="99"/>
      <c r="D25" s="99"/>
      <c r="E25" s="99"/>
      <c r="F25" s="105"/>
      <c r="G25" s="105"/>
      <c r="H25" s="105"/>
      <c r="I25" s="105"/>
      <c r="J25" s="99"/>
      <c r="K25" s="106"/>
      <c r="L25" s="103"/>
    </row>
    <row r="26" spans="2:12" ht="59.4" customHeight="1" x14ac:dyDescent="0.3">
      <c r="B26" s="104"/>
      <c r="C26" s="99"/>
      <c r="D26" s="99"/>
      <c r="E26" s="99"/>
      <c r="F26" s="105"/>
      <c r="G26" s="105"/>
      <c r="H26" s="105"/>
      <c r="I26" s="105"/>
      <c r="J26" s="99"/>
      <c r="K26" s="106"/>
      <c r="L26" s="103"/>
    </row>
    <row r="27" spans="2:12" ht="59.4" customHeight="1" x14ac:dyDescent="0.3">
      <c r="B27" s="104"/>
      <c r="C27" s="99"/>
      <c r="D27" s="99"/>
      <c r="E27" s="99"/>
      <c r="F27" s="105"/>
      <c r="G27" s="105"/>
      <c r="H27" s="105"/>
      <c r="I27" s="105"/>
      <c r="J27" s="99"/>
      <c r="K27" s="106"/>
      <c r="L27" s="103"/>
    </row>
    <row r="28" spans="2:12" ht="59.4" customHeight="1" x14ac:dyDescent="0.3">
      <c r="B28" s="104"/>
      <c r="C28" s="99"/>
      <c r="D28" s="99"/>
      <c r="E28" s="99"/>
      <c r="F28" s="105"/>
      <c r="G28" s="105"/>
      <c r="H28" s="105"/>
      <c r="I28" s="105"/>
      <c r="J28" s="99"/>
      <c r="K28" s="106"/>
      <c r="L28" s="103"/>
    </row>
    <row r="29" spans="2:12" ht="59.4" customHeight="1" x14ac:dyDescent="0.3">
      <c r="B29" s="104"/>
      <c r="C29" s="99"/>
      <c r="D29" s="99"/>
      <c r="E29" s="99"/>
      <c r="F29" s="105"/>
      <c r="G29" s="105"/>
      <c r="H29" s="105"/>
      <c r="I29" s="105"/>
      <c r="J29" s="99"/>
      <c r="K29" s="106"/>
      <c r="L29" s="103"/>
    </row>
    <row r="30" spans="2:12" ht="59.4" customHeight="1" x14ac:dyDescent="0.3">
      <c r="B30" s="104"/>
      <c r="C30" s="99"/>
      <c r="D30" s="99"/>
      <c r="E30" s="99"/>
      <c r="F30" s="105"/>
      <c r="G30" s="105"/>
      <c r="H30" s="105"/>
      <c r="I30" s="105"/>
      <c r="J30" s="99"/>
      <c r="K30" s="106"/>
      <c r="L30" s="103"/>
    </row>
    <row r="31" spans="2:12" ht="59.4" customHeight="1" x14ac:dyDescent="0.3">
      <c r="B31" s="104"/>
      <c r="C31" s="99"/>
      <c r="D31" s="99"/>
      <c r="E31" s="99"/>
      <c r="F31" s="105"/>
      <c r="G31" s="105"/>
      <c r="H31" s="105"/>
      <c r="I31" s="105"/>
      <c r="J31" s="99"/>
      <c r="K31" s="106"/>
      <c r="L31" s="103"/>
    </row>
    <row r="32" spans="2:12" ht="59.4" customHeight="1" x14ac:dyDescent="0.3">
      <c r="B32" s="104"/>
      <c r="C32" s="99"/>
      <c r="D32" s="99"/>
      <c r="E32" s="99"/>
      <c r="F32" s="105"/>
      <c r="G32" s="105"/>
      <c r="H32" s="105"/>
      <c r="I32" s="105"/>
      <c r="J32" s="99"/>
      <c r="K32" s="106"/>
      <c r="L32" s="103"/>
    </row>
    <row r="33" spans="2:12" ht="59.4" customHeight="1" x14ac:dyDescent="0.3">
      <c r="B33" s="104"/>
      <c r="C33" s="99"/>
      <c r="D33" s="99"/>
      <c r="E33" s="99"/>
      <c r="F33" s="105"/>
      <c r="G33" s="105"/>
      <c r="H33" s="105"/>
      <c r="I33" s="105"/>
      <c r="J33" s="99"/>
      <c r="K33" s="106"/>
      <c r="L33" s="103"/>
    </row>
    <row r="34" spans="2:12" ht="59.4" customHeight="1" x14ac:dyDescent="0.3">
      <c r="B34" s="104"/>
      <c r="C34" s="99"/>
      <c r="D34" s="99"/>
      <c r="E34" s="99"/>
      <c r="F34" s="105"/>
      <c r="G34" s="105"/>
      <c r="H34" s="105"/>
      <c r="I34" s="105"/>
      <c r="J34" s="99"/>
      <c r="K34" s="106"/>
      <c r="L34" s="103"/>
    </row>
    <row r="35" spans="2:12" ht="59.4" customHeight="1" x14ac:dyDescent="0.3">
      <c r="B35" s="104"/>
      <c r="C35" s="99"/>
      <c r="D35" s="99"/>
      <c r="E35" s="99"/>
      <c r="F35" s="105"/>
      <c r="G35" s="105"/>
      <c r="H35" s="105"/>
      <c r="I35" s="105"/>
      <c r="J35" s="99"/>
      <c r="K35" s="106"/>
      <c r="L35" s="103"/>
    </row>
    <row r="36" spans="2:12" ht="59.4" customHeight="1" x14ac:dyDescent="0.3">
      <c r="B36" s="104"/>
      <c r="C36" s="99"/>
      <c r="D36" s="99"/>
      <c r="E36" s="99"/>
      <c r="F36" s="105"/>
      <c r="G36" s="105"/>
      <c r="H36" s="105"/>
      <c r="I36" s="105"/>
      <c r="J36" s="99"/>
      <c r="K36" s="106"/>
      <c r="L36" s="103"/>
    </row>
    <row r="37" spans="2:12" s="112" customFormat="1" ht="59.4" customHeight="1" x14ac:dyDescent="0.3">
      <c r="B37" s="104"/>
      <c r="C37" s="99"/>
      <c r="D37" s="109"/>
      <c r="E37" s="109"/>
      <c r="F37" s="110"/>
      <c r="G37" s="110"/>
      <c r="H37" s="110"/>
      <c r="I37" s="110"/>
      <c r="J37" s="109"/>
      <c r="K37" s="111"/>
      <c r="L37" s="103"/>
    </row>
    <row r="38" spans="2:12" ht="59.4" customHeight="1" x14ac:dyDescent="0.3">
      <c r="B38" s="104"/>
      <c r="C38" s="99"/>
      <c r="D38" s="99"/>
      <c r="E38" s="99"/>
      <c r="F38" s="105"/>
      <c r="G38" s="105"/>
      <c r="H38" s="105"/>
      <c r="I38" s="105"/>
      <c r="J38" s="99"/>
      <c r="K38" s="106"/>
      <c r="L38" s="103"/>
    </row>
    <row r="39" spans="2:12" ht="59.4" customHeight="1" x14ac:dyDescent="0.3">
      <c r="B39" s="104"/>
      <c r="C39" s="99"/>
      <c r="D39" s="99"/>
      <c r="E39" s="99"/>
      <c r="F39" s="105"/>
      <c r="G39" s="105"/>
      <c r="H39" s="105"/>
      <c r="I39" s="105"/>
      <c r="J39" s="99"/>
      <c r="K39" s="106"/>
      <c r="L39" s="103"/>
    </row>
    <row r="40" spans="2:12" ht="59.4" customHeight="1" x14ac:dyDescent="0.3">
      <c r="B40" s="104"/>
      <c r="C40" s="99"/>
      <c r="D40" s="99"/>
      <c r="E40" s="99"/>
      <c r="F40" s="105"/>
      <c r="G40" s="105"/>
      <c r="H40" s="105"/>
      <c r="I40" s="105"/>
      <c r="J40" s="99"/>
      <c r="K40" s="106"/>
      <c r="L40" s="103"/>
    </row>
    <row r="41" spans="2:12" ht="59.4" customHeight="1" x14ac:dyDescent="0.3">
      <c r="B41" s="104"/>
      <c r="C41" s="99"/>
      <c r="D41" s="99"/>
      <c r="E41" s="99"/>
      <c r="F41" s="105"/>
      <c r="G41" s="105"/>
      <c r="H41" s="105"/>
      <c r="I41" s="105"/>
      <c r="J41" s="99"/>
      <c r="K41" s="106"/>
      <c r="L41" s="103"/>
    </row>
    <row r="42" spans="2:12" ht="59.4" customHeight="1" x14ac:dyDescent="0.3">
      <c r="B42" s="104"/>
      <c r="C42" s="99"/>
      <c r="D42" s="99"/>
      <c r="E42" s="99"/>
      <c r="F42" s="105"/>
      <c r="G42" s="105"/>
      <c r="H42" s="105"/>
      <c r="I42" s="105"/>
      <c r="J42" s="99"/>
      <c r="K42" s="106"/>
      <c r="L42" s="103"/>
    </row>
    <row r="43" spans="2:12" ht="59.4" customHeight="1" x14ac:dyDescent="0.3">
      <c r="B43" s="104"/>
      <c r="C43" s="99"/>
      <c r="D43" s="99"/>
      <c r="E43" s="99"/>
      <c r="F43" s="105"/>
      <c r="G43" s="105"/>
      <c r="H43" s="105"/>
      <c r="I43" s="105"/>
      <c r="J43" s="99"/>
      <c r="K43" s="106"/>
      <c r="L43" s="103"/>
    </row>
    <row r="44" spans="2:12" ht="59.4" customHeight="1" x14ac:dyDescent="0.3">
      <c r="B44" s="104"/>
      <c r="C44" s="99"/>
      <c r="D44" s="99"/>
      <c r="E44" s="99"/>
      <c r="F44" s="105"/>
      <c r="G44" s="105"/>
      <c r="H44" s="105"/>
      <c r="I44" s="105"/>
      <c r="J44" s="99"/>
      <c r="K44" s="106"/>
      <c r="L44" s="103"/>
    </row>
    <row r="45" spans="2:12" ht="59.4" customHeight="1" x14ac:dyDescent="0.3">
      <c r="B45" s="104"/>
      <c r="C45" s="99"/>
      <c r="D45" s="99"/>
      <c r="E45" s="99"/>
      <c r="F45" s="105"/>
      <c r="G45" s="105"/>
      <c r="H45" s="105"/>
      <c r="I45" s="105"/>
      <c r="J45" s="99"/>
      <c r="K45" s="106"/>
      <c r="L45" s="103"/>
    </row>
    <row r="46" spans="2:12" ht="59.4" customHeight="1" x14ac:dyDescent="0.3">
      <c r="B46" s="104"/>
      <c r="C46" s="99"/>
      <c r="D46" s="99"/>
      <c r="E46" s="99"/>
      <c r="F46" s="105"/>
      <c r="G46" s="105"/>
      <c r="H46" s="105"/>
      <c r="I46" s="105"/>
      <c r="J46" s="99"/>
      <c r="K46" s="106"/>
      <c r="L46" s="103"/>
    </row>
    <row r="47" spans="2:12" ht="59.4" customHeight="1" x14ac:dyDescent="0.3">
      <c r="B47" s="104"/>
      <c r="C47" s="99"/>
      <c r="D47" s="99"/>
      <c r="E47" s="99"/>
      <c r="F47" s="105"/>
      <c r="G47" s="105"/>
      <c r="H47" s="105"/>
      <c r="I47" s="105"/>
      <c r="J47" s="99"/>
      <c r="K47" s="106"/>
      <c r="L47" s="103"/>
    </row>
    <row r="48" spans="2:12" ht="59.4" customHeight="1" x14ac:dyDescent="0.3">
      <c r="B48" s="104"/>
      <c r="C48" s="99"/>
      <c r="D48" s="99"/>
      <c r="E48" s="99"/>
      <c r="F48" s="105"/>
      <c r="G48" s="105"/>
      <c r="H48" s="105"/>
      <c r="I48" s="105"/>
      <c r="J48" s="99"/>
      <c r="K48" s="106"/>
      <c r="L48" s="103"/>
    </row>
    <row r="49" spans="2:12" ht="59.4" customHeight="1" x14ac:dyDescent="0.3">
      <c r="B49" s="104"/>
      <c r="C49" s="99"/>
      <c r="D49" s="99"/>
      <c r="E49" s="99"/>
      <c r="F49" s="105"/>
      <c r="G49" s="105"/>
      <c r="H49" s="105"/>
      <c r="I49" s="105"/>
      <c r="J49" s="99"/>
      <c r="K49" s="106"/>
      <c r="L49" s="103"/>
    </row>
    <row r="50" spans="2:12" ht="59.4" customHeight="1" x14ac:dyDescent="0.3">
      <c r="B50" s="104"/>
      <c r="C50" s="99"/>
      <c r="D50" s="99"/>
      <c r="E50" s="99"/>
      <c r="F50" s="105"/>
      <c r="G50" s="105"/>
      <c r="H50" s="105"/>
      <c r="I50" s="105"/>
      <c r="J50" s="99"/>
      <c r="K50" s="106"/>
      <c r="L50" s="103"/>
    </row>
    <row r="51" spans="2:12" ht="59.4" customHeight="1" x14ac:dyDescent="0.3">
      <c r="B51" s="104"/>
      <c r="C51" s="99"/>
      <c r="D51" s="99"/>
      <c r="E51" s="99"/>
      <c r="F51" s="105"/>
      <c r="G51" s="105"/>
      <c r="H51" s="105"/>
      <c r="I51" s="105"/>
      <c r="J51" s="99"/>
      <c r="K51" s="106"/>
      <c r="L51" s="103"/>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9"/>
  <sheetViews>
    <sheetView showGridLines="0" tabSelected="1" zoomScale="90" zoomScaleNormal="90" workbookViewId="0">
      <selection activeCell="F19" sqref="F19"/>
    </sheetView>
  </sheetViews>
  <sheetFormatPr defaultColWidth="9.109375" defaultRowHeight="19.95" customHeight="1" x14ac:dyDescent="0.3"/>
  <cols>
    <col min="1" max="1" width="24.109375" style="184" bestFit="1" customWidth="1"/>
    <col min="2" max="2" width="34.21875" style="184" bestFit="1" customWidth="1"/>
    <col min="3" max="3" width="7.6640625" style="184" bestFit="1" customWidth="1"/>
    <col min="4" max="4" width="1.6640625" style="184" customWidth="1"/>
    <col min="5" max="5" width="26.6640625" style="184" bestFit="1" customWidth="1"/>
    <col min="6" max="6" width="29.109375" style="184" bestFit="1" customWidth="1"/>
    <col min="7" max="7" width="7.6640625" style="184" bestFit="1" customWidth="1"/>
    <col min="8" max="8" width="2.109375" style="184"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82"/>
      <c r="D1" s="182"/>
      <c r="E1" s="182"/>
      <c r="H1" s="182"/>
      <c r="K1"/>
      <c r="L1"/>
    </row>
    <row r="2" spans="1:24" s="73" customFormat="1" ht="19.95" customHeight="1" x14ac:dyDescent="0.3">
      <c r="A2" s="234" t="s">
        <v>252</v>
      </c>
      <c r="B2" s="235"/>
      <c r="C2" s="236"/>
      <c r="D2" s="182"/>
      <c r="E2" s="231" t="s">
        <v>52</v>
      </c>
      <c r="F2" s="232"/>
      <c r="G2" s="233"/>
      <c r="H2" s="182"/>
      <c r="I2" s="135" t="s">
        <v>123</v>
      </c>
      <c r="K2" s="234" t="s">
        <v>53</v>
      </c>
      <c r="L2" s="235"/>
      <c r="M2" s="229" t="s">
        <v>187</v>
      </c>
      <c r="N2" s="230"/>
      <c r="O2" s="230"/>
      <c r="P2" s="230"/>
      <c r="Q2" s="230"/>
      <c r="R2" s="229" t="s">
        <v>204</v>
      </c>
      <c r="S2" s="230"/>
      <c r="T2" s="230"/>
      <c r="U2" s="230"/>
      <c r="V2" s="230"/>
      <c r="X2" s="135" t="s">
        <v>273</v>
      </c>
    </row>
    <row r="3" spans="1:24" s="114" customFormat="1" ht="15.6" x14ac:dyDescent="0.3">
      <c r="A3" s="183" t="s">
        <v>5</v>
      </c>
      <c r="B3" s="183" t="s">
        <v>4</v>
      </c>
      <c r="C3" s="183" t="s">
        <v>70</v>
      </c>
      <c r="D3" s="184"/>
      <c r="E3" s="183" t="s">
        <v>5</v>
      </c>
      <c r="F3" s="183" t="s">
        <v>4</v>
      </c>
      <c r="G3" s="183" t="s">
        <v>70</v>
      </c>
      <c r="H3" s="184"/>
      <c r="I3" s="119" t="s">
        <v>5</v>
      </c>
      <c r="K3" s="119" t="s">
        <v>5</v>
      </c>
      <c r="L3" s="154" t="s">
        <v>8</v>
      </c>
      <c r="M3" s="156" t="s">
        <v>182</v>
      </c>
      <c r="N3" s="138" t="s">
        <v>183</v>
      </c>
      <c r="O3" s="138" t="s">
        <v>184</v>
      </c>
      <c r="P3" s="138" t="s">
        <v>185</v>
      </c>
      <c r="Q3" s="158" t="s">
        <v>186</v>
      </c>
      <c r="R3" s="156" t="s">
        <v>182</v>
      </c>
      <c r="S3" s="138" t="s">
        <v>183</v>
      </c>
      <c r="T3" s="138" t="s">
        <v>184</v>
      </c>
      <c r="U3" s="138" t="s">
        <v>185</v>
      </c>
      <c r="V3" s="138" t="s">
        <v>186</v>
      </c>
      <c r="X3" s="119" t="s">
        <v>5</v>
      </c>
    </row>
    <row r="4" spans="1:24" s="117" customFormat="1" ht="19.95" customHeight="1" x14ac:dyDescent="0.3">
      <c r="A4" s="4" t="s">
        <v>0</v>
      </c>
      <c r="B4" s="4" t="s">
        <v>262</v>
      </c>
      <c r="C4" s="4" t="s">
        <v>0</v>
      </c>
      <c r="D4" s="184"/>
      <c r="E4" s="4" t="s">
        <v>0</v>
      </c>
      <c r="F4" s="4" t="s">
        <v>260</v>
      </c>
      <c r="G4" s="4">
        <v>120</v>
      </c>
      <c r="H4" s="184"/>
      <c r="I4" s="113" t="s">
        <v>124</v>
      </c>
      <c r="K4" s="113" t="s">
        <v>0</v>
      </c>
      <c r="L4" s="155" t="s">
        <v>0</v>
      </c>
      <c r="M4" s="157" t="s">
        <v>0</v>
      </c>
      <c r="N4" s="113" t="s">
        <v>0</v>
      </c>
      <c r="O4" s="113" t="s">
        <v>0</v>
      </c>
      <c r="P4" s="113" t="s">
        <v>0</v>
      </c>
      <c r="Q4" s="155" t="s">
        <v>0</v>
      </c>
      <c r="R4" s="157" t="s">
        <v>0</v>
      </c>
      <c r="S4" s="113" t="s">
        <v>0</v>
      </c>
      <c r="T4" s="113"/>
      <c r="U4" s="113" t="s">
        <v>0</v>
      </c>
      <c r="V4" s="113" t="s">
        <v>0</v>
      </c>
      <c r="X4" s="113" t="s">
        <v>0</v>
      </c>
    </row>
    <row r="5" spans="1:24" s="117" customFormat="1" ht="19.95" customHeight="1" x14ac:dyDescent="0.3">
      <c r="A5" s="4" t="s">
        <v>1</v>
      </c>
      <c r="B5" s="4" t="s">
        <v>249</v>
      </c>
      <c r="C5" s="4">
        <v>120</v>
      </c>
      <c r="D5" s="184"/>
      <c r="E5" s="4" t="s">
        <v>62</v>
      </c>
      <c r="F5" s="4"/>
      <c r="G5" s="4">
        <v>60</v>
      </c>
      <c r="H5" s="184"/>
      <c r="I5" s="113" t="s">
        <v>130</v>
      </c>
      <c r="K5" s="113" t="s">
        <v>56</v>
      </c>
      <c r="L5" s="155" t="s">
        <v>216</v>
      </c>
      <c r="M5" s="159">
        <v>1.42</v>
      </c>
      <c r="N5" s="160">
        <v>1.87</v>
      </c>
      <c r="O5" s="160">
        <v>2.14</v>
      </c>
      <c r="P5" s="160" t="s">
        <v>0</v>
      </c>
      <c r="Q5" s="161" t="s">
        <v>0</v>
      </c>
      <c r="R5" s="157" t="s">
        <v>195</v>
      </c>
      <c r="S5" s="113" t="s">
        <v>193</v>
      </c>
      <c r="T5" s="113" t="s">
        <v>194</v>
      </c>
      <c r="U5" s="113" t="s">
        <v>0</v>
      </c>
      <c r="V5" s="113" t="s">
        <v>0</v>
      </c>
      <c r="X5" s="113" t="s">
        <v>276</v>
      </c>
    </row>
    <row r="6" spans="1:24" s="117" customFormat="1" ht="19.95" customHeight="1" x14ac:dyDescent="0.3">
      <c r="A6" s="4" t="s">
        <v>259</v>
      </c>
      <c r="B6" s="4" t="s">
        <v>236</v>
      </c>
      <c r="C6" s="4">
        <v>120</v>
      </c>
      <c r="D6" s="184"/>
      <c r="E6" s="4" t="s">
        <v>113</v>
      </c>
      <c r="F6" s="4" t="s">
        <v>255</v>
      </c>
      <c r="G6" s="4" t="s">
        <v>0</v>
      </c>
      <c r="H6" s="184"/>
      <c r="I6" s="113" t="s">
        <v>125</v>
      </c>
      <c r="K6" s="113" t="s">
        <v>214</v>
      </c>
      <c r="L6" s="155" t="s">
        <v>216</v>
      </c>
      <c r="M6" s="159">
        <v>1.42</v>
      </c>
      <c r="N6" s="160">
        <v>1.87</v>
      </c>
      <c r="O6" s="160">
        <v>2.19</v>
      </c>
      <c r="P6" s="160" t="s">
        <v>0</v>
      </c>
      <c r="Q6" s="161" t="s">
        <v>0</v>
      </c>
      <c r="R6" s="157" t="s">
        <v>195</v>
      </c>
      <c r="S6" s="113" t="s">
        <v>193</v>
      </c>
      <c r="T6" s="113" t="s">
        <v>215</v>
      </c>
      <c r="U6" s="113" t="s">
        <v>0</v>
      </c>
      <c r="V6" s="113" t="s">
        <v>0</v>
      </c>
      <c r="X6" s="113" t="s">
        <v>271</v>
      </c>
    </row>
    <row r="7" spans="1:24" s="117" customFormat="1" ht="19.95" customHeight="1" x14ac:dyDescent="0.3">
      <c r="A7" s="4" t="s">
        <v>44</v>
      </c>
      <c r="B7" s="4" t="s">
        <v>243</v>
      </c>
      <c r="C7" s="4" t="s">
        <v>0</v>
      </c>
      <c r="D7" s="184"/>
      <c r="E7" s="4" t="s">
        <v>263</v>
      </c>
      <c r="F7" s="4"/>
      <c r="G7" s="4">
        <v>45</v>
      </c>
      <c r="H7" s="184"/>
      <c r="I7" s="113" t="s">
        <v>126</v>
      </c>
      <c r="K7" s="113" t="s">
        <v>57</v>
      </c>
      <c r="L7" s="155" t="s">
        <v>217</v>
      </c>
      <c r="M7" s="159">
        <v>1.42</v>
      </c>
      <c r="N7" s="160">
        <v>2.14</v>
      </c>
      <c r="O7" s="160">
        <v>2.44</v>
      </c>
      <c r="P7" s="160" t="s">
        <v>0</v>
      </c>
      <c r="Q7" s="161" t="s">
        <v>0</v>
      </c>
      <c r="R7" s="157" t="s">
        <v>195</v>
      </c>
      <c r="S7" s="113" t="s">
        <v>193</v>
      </c>
      <c r="T7" s="113" t="s">
        <v>194</v>
      </c>
      <c r="U7" s="113" t="s">
        <v>0</v>
      </c>
      <c r="V7" s="113" t="s">
        <v>0</v>
      </c>
      <c r="X7" s="113" t="s">
        <v>275</v>
      </c>
    </row>
    <row r="8" spans="1:24" s="117" customFormat="1" ht="19.95" customHeight="1" x14ac:dyDescent="0.3">
      <c r="A8" s="4" t="s">
        <v>238</v>
      </c>
      <c r="B8" s="4" t="s">
        <v>250</v>
      </c>
      <c r="C8" s="4" t="s">
        <v>0</v>
      </c>
      <c r="D8" s="184"/>
      <c r="E8" s="4" t="s">
        <v>264</v>
      </c>
      <c r="F8" s="4"/>
      <c r="G8" s="4">
        <v>60</v>
      </c>
      <c r="H8" s="184"/>
      <c r="I8" s="113" t="s">
        <v>127</v>
      </c>
      <c r="K8" s="113" t="s">
        <v>232</v>
      </c>
      <c r="L8" s="155" t="s">
        <v>222</v>
      </c>
      <c r="M8" s="159">
        <v>0.99</v>
      </c>
      <c r="N8" s="160">
        <v>4</v>
      </c>
      <c r="O8" s="160">
        <v>4.6399999999999997</v>
      </c>
      <c r="P8" s="160" t="s">
        <v>0</v>
      </c>
      <c r="Q8" s="161" t="s">
        <v>0</v>
      </c>
      <c r="R8" s="157" t="s">
        <v>195</v>
      </c>
      <c r="S8" s="113" t="s">
        <v>230</v>
      </c>
      <c r="T8" s="113" t="s">
        <v>231</v>
      </c>
      <c r="U8" s="113" t="s">
        <v>0</v>
      </c>
      <c r="V8" s="113" t="s">
        <v>0</v>
      </c>
      <c r="X8" s="113" t="s">
        <v>274</v>
      </c>
    </row>
    <row r="9" spans="1:24" s="117" customFormat="1" ht="19.95" customHeight="1" x14ac:dyDescent="0.3">
      <c r="A9" s="4" t="s">
        <v>3</v>
      </c>
      <c r="B9" s="4" t="s">
        <v>245</v>
      </c>
      <c r="C9" s="4" t="s">
        <v>0</v>
      </c>
      <c r="D9" s="184"/>
      <c r="E9" s="4" t="s">
        <v>248</v>
      </c>
      <c r="F9" s="4" t="s">
        <v>250</v>
      </c>
      <c r="G9" s="4" t="s">
        <v>0</v>
      </c>
      <c r="H9" s="184"/>
      <c r="I9" s="113" t="s">
        <v>128</v>
      </c>
      <c r="K9" s="113" t="s">
        <v>229</v>
      </c>
      <c r="L9" s="155" t="s">
        <v>218</v>
      </c>
      <c r="M9" s="159">
        <v>0.9</v>
      </c>
      <c r="N9" s="160">
        <v>3.5</v>
      </c>
      <c r="O9" s="160">
        <v>4.26</v>
      </c>
      <c r="P9" s="160" t="s">
        <v>0</v>
      </c>
      <c r="Q9" s="161" t="s">
        <v>0</v>
      </c>
      <c r="R9" s="157" t="s">
        <v>195</v>
      </c>
      <c r="S9" s="113" t="s">
        <v>197</v>
      </c>
      <c r="T9" s="113" t="s">
        <v>205</v>
      </c>
      <c r="U9" s="113" t="s">
        <v>0</v>
      </c>
      <c r="V9" s="113" t="s">
        <v>0</v>
      </c>
    </row>
    <row r="10" spans="1:24" s="117" customFormat="1" ht="19.95" customHeight="1" x14ac:dyDescent="0.3">
      <c r="A10" s="4" t="s">
        <v>45</v>
      </c>
      <c r="B10" s="4" t="s">
        <v>237</v>
      </c>
      <c r="C10" s="4">
        <v>120</v>
      </c>
      <c r="D10" s="184"/>
      <c r="E10" s="4" t="s">
        <v>63</v>
      </c>
      <c r="F10" s="4"/>
      <c r="G10" s="4" t="s">
        <v>0</v>
      </c>
      <c r="H10" s="184"/>
      <c r="I10" s="113" t="s">
        <v>129</v>
      </c>
      <c r="K10" s="113" t="s">
        <v>54</v>
      </c>
      <c r="L10" s="155" t="s">
        <v>223</v>
      </c>
      <c r="M10" s="159">
        <v>0.81</v>
      </c>
      <c r="N10" s="160">
        <v>3.69</v>
      </c>
      <c r="O10" s="160">
        <v>4.8</v>
      </c>
      <c r="P10" s="160" t="s">
        <v>0</v>
      </c>
      <c r="Q10" s="161" t="s">
        <v>0</v>
      </c>
      <c r="R10" s="157" t="s">
        <v>195</v>
      </c>
      <c r="S10" s="113" t="s">
        <v>197</v>
      </c>
      <c r="T10" s="113" t="s">
        <v>198</v>
      </c>
      <c r="U10" s="113" t="s">
        <v>0</v>
      </c>
      <c r="V10" s="113" t="s">
        <v>0</v>
      </c>
    </row>
    <row r="11" spans="1:24" s="117" customFormat="1" ht="19.95" customHeight="1" x14ac:dyDescent="0.3">
      <c r="A11" s="4" t="s">
        <v>261</v>
      </c>
      <c r="B11" s="4" t="s">
        <v>237</v>
      </c>
      <c r="C11" s="4">
        <v>120</v>
      </c>
      <c r="D11" s="184"/>
      <c r="E11" s="4" t="s">
        <v>64</v>
      </c>
      <c r="F11" s="4"/>
      <c r="G11" s="4" t="s">
        <v>0</v>
      </c>
      <c r="H11" s="184"/>
      <c r="I11" s="113" t="s">
        <v>131</v>
      </c>
      <c r="K11" s="113" t="s">
        <v>65</v>
      </c>
      <c r="L11" s="155" t="s">
        <v>219</v>
      </c>
      <c r="M11" s="159">
        <v>0.9</v>
      </c>
      <c r="N11" s="160">
        <v>4.3099999999999996</v>
      </c>
      <c r="O11" s="160">
        <v>4.67</v>
      </c>
      <c r="P11" s="160" t="s">
        <v>0</v>
      </c>
      <c r="Q11" s="161" t="s">
        <v>0</v>
      </c>
      <c r="R11" s="157" t="s">
        <v>195</v>
      </c>
      <c r="S11" s="113" t="s">
        <v>193</v>
      </c>
      <c r="T11" s="113" t="s">
        <v>202</v>
      </c>
      <c r="U11" s="113" t="s">
        <v>0</v>
      </c>
      <c r="V11" s="113" t="s">
        <v>0</v>
      </c>
    </row>
    <row r="12" spans="1:24" s="117" customFormat="1" ht="19.95" customHeight="1" x14ac:dyDescent="0.3">
      <c r="A12" s="4" t="s">
        <v>257</v>
      </c>
      <c r="B12" s="4" t="s">
        <v>244</v>
      </c>
      <c r="C12" s="4" t="s">
        <v>0</v>
      </c>
      <c r="D12" s="184"/>
      <c r="E12" s="4" t="s">
        <v>55</v>
      </c>
      <c r="F12" s="4"/>
      <c r="G12" s="4" t="s">
        <v>0</v>
      </c>
      <c r="H12" s="184"/>
      <c r="K12" s="113" t="s">
        <v>118</v>
      </c>
      <c r="L12" s="155" t="s">
        <v>224</v>
      </c>
      <c r="M12" s="159">
        <v>0.9</v>
      </c>
      <c r="N12" s="160">
        <v>4.3099999999999996</v>
      </c>
      <c r="O12" s="160">
        <v>4.67</v>
      </c>
      <c r="P12" s="160" t="s">
        <v>0</v>
      </c>
      <c r="Q12" s="161" t="s">
        <v>0</v>
      </c>
      <c r="R12" s="157" t="s">
        <v>195</v>
      </c>
      <c r="S12" s="113" t="s">
        <v>193</v>
      </c>
      <c r="T12" s="113" t="s">
        <v>202</v>
      </c>
      <c r="U12" s="113" t="s">
        <v>0</v>
      </c>
      <c r="V12" s="113" t="s">
        <v>0</v>
      </c>
    </row>
    <row r="13" spans="1:24" s="117" customFormat="1" ht="19.95" customHeight="1" x14ac:dyDescent="0.3">
      <c r="A13" s="4" t="s">
        <v>256</v>
      </c>
      <c r="B13" s="4" t="s">
        <v>254</v>
      </c>
      <c r="C13" s="4" t="s">
        <v>0</v>
      </c>
      <c r="D13" s="184"/>
      <c r="E13" s="4" t="s">
        <v>241</v>
      </c>
      <c r="F13" s="4" t="s">
        <v>250</v>
      </c>
      <c r="G13" s="4" t="s">
        <v>0</v>
      </c>
      <c r="H13" s="184"/>
      <c r="K13" s="113" t="s">
        <v>116</v>
      </c>
      <c r="L13" s="155" t="s">
        <v>220</v>
      </c>
      <c r="M13" s="159">
        <v>0.94</v>
      </c>
      <c r="N13" s="160">
        <v>5.4</v>
      </c>
      <c r="O13" s="160">
        <v>6.25</v>
      </c>
      <c r="P13" s="160" t="s">
        <v>0</v>
      </c>
      <c r="Q13" s="161" t="s">
        <v>0</v>
      </c>
      <c r="R13" s="157" t="s">
        <v>195</v>
      </c>
      <c r="S13" s="113" t="s">
        <v>203</v>
      </c>
      <c r="T13" s="113" t="s">
        <v>194</v>
      </c>
      <c r="U13" s="113" t="s">
        <v>0</v>
      </c>
      <c r="V13" s="113" t="s">
        <v>0</v>
      </c>
    </row>
    <row r="14" spans="1:24" s="117" customFormat="1" ht="19.95" customHeight="1" x14ac:dyDescent="0.3">
      <c r="A14" s="184"/>
      <c r="B14" s="184"/>
      <c r="C14" s="184"/>
      <c r="D14" s="184"/>
      <c r="E14" s="4" t="s">
        <v>61</v>
      </c>
      <c r="F14" s="4"/>
      <c r="G14" s="4">
        <v>60</v>
      </c>
      <c r="H14" s="184"/>
      <c r="K14" s="113" t="s">
        <v>196</v>
      </c>
      <c r="L14" s="155" t="s">
        <v>225</v>
      </c>
      <c r="M14" s="159">
        <v>1.73</v>
      </c>
      <c r="N14" s="160">
        <v>6</v>
      </c>
      <c r="O14" s="160">
        <v>6.6</v>
      </c>
      <c r="P14" s="160" t="s">
        <v>0</v>
      </c>
      <c r="Q14" s="161" t="s">
        <v>0</v>
      </c>
      <c r="R14" s="157" t="s">
        <v>195</v>
      </c>
      <c r="S14" s="113" t="s">
        <v>201</v>
      </c>
      <c r="T14" s="113" t="s">
        <v>200</v>
      </c>
      <c r="U14" s="113" t="s">
        <v>0</v>
      </c>
      <c r="V14" s="113" t="s">
        <v>0</v>
      </c>
    </row>
    <row r="15" spans="1:24" s="117" customFormat="1" ht="19.95" customHeight="1" x14ac:dyDescent="0.3">
      <c r="A15" s="184"/>
      <c r="B15" s="184"/>
      <c r="C15" s="184"/>
      <c r="D15" s="184"/>
      <c r="E15" s="4" t="s">
        <v>114</v>
      </c>
      <c r="F15" s="4" t="s">
        <v>255</v>
      </c>
      <c r="G15" s="4" t="s">
        <v>0</v>
      </c>
      <c r="H15" s="184"/>
      <c r="K15" s="113" t="s">
        <v>59</v>
      </c>
      <c r="L15" s="155" t="s">
        <v>221</v>
      </c>
      <c r="M15" s="162">
        <v>1.3</v>
      </c>
      <c r="N15" s="160">
        <v>5.68</v>
      </c>
      <c r="O15" s="160">
        <v>6.2</v>
      </c>
      <c r="P15" s="160" t="s">
        <v>0</v>
      </c>
      <c r="Q15" s="161" t="s">
        <v>0</v>
      </c>
      <c r="R15" s="157" t="s">
        <v>195</v>
      </c>
      <c r="S15" s="113" t="s">
        <v>197</v>
      </c>
      <c r="T15" s="113" t="s">
        <v>199</v>
      </c>
      <c r="U15" s="113" t="s">
        <v>0</v>
      </c>
      <c r="V15" s="113" t="s">
        <v>0</v>
      </c>
    </row>
    <row r="16" spans="1:24" s="117" customFormat="1" ht="19.95" customHeight="1" x14ac:dyDescent="0.3">
      <c r="A16" s="184"/>
      <c r="B16" s="184"/>
      <c r="C16" s="184"/>
      <c r="D16" s="184"/>
      <c r="E16" s="4" t="s">
        <v>2</v>
      </c>
      <c r="F16" s="4"/>
      <c r="G16" s="4">
        <v>30</v>
      </c>
      <c r="H16" s="184"/>
      <c r="K16" s="113" t="s">
        <v>117</v>
      </c>
      <c r="L16" s="155" t="s">
        <v>226</v>
      </c>
      <c r="M16" s="159">
        <v>1.9</v>
      </c>
      <c r="N16" s="160">
        <v>8</v>
      </c>
      <c r="O16" s="160">
        <v>8.5</v>
      </c>
      <c r="P16" s="160" t="s">
        <v>0</v>
      </c>
      <c r="Q16" s="161" t="s">
        <v>0</v>
      </c>
      <c r="R16" s="157" t="s">
        <v>195</v>
      </c>
      <c r="S16" s="113" t="s">
        <v>201</v>
      </c>
      <c r="T16" s="113" t="s">
        <v>208</v>
      </c>
      <c r="U16" s="113" t="s">
        <v>0</v>
      </c>
      <c r="V16" s="113" t="s">
        <v>0</v>
      </c>
      <c r="W16" s="118"/>
    </row>
    <row r="17" spans="1:22" s="117" customFormat="1" ht="19.95" customHeight="1" x14ac:dyDescent="0.3">
      <c r="A17" s="184"/>
      <c r="B17" s="184"/>
      <c r="C17" s="184"/>
      <c r="D17" s="184"/>
      <c r="E17" s="4" t="s">
        <v>247</v>
      </c>
      <c r="F17" s="4" t="s">
        <v>240</v>
      </c>
      <c r="G17" s="4" t="s">
        <v>0</v>
      </c>
      <c r="H17" s="184"/>
      <c r="K17" s="113" t="s">
        <v>60</v>
      </c>
      <c r="L17" s="155" t="s">
        <v>227</v>
      </c>
      <c r="M17" s="159">
        <v>1.67</v>
      </c>
      <c r="N17" s="160">
        <v>7.3</v>
      </c>
      <c r="O17" s="160">
        <v>8.52</v>
      </c>
      <c r="P17" s="160" t="s">
        <v>0</v>
      </c>
      <c r="Q17" s="161" t="s">
        <v>0</v>
      </c>
      <c r="R17" s="157" t="s">
        <v>195</v>
      </c>
      <c r="S17" s="113" t="s">
        <v>207</v>
      </c>
      <c r="T17" s="113" t="s">
        <v>198</v>
      </c>
      <c r="U17" s="113" t="s">
        <v>0</v>
      </c>
      <c r="V17" s="113" t="s">
        <v>0</v>
      </c>
    </row>
    <row r="18" spans="1:22" s="117" customFormat="1" ht="19.95" customHeight="1" x14ac:dyDescent="0.3">
      <c r="A18" s="184"/>
      <c r="B18" s="184"/>
      <c r="C18" s="184"/>
      <c r="D18" s="184"/>
      <c r="E18" s="4" t="s">
        <v>246</v>
      </c>
      <c r="F18" s="4" t="s">
        <v>239</v>
      </c>
      <c r="G18" s="4" t="s">
        <v>0</v>
      </c>
      <c r="H18" s="184"/>
      <c r="K18" s="3" t="s">
        <v>115</v>
      </c>
      <c r="L18" s="155" t="s">
        <v>233</v>
      </c>
      <c r="M18" s="159">
        <v>2.33</v>
      </c>
      <c r="N18" s="163" t="s">
        <v>209</v>
      </c>
      <c r="O18" s="163" t="s">
        <v>210</v>
      </c>
      <c r="P18" s="163" t="s">
        <v>211</v>
      </c>
      <c r="Q18" s="164" t="s">
        <v>212</v>
      </c>
      <c r="R18" s="157" t="s">
        <v>192</v>
      </c>
      <c r="S18" s="113" t="s">
        <v>188</v>
      </c>
      <c r="T18" s="113" t="s">
        <v>189</v>
      </c>
      <c r="U18" s="113" t="s">
        <v>190</v>
      </c>
      <c r="V18" s="113" t="s">
        <v>191</v>
      </c>
    </row>
    <row r="19" spans="1:22" s="117" customFormat="1" ht="19.95" customHeight="1" x14ac:dyDescent="0.3">
      <c r="A19" s="184"/>
      <c r="B19" s="184"/>
      <c r="C19" s="184"/>
      <c r="D19" s="184"/>
      <c r="E19" s="4" t="s">
        <v>6</v>
      </c>
      <c r="F19" s="4"/>
      <c r="G19" s="4">
        <v>120</v>
      </c>
      <c r="H19" s="184"/>
      <c r="K19" s="118"/>
      <c r="L19" s="118"/>
    </row>
    <row r="20" spans="1:22" s="117" customFormat="1" ht="19.95" customHeight="1" x14ac:dyDescent="0.3">
      <c r="A20" s="184"/>
      <c r="B20" s="184"/>
      <c r="C20" s="184"/>
      <c r="D20" s="184"/>
      <c r="E20" s="4" t="s">
        <v>138</v>
      </c>
      <c r="F20" s="4" t="s">
        <v>258</v>
      </c>
      <c r="G20" s="4" t="s">
        <v>0</v>
      </c>
      <c r="H20" s="184"/>
      <c r="K20" s="118" t="s">
        <v>206</v>
      </c>
      <c r="L20" s="118"/>
    </row>
    <row r="21" spans="1:22" s="117" customFormat="1" ht="19.95" customHeight="1" x14ac:dyDescent="0.3">
      <c r="A21" s="184"/>
      <c r="B21" s="184"/>
      <c r="C21" s="184"/>
      <c r="D21" s="184"/>
      <c r="E21" s="4" t="s">
        <v>253</v>
      </c>
      <c r="F21" s="4" t="s">
        <v>296</v>
      </c>
      <c r="G21" s="4">
        <f>5*60</f>
        <v>300</v>
      </c>
      <c r="H21" s="184"/>
      <c r="K21" s="118" t="s">
        <v>213</v>
      </c>
      <c r="L21" s="118"/>
    </row>
    <row r="22" spans="1:22" s="117" customFormat="1" ht="19.95" customHeight="1" x14ac:dyDescent="0.3">
      <c r="A22" s="184"/>
      <c r="B22" s="184"/>
      <c r="C22" s="184"/>
      <c r="D22" s="184"/>
      <c r="E22" s="4" t="s">
        <v>119</v>
      </c>
      <c r="F22" s="4" t="s">
        <v>297</v>
      </c>
      <c r="G22" s="4">
        <v>300</v>
      </c>
      <c r="H22" s="184"/>
      <c r="K22" s="118"/>
      <c r="L22" s="118"/>
    </row>
    <row r="23" spans="1:22" s="117" customFormat="1" ht="19.95" customHeight="1" x14ac:dyDescent="0.3">
      <c r="A23" s="184"/>
      <c r="B23" s="184"/>
      <c r="C23" s="184"/>
      <c r="D23" s="184"/>
      <c r="E23" s="4" t="s">
        <v>7</v>
      </c>
      <c r="F23" s="4"/>
      <c r="G23" s="4" t="s">
        <v>0</v>
      </c>
      <c r="H23" s="184"/>
      <c r="K23" s="118"/>
      <c r="L23" s="118"/>
    </row>
    <row r="24" spans="1:22" s="117" customFormat="1" ht="19.95" customHeight="1" x14ac:dyDescent="0.3">
      <c r="A24" s="184"/>
      <c r="B24" s="184"/>
      <c r="C24" s="184"/>
      <c r="D24" s="184"/>
      <c r="E24" s="4" t="s">
        <v>47</v>
      </c>
      <c r="F24" s="4"/>
      <c r="G24" s="4" t="s">
        <v>0</v>
      </c>
      <c r="H24" s="184"/>
      <c r="K24" s="118"/>
      <c r="L24" s="118"/>
    </row>
    <row r="25" spans="1:22" s="117" customFormat="1" ht="19.95" customHeight="1" x14ac:dyDescent="0.3">
      <c r="A25" s="184"/>
      <c r="B25" s="184"/>
      <c r="C25" s="184"/>
      <c r="D25" s="184"/>
      <c r="E25" s="184" t="s">
        <v>298</v>
      </c>
      <c r="F25" s="184"/>
      <c r="G25" s="184"/>
      <c r="H25" s="184"/>
      <c r="K25" s="118"/>
      <c r="L25" s="118"/>
    </row>
    <row r="26" spans="1:22" s="117" customFormat="1" ht="19.95" customHeight="1" x14ac:dyDescent="0.3">
      <c r="A26" s="184"/>
      <c r="B26" s="184"/>
      <c r="C26" s="184"/>
      <c r="D26" s="184"/>
      <c r="E26" s="184"/>
      <c r="F26" s="184"/>
      <c r="G26" s="184"/>
      <c r="H26" s="184"/>
      <c r="K26" s="118"/>
      <c r="L26" s="118"/>
    </row>
    <row r="27" spans="1:22" s="117" customFormat="1" ht="19.95" customHeight="1" x14ac:dyDescent="0.3">
      <c r="A27" s="184"/>
      <c r="B27" s="184"/>
      <c r="C27" s="184"/>
      <c r="D27" s="184"/>
      <c r="E27" s="184"/>
      <c r="F27" s="184"/>
      <c r="G27" s="184"/>
      <c r="H27" s="184"/>
      <c r="K27" s="118"/>
      <c r="L27" s="118"/>
    </row>
    <row r="28" spans="1:22" s="117" customFormat="1" ht="19.95" customHeight="1" x14ac:dyDescent="0.3">
      <c r="A28" s="184"/>
      <c r="B28" s="184"/>
      <c r="C28" s="184"/>
      <c r="D28" s="184"/>
      <c r="E28" s="184"/>
      <c r="F28" s="184"/>
      <c r="G28" s="184"/>
      <c r="H28" s="184"/>
      <c r="K28" s="118"/>
      <c r="L28" s="118"/>
    </row>
    <row r="29" spans="1:22" s="117" customFormat="1" ht="19.95" customHeight="1" x14ac:dyDescent="0.3">
      <c r="A29" s="184"/>
      <c r="B29" s="184"/>
      <c r="C29" s="184"/>
      <c r="D29" s="184"/>
      <c r="E29" s="184"/>
      <c r="F29" s="184"/>
      <c r="G29" s="184"/>
      <c r="H29" s="184"/>
      <c r="K29" s="118"/>
      <c r="L29" s="118"/>
    </row>
    <row r="30" spans="1:22" s="117" customFormat="1" ht="19.95" customHeight="1" x14ac:dyDescent="0.3">
      <c r="A30" s="184"/>
      <c r="B30" s="184"/>
      <c r="C30" s="184"/>
      <c r="D30" s="184"/>
      <c r="E30" s="184"/>
      <c r="F30" s="184"/>
      <c r="G30" s="184"/>
      <c r="H30" s="184"/>
      <c r="K30" s="118"/>
      <c r="L30" s="118"/>
    </row>
    <row r="31" spans="1:22" s="117" customFormat="1" ht="19.95" customHeight="1" x14ac:dyDescent="0.3">
      <c r="A31" s="184"/>
      <c r="B31" s="184"/>
      <c r="C31" s="184"/>
      <c r="D31" s="184"/>
      <c r="E31" s="184"/>
      <c r="F31" s="184"/>
      <c r="G31" s="184"/>
      <c r="H31" s="184"/>
      <c r="K31" s="118"/>
      <c r="L31" s="118"/>
    </row>
    <row r="32" spans="1:22" s="117" customFormat="1" ht="19.95" customHeight="1" x14ac:dyDescent="0.3">
      <c r="A32" s="184"/>
      <c r="B32" s="184"/>
      <c r="C32" s="184"/>
      <c r="D32" s="184"/>
      <c r="E32" s="184"/>
      <c r="F32" s="184"/>
      <c r="G32" s="184"/>
      <c r="H32" s="184"/>
      <c r="K32" s="118"/>
      <c r="L32" s="118"/>
    </row>
    <row r="33" spans="1:24" s="117" customFormat="1" ht="19.95" customHeight="1" x14ac:dyDescent="0.3">
      <c r="A33" s="184"/>
      <c r="B33" s="184"/>
      <c r="C33" s="184"/>
      <c r="D33" s="184"/>
      <c r="E33" s="184"/>
      <c r="F33" s="184"/>
      <c r="G33" s="184"/>
      <c r="H33" s="184"/>
      <c r="K33" s="118"/>
      <c r="L33" s="118"/>
    </row>
    <row r="34" spans="1:24" s="117" customFormat="1" ht="19.95" customHeight="1" x14ac:dyDescent="0.3">
      <c r="A34" s="184"/>
      <c r="B34" s="184"/>
      <c r="C34" s="184"/>
      <c r="D34" s="184"/>
      <c r="E34" s="184"/>
      <c r="F34" s="184"/>
      <c r="G34" s="184"/>
      <c r="H34" s="184"/>
      <c r="K34" s="118"/>
      <c r="L34" s="118"/>
    </row>
    <row r="35" spans="1:24" s="117" customFormat="1" ht="19.95" customHeight="1" x14ac:dyDescent="0.3">
      <c r="A35" s="184"/>
      <c r="B35" s="184"/>
      <c r="C35" s="184"/>
      <c r="D35" s="184"/>
      <c r="E35" s="184"/>
      <c r="F35" s="184"/>
      <c r="G35" s="184"/>
      <c r="H35" s="184"/>
      <c r="K35" s="118"/>
      <c r="L35" s="118"/>
      <c r="X35"/>
    </row>
    <row r="36" spans="1:24" s="117" customFormat="1" ht="19.95" customHeight="1" x14ac:dyDescent="0.3">
      <c r="A36" s="184"/>
      <c r="B36" s="184"/>
      <c r="C36" s="184"/>
      <c r="D36" s="184"/>
      <c r="E36" s="184"/>
      <c r="F36" s="184"/>
      <c r="G36" s="184"/>
      <c r="H36" s="184"/>
      <c r="K36" s="118"/>
      <c r="L36" s="118"/>
      <c r="X36"/>
    </row>
    <row r="37" spans="1:24" s="117" customFormat="1" ht="19.95" customHeight="1" x14ac:dyDescent="0.3">
      <c r="A37" s="184"/>
      <c r="B37" s="184"/>
      <c r="C37" s="184"/>
      <c r="D37" s="184"/>
      <c r="E37" s="184"/>
      <c r="F37" s="184"/>
      <c r="G37" s="184"/>
      <c r="H37" s="184"/>
      <c r="K37" s="118"/>
      <c r="L37" s="118"/>
      <c r="X37"/>
    </row>
    <row r="38" spans="1:24" s="117" customFormat="1" ht="19.95" customHeight="1" x14ac:dyDescent="0.3">
      <c r="A38" s="184"/>
      <c r="B38" s="184"/>
      <c r="C38" s="184"/>
      <c r="D38" s="184"/>
      <c r="E38" s="184"/>
      <c r="F38" s="184"/>
      <c r="G38" s="184"/>
      <c r="H38" s="184"/>
      <c r="I38"/>
      <c r="K38" s="118"/>
      <c r="L38" s="118"/>
      <c r="X38"/>
    </row>
    <row r="39" spans="1:24" ht="19.95" customHeight="1" x14ac:dyDescent="0.3">
      <c r="K39" s="118"/>
      <c r="L39" s="118"/>
      <c r="M39" s="117"/>
      <c r="N39" s="117"/>
      <c r="O39" s="117"/>
      <c r="P39" s="117"/>
      <c r="Q39" s="117"/>
      <c r="R39" s="117"/>
      <c r="S39" s="117"/>
      <c r="T39" s="117"/>
      <c r="U39" s="117"/>
      <c r="V39" s="117"/>
    </row>
    <row r="40" spans="1:24" ht="19.95" customHeight="1" x14ac:dyDescent="0.3">
      <c r="K40" s="118"/>
      <c r="L40" s="118"/>
      <c r="M40" s="117"/>
      <c r="N40" s="117"/>
      <c r="O40" s="117"/>
      <c r="P40" s="117"/>
      <c r="Q40" s="117"/>
      <c r="R40" s="117"/>
      <c r="S40" s="117"/>
      <c r="T40" s="117"/>
      <c r="U40" s="117"/>
      <c r="V40" s="117"/>
    </row>
    <row r="41" spans="1:24" ht="19.95" customHeight="1" x14ac:dyDescent="0.3">
      <c r="K41" s="118"/>
      <c r="L41" s="118"/>
      <c r="M41" s="117"/>
      <c r="N41" s="117"/>
      <c r="O41" s="117"/>
      <c r="P41" s="117"/>
      <c r="Q41" s="117"/>
      <c r="R41" s="117"/>
      <c r="S41" s="117"/>
      <c r="T41" s="117"/>
      <c r="U41" s="117"/>
      <c r="V41" s="117"/>
    </row>
    <row r="42" spans="1:24" ht="19.95" customHeight="1" x14ac:dyDescent="0.3">
      <c r="K42" s="118"/>
      <c r="L42" s="118"/>
      <c r="M42" s="117"/>
      <c r="N42" s="117"/>
      <c r="O42" s="117"/>
      <c r="P42" s="117"/>
      <c r="Q42" s="117"/>
      <c r="R42" s="117"/>
      <c r="S42" s="117"/>
      <c r="T42" s="117"/>
      <c r="U42" s="117"/>
      <c r="V42" s="117"/>
    </row>
    <row r="43" spans="1:24" ht="19.95" customHeight="1" x14ac:dyDescent="0.3">
      <c r="K43" s="118"/>
      <c r="L43" s="118"/>
      <c r="S43" s="117"/>
    </row>
    <row r="44" spans="1:24" ht="19.95" customHeight="1" x14ac:dyDescent="0.3">
      <c r="K44" s="118"/>
      <c r="L44" s="118"/>
    </row>
    <row r="45" spans="1:24" ht="19.95" customHeight="1" x14ac:dyDescent="0.3">
      <c r="K45" s="118"/>
      <c r="L45" s="118"/>
    </row>
    <row r="46" spans="1:24" ht="19.95" customHeight="1" x14ac:dyDescent="0.3">
      <c r="K46" s="118"/>
      <c r="L46" s="118"/>
    </row>
    <row r="47" spans="1:24" ht="19.95" customHeight="1" x14ac:dyDescent="0.3">
      <c r="K47" s="118"/>
      <c r="L47" s="118"/>
    </row>
    <row r="48" spans="1:24" ht="19.95" customHeight="1" x14ac:dyDescent="0.3">
      <c r="K48" s="118"/>
      <c r="L48" s="118"/>
    </row>
    <row r="49" spans="11:12" ht="19.95" customHeight="1" x14ac:dyDescent="0.3">
      <c r="K49" s="118"/>
      <c r="L49" s="118"/>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41" sqref="B41"/>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135</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136</v>
      </c>
    </row>
    <row r="19" spans="1:2" x14ac:dyDescent="0.3">
      <c r="B19" s="10" t="s">
        <v>35</v>
      </c>
    </row>
    <row r="20" spans="1:2" ht="31.2" x14ac:dyDescent="0.3">
      <c r="B20" s="11" t="s">
        <v>137</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Header_VarNames</vt:lpstr>
      <vt:lpstr>Header_VarUnits</vt:lpstr>
      <vt:lpstr>Measured_VarNames</vt:lpstr>
      <vt:lpstr>Notes</vt:lpstr>
      <vt:lpstr>'Hand notes scheme'!Print_Titles</vt:lpstr>
      <vt:lpstr>'Recording notes'!Print_Titles</vt:lpstr>
      <vt:lpstr>'Hand notes scheme'!Sequence_General_Info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2020-08-18T09:29:36Z</dcterms:modified>
</cp:coreProperties>
</file>